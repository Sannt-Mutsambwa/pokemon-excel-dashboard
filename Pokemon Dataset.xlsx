
<file path=[Content_Types].xml><?xml version="1.0" encoding="utf-8"?>
<Types xmlns="http://schemas.openxmlformats.org/package/2006/content-type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pivotCache/pivotCacheDefinition1.xml" ContentType="application/vnd.openxmlformats-officedocument.spreadsheetml.pivotCacheDefinition+xml"/>
  <Override PartName="/xl/pivotCache/pivotCacheRecords1.xml" ContentType="application/vnd.openxmlformats-officedocument.spreadsheetml.pivotCacheRecords+xml"/>
  <Override PartName="/xl/slicerCaches/slicerCache1.xml" ContentType="application/vnd.ms-excel.slicerCache+xml"/>
  <Override PartName="/xl/slicerCaches/slicerCache2.xml" ContentType="application/vnd.ms-excel.slicerCache+xml"/>
  <Override PartName="/xl/theme/theme1.xml" ContentType="application/vnd.openxmlformats-officedocument.theme+xml"/>
  <Override PartName="/xl/connections.xml" ContentType="application/vnd.openxmlformats-officedocument.spreadsheetml.connections+xml"/>
  <Override PartName="/xl/styles.xml" ContentType="application/vnd.openxmlformats-officedocument.spreadsheetml.styles+xml"/>
  <Override PartName="/xl/sharedStrings.xml" ContentType="application/vnd.openxmlformats-officedocument.spreadsheetml.sharedStrings+xml"/>
  <Override PartName="/xl/tables/table1.xml" ContentType="application/vnd.openxmlformats-officedocument.spreadsheetml.table+xml"/>
  <Override PartName="/xl/pivotTables/pivotTable1.xml" ContentType="application/vnd.openxmlformats-officedocument.spreadsheetml.pivotTable+xml"/>
  <Override PartName="/xl/pivotTables/pivotTable2.xml" ContentType="application/vnd.openxmlformats-officedocument.spreadsheetml.pivotTable+xml"/>
  <Override PartName="/xl/pivotTables/pivotTable3.xml" ContentType="application/vnd.openxmlformats-officedocument.spreadsheetml.pivotTable+xml"/>
  <Override PartName="/xl/pivotTables/pivotTable4.xml" ContentType="application/vnd.openxmlformats-officedocument.spreadsheetml.pivotTable+xml"/>
  <Override PartName="/xl/pivotTables/pivotTable5.xml" ContentType="application/vnd.openxmlformats-officedocument.spreadsheetml.pivotTable+xml"/>
  <Override PartName="/xl/pivotTables/pivotTable6.xml" ContentType="application/vnd.openxmlformats-officedocument.spreadsheetml.pivotTable+xml"/>
  <Override PartName="/xl/pivotTables/pivotTable7.xml" ContentType="application/vnd.openxmlformats-officedocument.spreadsheetml.pivotTable+xml"/>
  <Override PartName="/xl/drawings/drawing1.xml" ContentType="application/vnd.openxmlformats-officedocument.drawing+xml"/>
  <Override PartName="/xl/slicers/slicer1.xml" ContentType="application/vnd.ms-excel.slicer+xml"/>
  <Override PartName="/xl/charts/chart1.xml" ContentType="application/vnd.openxmlformats-officedocument.drawingml.chart+xml"/>
  <Override PartName="/xl/charts/style1.xml" ContentType="application/vnd.ms-office.chartstyle+xml"/>
  <Override PartName="/xl/charts/colors1.xml" ContentType="application/vnd.ms-office.chartcolorstyle+xml"/>
  <Override PartName="/xl/charts/chart2.xml" ContentType="application/vnd.openxmlformats-officedocument.drawingml.chart+xml"/>
  <Override PartName="/xl/charts/style2.xml" ContentType="application/vnd.ms-office.chartstyle+xml"/>
  <Override PartName="/xl/charts/colors2.xml" ContentType="application/vnd.ms-office.chartcolorstyle+xml"/>
  <Override PartName="/xl/charts/chart3.xml" ContentType="application/vnd.openxmlformats-officedocument.drawingml.chart+xml"/>
  <Override PartName="/xl/charts/style3.xml" ContentType="application/vnd.ms-office.chartstyle+xml"/>
  <Override PartName="/xl/charts/colors3.xml" ContentType="application/vnd.ms-office.chartcolorstyle+xml"/>
  <Override PartName="/xl/charts/chart4.xml" ContentType="application/vnd.openxmlformats-officedocument.drawingml.chart+xml"/>
  <Override PartName="/xl/charts/style4.xml" ContentType="application/vnd.ms-office.chartstyle+xml"/>
  <Override PartName="/xl/charts/colors4.xml" ContentType="application/vnd.ms-office.chartcolorstyle+xml"/>
  <Override PartName="/xl/calcChain.xml" ContentType="application/vnd.openxmlformats-officedocument.spreadsheetml.calcChain+xml"/>
  <Override PartName="/customXml/itemProps1.xml" ContentType="application/vnd.openxmlformats-officedocument.customXmlProperties+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30326"/>
  <workbookPr hidePivotFieldList="1" defaultThemeVersion="202300"/>
  <mc:AlternateContent xmlns:mc="http://schemas.openxmlformats.org/markup-compatibility/2006">
    <mc:Choice Requires="x15">
      <x15ac:absPath xmlns:x15ac="http://schemas.microsoft.com/office/spreadsheetml/2010/11/ac" url="C:\Users\pc\Desktop\archive (2)\"/>
    </mc:Choice>
  </mc:AlternateContent>
  <xr:revisionPtr revIDLastSave="0" documentId="13_ncr:1_{9233C39E-E82A-4F4E-B696-CE8CF6D90B98}" xr6:coauthVersionLast="47" xr6:coauthVersionMax="47" xr10:uidLastSave="{00000000-0000-0000-0000-000000000000}"/>
  <bookViews>
    <workbookView xWindow="-108" yWindow="-108" windowWidth="22320" windowHeight="13176" activeTab="4" xr2:uid="{8BA183EC-A0E6-4DB1-AE9D-A1EA9A6D8BE5}"/>
  </bookViews>
  <sheets>
    <sheet name="Raw Data" sheetId="1" r:id="rId1"/>
    <sheet name="clean-pokemon-dataset" sheetId="2" r:id="rId2"/>
    <sheet name="Pivot Analysis" sheetId="3" r:id="rId3"/>
    <sheet name="PivotKPI" sheetId="6" r:id="rId4"/>
    <sheet name="Dashboard" sheetId="4" r:id="rId5"/>
  </sheets>
  <definedNames>
    <definedName name="_xlnm._FilterDatabase" localSheetId="1" hidden="1">'clean-pokemon-dataset'!$A$1:$AU$802</definedName>
    <definedName name="Slicer_generation">#N/A</definedName>
    <definedName name="Slicer_is_legendary">#N/A</definedName>
  </definedNames>
  <calcPr calcId="191029"/>
  <pivotCaches>
    <pivotCache cacheId="0" r:id="rId6"/>
  </pivotCaches>
  <extLst>
    <ext xmlns:x14="http://schemas.microsoft.com/office/spreadsheetml/2009/9/main" uri="{BBE1A952-AA13-448e-AADC-164F8A28A991}">
      <x14:slicerCaches>
        <x14:slicerCache r:id="rId7"/>
        <x14:slicerCache r:id="rId8"/>
      </x14:slicerCaches>
    </ext>
    <ext xmlns:x14="http://schemas.microsoft.com/office/spreadsheetml/2009/9/main" uri="{79F54976-1DA5-4618-B147-4CDE4B953A38}">
      <x14:workbookPr/>
    </ext>
    <ext xmlns:x15="http://schemas.microsoft.com/office/spreadsheetml/2010/11/main" uri="{140A7094-0E35-4892-8432-C4D2E57EDEB5}">
      <x15:workbookPr chartTrackingRefBase="1"/>
    </ex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feature name="microsoft.com:LAMBDA_WF"/>
        <xcalcf:feature name="microsoft.com:ARRAYTEXT_WF"/>
      </xcalcf:calcFeatures>
    </ext>
    <ext xmlns:xlwcv="http://schemas.microsoft.com/office/spreadsheetml/2024/workbookCompatibilityVersion" uri="{D14903EA-33C4-47F7-8F05-3474C54BE107}">
      <xlwcv:version setVersion="2"/>
    </ext>
  </extLst>
</workbook>
</file>

<file path=xl/calcChain.xml><?xml version="1.0" encoding="utf-8"?>
<calcChain xmlns="http://schemas.openxmlformats.org/spreadsheetml/2006/main">
  <c r="AN3" i="2" l="1"/>
  <c r="AN4" i="2"/>
  <c r="AN5" i="2"/>
  <c r="AN6" i="2"/>
  <c r="AN7" i="2"/>
  <c r="AN8" i="2"/>
  <c r="AN9" i="2"/>
  <c r="AN10" i="2"/>
  <c r="AN11" i="2"/>
  <c r="AN12" i="2"/>
  <c r="AN13" i="2"/>
  <c r="AN14" i="2"/>
  <c r="AN15" i="2"/>
  <c r="AN16" i="2"/>
  <c r="AN17" i="2"/>
  <c r="AN18" i="2"/>
  <c r="AN19" i="2"/>
  <c r="AN20" i="2"/>
  <c r="AN21" i="2"/>
  <c r="AN22" i="2"/>
  <c r="AN23" i="2"/>
  <c r="AN24" i="2"/>
  <c r="AN25" i="2"/>
  <c r="AN26" i="2"/>
  <c r="AN27" i="2"/>
  <c r="AN28" i="2"/>
  <c r="AN29" i="2"/>
  <c r="AN30" i="2"/>
  <c r="AN31" i="2"/>
  <c r="AN32" i="2"/>
  <c r="AN33" i="2"/>
  <c r="AN34" i="2"/>
  <c r="AN35" i="2"/>
  <c r="AN36" i="2"/>
  <c r="AN37" i="2"/>
  <c r="AN38" i="2"/>
  <c r="AN39" i="2"/>
  <c r="AN40" i="2"/>
  <c r="AN41" i="2"/>
  <c r="AN42" i="2"/>
  <c r="AN43" i="2"/>
  <c r="AN44" i="2"/>
  <c r="AN45" i="2"/>
  <c r="AN46" i="2"/>
  <c r="AN47" i="2"/>
  <c r="AN48" i="2"/>
  <c r="AN49" i="2"/>
  <c r="AN50" i="2"/>
  <c r="AN51" i="2"/>
  <c r="AN52" i="2"/>
  <c r="AN53" i="2"/>
  <c r="AN54" i="2"/>
  <c r="AN55" i="2"/>
  <c r="AN56" i="2"/>
  <c r="AN57" i="2"/>
  <c r="AN58" i="2"/>
  <c r="AN59" i="2"/>
  <c r="AN60" i="2"/>
  <c r="AN61" i="2"/>
  <c r="AN62" i="2"/>
  <c r="AN63" i="2"/>
  <c r="AN64" i="2"/>
  <c r="AN65" i="2"/>
  <c r="AN66" i="2"/>
  <c r="AN67" i="2"/>
  <c r="AN68" i="2"/>
  <c r="AN69" i="2"/>
  <c r="AN70" i="2"/>
  <c r="AN71" i="2"/>
  <c r="AN72" i="2"/>
  <c r="AN73" i="2"/>
  <c r="AN74" i="2"/>
  <c r="AN75" i="2"/>
  <c r="AN76" i="2"/>
  <c r="AN77" i="2"/>
  <c r="AN78" i="2"/>
  <c r="AN79" i="2"/>
  <c r="AN80" i="2"/>
  <c r="AN81" i="2"/>
  <c r="AN82" i="2"/>
  <c r="AN83" i="2"/>
  <c r="AN84" i="2"/>
  <c r="AN85" i="2"/>
  <c r="AN86" i="2"/>
  <c r="AN87" i="2"/>
  <c r="AN88" i="2"/>
  <c r="AN89" i="2"/>
  <c r="AN90" i="2"/>
  <c r="AN91" i="2"/>
  <c r="AN92" i="2"/>
  <c r="AN93" i="2"/>
  <c r="AN94" i="2"/>
  <c r="AN95" i="2"/>
  <c r="AN96" i="2"/>
  <c r="AN97" i="2"/>
  <c r="AN98" i="2"/>
  <c r="AN99" i="2"/>
  <c r="AN100" i="2"/>
  <c r="AN101" i="2"/>
  <c r="AN102" i="2"/>
  <c r="AN103" i="2"/>
  <c r="AN104" i="2"/>
  <c r="AN105" i="2"/>
  <c r="AN106" i="2"/>
  <c r="AN107" i="2"/>
  <c r="AN108" i="2"/>
  <c r="AN109" i="2"/>
  <c r="AN110" i="2"/>
  <c r="AN111" i="2"/>
  <c r="AN112" i="2"/>
  <c r="AN113" i="2"/>
  <c r="AN114" i="2"/>
  <c r="AN115" i="2"/>
  <c r="AN116" i="2"/>
  <c r="AN117" i="2"/>
  <c r="AN118" i="2"/>
  <c r="AN119" i="2"/>
  <c r="AN120" i="2"/>
  <c r="AN121" i="2"/>
  <c r="AN122" i="2"/>
  <c r="AN123" i="2"/>
  <c r="AN124" i="2"/>
  <c r="AN125" i="2"/>
  <c r="AN126" i="2"/>
  <c r="AN127" i="2"/>
  <c r="AN128" i="2"/>
  <c r="AN129" i="2"/>
  <c r="AN130" i="2"/>
  <c r="AN131" i="2"/>
  <c r="AN132" i="2"/>
  <c r="AN133" i="2"/>
  <c r="AN134" i="2"/>
  <c r="AN135" i="2"/>
  <c r="AN136" i="2"/>
  <c r="AN137" i="2"/>
  <c r="AN138" i="2"/>
  <c r="AN139" i="2"/>
  <c r="AN140" i="2"/>
  <c r="AN141" i="2"/>
  <c r="AN142" i="2"/>
  <c r="AN143" i="2"/>
  <c r="AN144" i="2"/>
  <c r="AN145" i="2"/>
  <c r="AN146" i="2"/>
  <c r="AN147" i="2"/>
  <c r="AN148" i="2"/>
  <c r="AN149" i="2"/>
  <c r="AN150" i="2"/>
  <c r="AN151" i="2"/>
  <c r="AN152" i="2"/>
  <c r="AN153" i="2"/>
  <c r="AN154" i="2"/>
  <c r="AN155" i="2"/>
  <c r="AN156" i="2"/>
  <c r="AN157" i="2"/>
  <c r="AN158" i="2"/>
  <c r="AN159" i="2"/>
  <c r="AN160" i="2"/>
  <c r="AN161" i="2"/>
  <c r="AN162" i="2"/>
  <c r="AN163" i="2"/>
  <c r="AN164" i="2"/>
  <c r="AN165" i="2"/>
  <c r="AN166" i="2"/>
  <c r="AN167" i="2"/>
  <c r="AN168" i="2"/>
  <c r="AN169" i="2"/>
  <c r="AN170" i="2"/>
  <c r="AN171" i="2"/>
  <c r="AN172" i="2"/>
  <c r="AN173" i="2"/>
  <c r="AN174" i="2"/>
  <c r="AN175" i="2"/>
  <c r="AN176" i="2"/>
  <c r="AN177" i="2"/>
  <c r="AN178" i="2"/>
  <c r="AN179" i="2"/>
  <c r="AN180" i="2"/>
  <c r="AN181" i="2"/>
  <c r="AN182" i="2"/>
  <c r="AN183" i="2"/>
  <c r="AN184" i="2"/>
  <c r="AN185" i="2"/>
  <c r="AN186" i="2"/>
  <c r="AN187" i="2"/>
  <c r="AN188" i="2"/>
  <c r="AN189" i="2"/>
  <c r="AN190" i="2"/>
  <c r="AN191" i="2"/>
  <c r="AN192" i="2"/>
  <c r="AN193" i="2"/>
  <c r="AN194" i="2"/>
  <c r="AN195" i="2"/>
  <c r="AN196" i="2"/>
  <c r="AN197" i="2"/>
  <c r="AN198" i="2"/>
  <c r="AN199" i="2"/>
  <c r="AN200" i="2"/>
  <c r="AN201" i="2"/>
  <c r="AN202" i="2"/>
  <c r="AN203" i="2"/>
  <c r="AN204" i="2"/>
  <c r="AN205" i="2"/>
  <c r="AN206" i="2"/>
  <c r="AN207" i="2"/>
  <c r="AN208" i="2"/>
  <c r="AN209" i="2"/>
  <c r="AN210" i="2"/>
  <c r="AN211" i="2"/>
  <c r="AN212" i="2"/>
  <c r="AN213" i="2"/>
  <c r="AN214" i="2"/>
  <c r="AN215" i="2"/>
  <c r="AN216" i="2"/>
  <c r="AN217" i="2"/>
  <c r="AN218" i="2"/>
  <c r="AN219" i="2"/>
  <c r="AN220" i="2"/>
  <c r="AN221" i="2"/>
  <c r="AN222" i="2"/>
  <c r="AN223" i="2"/>
  <c r="AN224" i="2"/>
  <c r="AN225" i="2"/>
  <c r="AN226" i="2"/>
  <c r="AN227" i="2"/>
  <c r="AN228" i="2"/>
  <c r="AN229" i="2"/>
  <c r="AN230" i="2"/>
  <c r="AN231" i="2"/>
  <c r="AN232" i="2"/>
  <c r="AN233" i="2"/>
  <c r="AN234" i="2"/>
  <c r="AN235" i="2"/>
  <c r="AN236" i="2"/>
  <c r="AN237" i="2"/>
  <c r="AN238" i="2"/>
  <c r="AN239" i="2"/>
  <c r="AN240" i="2"/>
  <c r="AN241" i="2"/>
  <c r="AN242" i="2"/>
  <c r="AN243" i="2"/>
  <c r="AN244" i="2"/>
  <c r="AN245" i="2"/>
  <c r="AN246" i="2"/>
  <c r="AN247" i="2"/>
  <c r="AN248" i="2"/>
  <c r="AN249" i="2"/>
  <c r="AN250" i="2"/>
  <c r="AN251" i="2"/>
  <c r="AN252" i="2"/>
  <c r="AN253" i="2"/>
  <c r="AN254" i="2"/>
  <c r="AN255" i="2"/>
  <c r="AN256" i="2"/>
  <c r="AN257" i="2"/>
  <c r="AN258" i="2"/>
  <c r="AN259" i="2"/>
  <c r="AN260" i="2"/>
  <c r="AN261" i="2"/>
  <c r="AN262" i="2"/>
  <c r="AN263" i="2"/>
  <c r="AN264" i="2"/>
  <c r="AN265" i="2"/>
  <c r="AN266" i="2"/>
  <c r="AN267" i="2"/>
  <c r="AN268" i="2"/>
  <c r="AN269" i="2"/>
  <c r="AN270" i="2"/>
  <c r="AN271" i="2"/>
  <c r="AN272" i="2"/>
  <c r="AN273" i="2"/>
  <c r="AN274" i="2"/>
  <c r="AN275" i="2"/>
  <c r="AN276" i="2"/>
  <c r="AN277" i="2"/>
  <c r="AN278" i="2"/>
  <c r="AN279" i="2"/>
  <c r="AN280" i="2"/>
  <c r="AN281" i="2"/>
  <c r="AN282" i="2"/>
  <c r="AN283" i="2"/>
  <c r="AN284" i="2"/>
  <c r="AN285" i="2"/>
  <c r="AN286" i="2"/>
  <c r="AN287" i="2"/>
  <c r="AN288" i="2"/>
  <c r="AN289" i="2"/>
  <c r="AN290" i="2"/>
  <c r="AN291" i="2"/>
  <c r="AN292" i="2"/>
  <c r="AN293" i="2"/>
  <c r="AN294" i="2"/>
  <c r="AN295" i="2"/>
  <c r="AN296" i="2"/>
  <c r="AN297" i="2"/>
  <c r="AN298" i="2"/>
  <c r="AN299" i="2"/>
  <c r="AN300" i="2"/>
  <c r="AN301" i="2"/>
  <c r="AN302" i="2"/>
  <c r="AN303" i="2"/>
  <c r="AN304" i="2"/>
  <c r="AN305" i="2"/>
  <c r="AN306" i="2"/>
  <c r="AN307" i="2"/>
  <c r="AN308" i="2"/>
  <c r="AN309" i="2"/>
  <c r="AN310" i="2"/>
  <c r="AN311" i="2"/>
  <c r="AN312" i="2"/>
  <c r="AN313" i="2"/>
  <c r="AN314" i="2"/>
  <c r="AN315" i="2"/>
  <c r="AN316" i="2"/>
  <c r="AN317" i="2"/>
  <c r="AN318" i="2"/>
  <c r="AN319" i="2"/>
  <c r="AN320" i="2"/>
  <c r="AN321" i="2"/>
  <c r="AN322" i="2"/>
  <c r="AN323" i="2"/>
  <c r="AN324" i="2"/>
  <c r="AN325" i="2"/>
  <c r="AN326" i="2"/>
  <c r="AN327" i="2"/>
  <c r="AN328" i="2"/>
  <c r="AN329" i="2"/>
  <c r="AN330" i="2"/>
  <c r="AN331" i="2"/>
  <c r="AN332" i="2"/>
  <c r="AN333" i="2"/>
  <c r="AN334" i="2"/>
  <c r="AN335" i="2"/>
  <c r="AN336" i="2"/>
  <c r="AN337" i="2"/>
  <c r="AN338" i="2"/>
  <c r="AN339" i="2"/>
  <c r="AN340" i="2"/>
  <c r="AN341" i="2"/>
  <c r="AN342" i="2"/>
  <c r="AN343" i="2"/>
  <c r="AN344" i="2"/>
  <c r="AN345" i="2"/>
  <c r="AN346" i="2"/>
  <c r="AN347" i="2"/>
  <c r="AN348" i="2"/>
  <c r="AN349" i="2"/>
  <c r="AN350" i="2"/>
  <c r="AN351" i="2"/>
  <c r="AN352" i="2"/>
  <c r="AN353" i="2"/>
  <c r="AN354" i="2"/>
  <c r="AN355" i="2"/>
  <c r="AN356" i="2"/>
  <c r="AN357" i="2"/>
  <c r="AN358" i="2"/>
  <c r="AN359" i="2"/>
  <c r="AN360" i="2"/>
  <c r="AN361" i="2"/>
  <c r="AN362" i="2"/>
  <c r="AN363" i="2"/>
  <c r="AN364" i="2"/>
  <c r="AN365" i="2"/>
  <c r="AN366" i="2"/>
  <c r="AN367" i="2"/>
  <c r="AN368" i="2"/>
  <c r="AN369" i="2"/>
  <c r="AN370" i="2"/>
  <c r="AN371" i="2"/>
  <c r="AN372" i="2"/>
  <c r="AN373" i="2"/>
  <c r="AN374" i="2"/>
  <c r="AN375" i="2"/>
  <c r="AN376" i="2"/>
  <c r="AN377" i="2"/>
  <c r="AN378" i="2"/>
  <c r="AN379" i="2"/>
  <c r="AN380" i="2"/>
  <c r="AN381" i="2"/>
  <c r="AN382" i="2"/>
  <c r="AN383" i="2"/>
  <c r="AN384" i="2"/>
  <c r="AN385" i="2"/>
  <c r="AN386" i="2"/>
  <c r="AN387" i="2"/>
  <c r="AN388" i="2"/>
  <c r="AN389" i="2"/>
  <c r="AN390" i="2"/>
  <c r="AN391" i="2"/>
  <c r="AN392" i="2"/>
  <c r="AN393" i="2"/>
  <c r="AN394" i="2"/>
  <c r="AN395" i="2"/>
  <c r="AN396" i="2"/>
  <c r="AN397" i="2"/>
  <c r="AN398" i="2"/>
  <c r="AN399" i="2"/>
  <c r="AN400" i="2"/>
  <c r="AN401" i="2"/>
  <c r="AN402" i="2"/>
  <c r="AN403" i="2"/>
  <c r="AN404" i="2"/>
  <c r="AN405" i="2"/>
  <c r="AN406" i="2"/>
  <c r="AN407" i="2"/>
  <c r="AN408" i="2"/>
  <c r="AN409" i="2"/>
  <c r="AN410" i="2"/>
  <c r="AN411" i="2"/>
  <c r="AN412" i="2"/>
  <c r="AN413" i="2"/>
  <c r="AN414" i="2"/>
  <c r="AN415" i="2"/>
  <c r="AN416" i="2"/>
  <c r="AN417" i="2"/>
  <c r="AN418" i="2"/>
  <c r="AN419" i="2"/>
  <c r="AN420" i="2"/>
  <c r="AN421" i="2"/>
  <c r="AN422" i="2"/>
  <c r="AN423" i="2"/>
  <c r="AN424" i="2"/>
  <c r="AN425" i="2"/>
  <c r="AN426" i="2"/>
  <c r="AN427" i="2"/>
  <c r="AN428" i="2"/>
  <c r="AN429" i="2"/>
  <c r="AN430" i="2"/>
  <c r="AN431" i="2"/>
  <c r="AN432" i="2"/>
  <c r="AN433" i="2"/>
  <c r="AN434" i="2"/>
  <c r="AN435" i="2"/>
  <c r="AN436" i="2"/>
  <c r="AN437" i="2"/>
  <c r="AN438" i="2"/>
  <c r="AN439" i="2"/>
  <c r="AN440" i="2"/>
  <c r="AN441" i="2"/>
  <c r="AN442" i="2"/>
  <c r="AN443" i="2"/>
  <c r="AN444" i="2"/>
  <c r="AN445" i="2"/>
  <c r="AN446" i="2"/>
  <c r="AN447" i="2"/>
  <c r="AN448" i="2"/>
  <c r="AN449" i="2"/>
  <c r="AN450" i="2"/>
  <c r="AN451" i="2"/>
  <c r="AN452" i="2"/>
  <c r="AN453" i="2"/>
  <c r="AN454" i="2"/>
  <c r="AN455" i="2"/>
  <c r="AN456" i="2"/>
  <c r="AN457" i="2"/>
  <c r="AN458" i="2"/>
  <c r="AN459" i="2"/>
  <c r="AN460" i="2"/>
  <c r="AN461" i="2"/>
  <c r="AN462" i="2"/>
  <c r="AN463" i="2"/>
  <c r="AN464" i="2"/>
  <c r="AN465" i="2"/>
  <c r="AN466" i="2"/>
  <c r="AN467" i="2"/>
  <c r="AN468" i="2"/>
  <c r="AN469" i="2"/>
  <c r="AN470" i="2"/>
  <c r="AN471" i="2"/>
  <c r="AN472" i="2"/>
  <c r="AN473" i="2"/>
  <c r="AN474" i="2"/>
  <c r="AN475" i="2"/>
  <c r="AN476" i="2"/>
  <c r="AN477" i="2"/>
  <c r="AN478" i="2"/>
  <c r="AN479" i="2"/>
  <c r="AN480" i="2"/>
  <c r="AN481" i="2"/>
  <c r="AN482" i="2"/>
  <c r="AN483" i="2"/>
  <c r="AN484" i="2"/>
  <c r="AN485" i="2"/>
  <c r="AN486" i="2"/>
  <c r="AN487" i="2"/>
  <c r="AN488" i="2"/>
  <c r="AN489" i="2"/>
  <c r="AN490" i="2"/>
  <c r="AN491" i="2"/>
  <c r="AN492" i="2"/>
  <c r="AN493" i="2"/>
  <c r="AN494" i="2"/>
  <c r="AN495" i="2"/>
  <c r="AN496" i="2"/>
  <c r="AN497" i="2"/>
  <c r="AN498" i="2"/>
  <c r="AN499" i="2"/>
  <c r="AN500" i="2"/>
  <c r="AN501" i="2"/>
  <c r="AN502" i="2"/>
  <c r="AN503" i="2"/>
  <c r="AN504" i="2"/>
  <c r="AN505" i="2"/>
  <c r="AN506" i="2"/>
  <c r="AN507" i="2"/>
  <c r="AN508" i="2"/>
  <c r="AN509" i="2"/>
  <c r="AN510" i="2"/>
  <c r="AN511" i="2"/>
  <c r="AN512" i="2"/>
  <c r="AN513" i="2"/>
  <c r="AN514" i="2"/>
  <c r="AN515" i="2"/>
  <c r="AN516" i="2"/>
  <c r="AN517" i="2"/>
  <c r="AN518" i="2"/>
  <c r="AN519" i="2"/>
  <c r="AN520" i="2"/>
  <c r="AN521" i="2"/>
  <c r="AN522" i="2"/>
  <c r="AN523" i="2"/>
  <c r="AN524" i="2"/>
  <c r="AN525" i="2"/>
  <c r="AN526" i="2"/>
  <c r="AN527" i="2"/>
  <c r="AN528" i="2"/>
  <c r="AN529" i="2"/>
  <c r="AN530" i="2"/>
  <c r="AN531" i="2"/>
  <c r="AN532" i="2"/>
  <c r="AN533" i="2"/>
  <c r="AN534" i="2"/>
  <c r="AN535" i="2"/>
  <c r="AN536" i="2"/>
  <c r="AN537" i="2"/>
  <c r="AN538" i="2"/>
  <c r="AN539" i="2"/>
  <c r="AN540" i="2"/>
  <c r="AN541" i="2"/>
  <c r="AN542" i="2"/>
  <c r="AN543" i="2"/>
  <c r="AN544" i="2"/>
  <c r="AN545" i="2"/>
  <c r="AN546" i="2"/>
  <c r="AN547" i="2"/>
  <c r="AN548" i="2"/>
  <c r="AN549" i="2"/>
  <c r="AN550" i="2"/>
  <c r="AN551" i="2"/>
  <c r="AN552" i="2"/>
  <c r="AN553" i="2"/>
  <c r="AN554" i="2"/>
  <c r="AN555" i="2"/>
  <c r="AN556" i="2"/>
  <c r="AN557" i="2"/>
  <c r="AN558" i="2"/>
  <c r="AN559" i="2"/>
  <c r="AN560" i="2"/>
  <c r="AN561" i="2"/>
  <c r="AN562" i="2"/>
  <c r="AN563" i="2"/>
  <c r="AN564" i="2"/>
  <c r="AN565" i="2"/>
  <c r="AN566" i="2"/>
  <c r="AN567" i="2"/>
  <c r="AN568" i="2"/>
  <c r="AN569" i="2"/>
  <c r="AN570" i="2"/>
  <c r="AN571" i="2"/>
  <c r="AN572" i="2"/>
  <c r="AN573" i="2"/>
  <c r="AN574" i="2"/>
  <c r="AN575" i="2"/>
  <c r="AN576" i="2"/>
  <c r="AN577" i="2"/>
  <c r="AN578" i="2"/>
  <c r="AN579" i="2"/>
  <c r="AN580" i="2"/>
  <c r="AN581" i="2"/>
  <c r="AN582" i="2"/>
  <c r="AN583" i="2"/>
  <c r="AN584" i="2"/>
  <c r="AN585" i="2"/>
  <c r="AN586" i="2"/>
  <c r="AN587" i="2"/>
  <c r="AN588" i="2"/>
  <c r="AN589" i="2"/>
  <c r="AN590" i="2"/>
  <c r="AN591" i="2"/>
  <c r="AN592" i="2"/>
  <c r="AN593" i="2"/>
  <c r="AN594" i="2"/>
  <c r="AN595" i="2"/>
  <c r="AN596" i="2"/>
  <c r="AN597" i="2"/>
  <c r="AN598" i="2"/>
  <c r="AN599" i="2"/>
  <c r="AN600" i="2"/>
  <c r="AN601" i="2"/>
  <c r="AN602" i="2"/>
  <c r="AN603" i="2"/>
  <c r="AN604" i="2"/>
  <c r="AN605" i="2"/>
  <c r="AN606" i="2"/>
  <c r="AN607" i="2"/>
  <c r="AN608" i="2"/>
  <c r="AN609" i="2"/>
  <c r="AN610" i="2"/>
  <c r="AN611" i="2"/>
  <c r="AN612" i="2"/>
  <c r="AN613" i="2"/>
  <c r="AN614" i="2"/>
  <c r="AN615" i="2"/>
  <c r="AN616" i="2"/>
  <c r="AN617" i="2"/>
  <c r="AN618" i="2"/>
  <c r="AN619" i="2"/>
  <c r="AN620" i="2"/>
  <c r="AN621" i="2"/>
  <c r="AN622" i="2"/>
  <c r="AN623" i="2"/>
  <c r="AN624" i="2"/>
  <c r="AN625" i="2"/>
  <c r="AN626" i="2"/>
  <c r="AN627" i="2"/>
  <c r="AN628" i="2"/>
  <c r="AN629" i="2"/>
  <c r="AN630" i="2"/>
  <c r="AN631" i="2"/>
  <c r="AN632" i="2"/>
  <c r="AN633" i="2"/>
  <c r="AN634" i="2"/>
  <c r="AN635" i="2"/>
  <c r="AN636" i="2"/>
  <c r="AN637" i="2"/>
  <c r="AN638" i="2"/>
  <c r="AN639" i="2"/>
  <c r="AN640" i="2"/>
  <c r="AN641" i="2"/>
  <c r="AN642" i="2"/>
  <c r="AN643" i="2"/>
  <c r="AN644" i="2"/>
  <c r="AN645" i="2"/>
  <c r="AN646" i="2"/>
  <c r="AN647" i="2"/>
  <c r="AN648" i="2"/>
  <c r="AN649" i="2"/>
  <c r="AN650" i="2"/>
  <c r="AN651" i="2"/>
  <c r="AN652" i="2"/>
  <c r="AN653" i="2"/>
  <c r="AN654" i="2"/>
  <c r="AN655" i="2"/>
  <c r="AN656" i="2"/>
  <c r="AN657" i="2"/>
  <c r="AN658" i="2"/>
  <c r="AN659" i="2"/>
  <c r="AN660" i="2"/>
  <c r="AN661" i="2"/>
  <c r="AN662" i="2"/>
  <c r="AN663" i="2"/>
  <c r="AN664" i="2"/>
  <c r="AN665" i="2"/>
  <c r="AN666" i="2"/>
  <c r="AN667" i="2"/>
  <c r="AN668" i="2"/>
  <c r="AN669" i="2"/>
  <c r="AN670" i="2"/>
  <c r="AN671" i="2"/>
  <c r="AN672" i="2"/>
  <c r="AN673" i="2"/>
  <c r="AN674" i="2"/>
  <c r="AN675" i="2"/>
  <c r="AN676" i="2"/>
  <c r="AN677" i="2"/>
  <c r="AN678" i="2"/>
  <c r="AN679" i="2"/>
  <c r="AN680" i="2"/>
  <c r="AN681" i="2"/>
  <c r="AN682" i="2"/>
  <c r="AN683" i="2"/>
  <c r="AN684" i="2"/>
  <c r="AN685" i="2"/>
  <c r="AN686" i="2"/>
  <c r="AN687" i="2"/>
  <c r="AN688" i="2"/>
  <c r="AN689" i="2"/>
  <c r="AN690" i="2"/>
  <c r="AN691" i="2"/>
  <c r="AN692" i="2"/>
  <c r="AN693" i="2"/>
  <c r="AN694" i="2"/>
  <c r="AN695" i="2"/>
  <c r="AN696" i="2"/>
  <c r="AN697" i="2"/>
  <c r="AN698" i="2"/>
  <c r="AN699" i="2"/>
  <c r="AN700" i="2"/>
  <c r="AN701" i="2"/>
  <c r="AN702" i="2"/>
  <c r="AN703" i="2"/>
  <c r="AN704" i="2"/>
  <c r="AN705" i="2"/>
  <c r="AN706" i="2"/>
  <c r="AN707" i="2"/>
  <c r="AN708" i="2"/>
  <c r="AN709" i="2"/>
  <c r="AN710" i="2"/>
  <c r="AN711" i="2"/>
  <c r="AN712" i="2"/>
  <c r="AN713" i="2"/>
  <c r="AN714" i="2"/>
  <c r="AN715" i="2"/>
  <c r="AN716" i="2"/>
  <c r="AN717" i="2"/>
  <c r="AN718" i="2"/>
  <c r="AN719" i="2"/>
  <c r="AN720" i="2"/>
  <c r="AN721" i="2"/>
  <c r="AN722" i="2"/>
  <c r="AN723" i="2"/>
  <c r="AN724" i="2"/>
  <c r="AN725" i="2"/>
  <c r="AN726" i="2"/>
  <c r="AN727" i="2"/>
  <c r="AN728" i="2"/>
  <c r="AN729" i="2"/>
  <c r="AN730" i="2"/>
  <c r="AN731" i="2"/>
  <c r="AN732" i="2"/>
  <c r="AN733" i="2"/>
  <c r="AN734" i="2"/>
  <c r="AN735" i="2"/>
  <c r="AN736" i="2"/>
  <c r="AN737" i="2"/>
  <c r="AN738" i="2"/>
  <c r="AN739" i="2"/>
  <c r="AN740" i="2"/>
  <c r="AN741" i="2"/>
  <c r="AN742" i="2"/>
  <c r="AN743" i="2"/>
  <c r="AN744" i="2"/>
  <c r="AN745" i="2"/>
  <c r="AN746" i="2"/>
  <c r="AN747" i="2"/>
  <c r="AN748" i="2"/>
  <c r="AN749" i="2"/>
  <c r="AN750" i="2"/>
  <c r="AN751" i="2"/>
  <c r="AN752" i="2"/>
  <c r="AN753" i="2"/>
  <c r="AN754" i="2"/>
  <c r="AN755" i="2"/>
  <c r="AN756" i="2"/>
  <c r="AN757" i="2"/>
  <c r="AN758" i="2"/>
  <c r="AN759" i="2"/>
  <c r="AN760" i="2"/>
  <c r="AN761" i="2"/>
  <c r="AN762" i="2"/>
  <c r="AN763" i="2"/>
  <c r="AN764" i="2"/>
  <c r="AN765" i="2"/>
  <c r="AN766" i="2"/>
  <c r="AN767" i="2"/>
  <c r="AN768" i="2"/>
  <c r="AN769" i="2"/>
  <c r="AN770" i="2"/>
  <c r="AN771" i="2"/>
  <c r="AN772" i="2"/>
  <c r="AN773" i="2"/>
  <c r="AN774" i="2"/>
  <c r="AN775" i="2"/>
  <c r="AN776" i="2"/>
  <c r="AN777" i="2"/>
  <c r="AN778" i="2"/>
  <c r="AN779" i="2"/>
  <c r="AN780" i="2"/>
  <c r="AN781" i="2"/>
  <c r="AN782" i="2"/>
  <c r="AN783" i="2"/>
  <c r="AN784" i="2"/>
  <c r="AN785" i="2"/>
  <c r="AN786" i="2"/>
  <c r="AN787" i="2"/>
  <c r="AN788" i="2"/>
  <c r="AN789" i="2"/>
  <c r="AN790" i="2"/>
  <c r="AN791" i="2"/>
  <c r="AN792" i="2"/>
  <c r="AN793" i="2"/>
  <c r="AN794" i="2"/>
  <c r="AN795" i="2"/>
  <c r="AN796" i="2"/>
  <c r="AN797" i="2"/>
  <c r="AN798" i="2"/>
  <c r="AN799" i="2"/>
  <c r="AN800" i="2"/>
  <c r="AN801" i="2"/>
  <c r="AN802" i="2"/>
  <c r="AN2" i="2"/>
  <c r="M9" i="4"/>
</calcChain>
</file>

<file path=xl/connections.xml><?xml version="1.0" encoding="utf-8"?>
<connections xmlns="http://schemas.openxmlformats.org/spreadsheetml/2006/main" xmlns:mc="http://schemas.openxmlformats.org/markup-compatibility/2006" xmlns:xr16="http://schemas.microsoft.com/office/spreadsheetml/2017/revision16" mc:Ignorable="xr16">
  <connection id="1" xr16:uid="{F285DAB3-4C98-4F6E-AE97-B439CE5A9AB2}" keepAlive="1" name="Query - pokemon" description="Connection to the 'pokemon' query in the workbook." type="5" refreshedVersion="0" background="1">
    <dbPr connection="Provider=Microsoft.Mashup.OleDb.1;Data Source=$Workbook$;Location=pokemon;Extended Properties=&quot;&quot;" command="SELECT * FROM [pokemon]"/>
  </connection>
</connections>
</file>

<file path=xl/sharedStrings.xml><?xml version="1.0" encoding="utf-8"?>
<sst xmlns="http://schemas.openxmlformats.org/spreadsheetml/2006/main" count="10602" uniqueCount="3295">
  <si>
    <t>against_bug</t>
  </si>
  <si>
    <t>against_dark</t>
  </si>
  <si>
    <t>against_dragon</t>
  </si>
  <si>
    <t>against_electric</t>
  </si>
  <si>
    <t>against_fairy</t>
  </si>
  <si>
    <t>against_fight</t>
  </si>
  <si>
    <t>against_fire</t>
  </si>
  <si>
    <t>against_flying</t>
  </si>
  <si>
    <t>against_ghost</t>
  </si>
  <si>
    <t>against_grass</t>
  </si>
  <si>
    <t>against_ground</t>
  </si>
  <si>
    <t>against_ice</t>
  </si>
  <si>
    <t>against_normal</t>
  </si>
  <si>
    <t>against_poison</t>
  </si>
  <si>
    <t>against_psychic</t>
  </si>
  <si>
    <t>against_rock</t>
  </si>
  <si>
    <t>against_steel</t>
  </si>
  <si>
    <t>against_water</t>
  </si>
  <si>
    <t>attack</t>
  </si>
  <si>
    <t>base_egg_steps</t>
  </si>
  <si>
    <t>base_happiness</t>
  </si>
  <si>
    <t>base_total</t>
  </si>
  <si>
    <t>capture_rate</t>
  </si>
  <si>
    <t>defense</t>
  </si>
  <si>
    <t>experience_growth</t>
  </si>
  <si>
    <t>height_m</t>
  </si>
  <si>
    <t>hp</t>
  </si>
  <si>
    <t>japanese_name</t>
  </si>
  <si>
    <t>name</t>
  </si>
  <si>
    <t>percentage_male</t>
  </si>
  <si>
    <t>pokedex_number</t>
  </si>
  <si>
    <t>sp_attack</t>
  </si>
  <si>
    <t>sp_defense</t>
  </si>
  <si>
    <t>speed</t>
  </si>
  <si>
    <t>type1</t>
  </si>
  <si>
    <t>type2</t>
  </si>
  <si>
    <t>weight_kg</t>
  </si>
  <si>
    <t>generation</t>
  </si>
  <si>
    <t>is_legendary</t>
  </si>
  <si>
    <t>Seed Pokémon</t>
  </si>
  <si>
    <t>Fushigidaneフシギダネ</t>
  </si>
  <si>
    <t>Bulbasaur</t>
  </si>
  <si>
    <t>grass</t>
  </si>
  <si>
    <t>poison</t>
  </si>
  <si>
    <t>Fushigisouフシギソウ</t>
  </si>
  <si>
    <t>Ivysaur</t>
  </si>
  <si>
    <t>Fushigibanaフシギバナ</t>
  </si>
  <si>
    <t>Venusaur</t>
  </si>
  <si>
    <t>Lizard Pokémon</t>
  </si>
  <si>
    <t>Hitokageヒトカゲ</t>
  </si>
  <si>
    <t>Charmander</t>
  </si>
  <si>
    <t>fire</t>
  </si>
  <si>
    <t/>
  </si>
  <si>
    <t>Flame Pokémon</t>
  </si>
  <si>
    <t>Lizardoリザード</t>
  </si>
  <si>
    <t>Charmeleon</t>
  </si>
  <si>
    <t>Lizardonリザードン</t>
  </si>
  <si>
    <t>Charizard</t>
  </si>
  <si>
    <t>flying</t>
  </si>
  <si>
    <t>Tiny Turtle Pokémon</t>
  </si>
  <si>
    <t>Zenigameゼニガメ</t>
  </si>
  <si>
    <t>Squirtle</t>
  </si>
  <si>
    <t>water</t>
  </si>
  <si>
    <t>Turtle Pokémon</t>
  </si>
  <si>
    <t>Kameilカメール</t>
  </si>
  <si>
    <t>Wartortle</t>
  </si>
  <si>
    <t>Shellfish Pokémon</t>
  </si>
  <si>
    <t>Kamexカメックス</t>
  </si>
  <si>
    <t>Blastoise</t>
  </si>
  <si>
    <t>Worm Pokémon</t>
  </si>
  <si>
    <t>Caterpieキャタピー</t>
  </si>
  <si>
    <t>Caterpie</t>
  </si>
  <si>
    <t>bug</t>
  </si>
  <si>
    <t>Cocoon Pokémon</t>
  </si>
  <si>
    <t>Transelトランセル</t>
  </si>
  <si>
    <t>Metapod</t>
  </si>
  <si>
    <t>Butterfly Pokémon</t>
  </si>
  <si>
    <t>Butterfreeバタフリー</t>
  </si>
  <si>
    <t>Butterfree</t>
  </si>
  <si>
    <t>Hairy Pokémon</t>
  </si>
  <si>
    <t>Beedleビードル</t>
  </si>
  <si>
    <t>Weedle</t>
  </si>
  <si>
    <t>Cocoonコクーン</t>
  </si>
  <si>
    <t>Kakuna</t>
  </si>
  <si>
    <t>Poison Bee Pokémon</t>
  </si>
  <si>
    <t>Spearスピアー</t>
  </si>
  <si>
    <t>Beedrill</t>
  </si>
  <si>
    <t>Tiny Bird Pokémon</t>
  </si>
  <si>
    <t>Poppoポッポ</t>
  </si>
  <si>
    <t>Pidgey</t>
  </si>
  <si>
    <t>normal</t>
  </si>
  <si>
    <t>Bird Pokémon</t>
  </si>
  <si>
    <t>Pigeonピジョン</t>
  </si>
  <si>
    <t>Pidgeotto</t>
  </si>
  <si>
    <t>Pigeotピジョット</t>
  </si>
  <si>
    <t>Pidgeot</t>
  </si>
  <si>
    <t>Mouse Pokémon</t>
  </si>
  <si>
    <t>Korattaコラッタ</t>
  </si>
  <si>
    <t>Rattata</t>
  </si>
  <si>
    <t>dark</t>
  </si>
  <si>
    <t>Rattaラッタ</t>
  </si>
  <si>
    <t>Raticate</t>
  </si>
  <si>
    <t>Onisuzumeオニスズメ</t>
  </si>
  <si>
    <t>Spearow</t>
  </si>
  <si>
    <t>Beak Pokémon</t>
  </si>
  <si>
    <t>Onidrillオニドリル</t>
  </si>
  <si>
    <t>Fearow</t>
  </si>
  <si>
    <t>Snake Pokémon</t>
  </si>
  <si>
    <t>Arboアーボ</t>
  </si>
  <si>
    <t>Ekans</t>
  </si>
  <si>
    <t>Cobra Pokémon</t>
  </si>
  <si>
    <t>Arbokアーボック</t>
  </si>
  <si>
    <t>Arbok</t>
  </si>
  <si>
    <t>Pikachuピカチュウ</t>
  </si>
  <si>
    <t>Pikachu</t>
  </si>
  <si>
    <t>electric</t>
  </si>
  <si>
    <t>Raichuライチュウ</t>
  </si>
  <si>
    <t>Raichu</t>
  </si>
  <si>
    <t>Sandサンド</t>
  </si>
  <si>
    <t>Sandshrew</t>
  </si>
  <si>
    <t>ground</t>
  </si>
  <si>
    <t>ice</t>
  </si>
  <si>
    <t>Sandpanサンドパン</t>
  </si>
  <si>
    <t>Sandslash</t>
  </si>
  <si>
    <t>Poison Pin Pokémon</t>
  </si>
  <si>
    <t>Nidoran?ニドラン♀</t>
  </si>
  <si>
    <t>Nidoran♀</t>
  </si>
  <si>
    <t>Nidorinaニドリーナ</t>
  </si>
  <si>
    <t>Nidorina</t>
  </si>
  <si>
    <t>Drill Pokémon</t>
  </si>
  <si>
    <t>Nidoqueenニドクイン</t>
  </si>
  <si>
    <t>Nidoqueen</t>
  </si>
  <si>
    <t>Nidoran?ニドラン♂</t>
  </si>
  <si>
    <t>Nidoran♂</t>
  </si>
  <si>
    <t>Nidorinoニドリーノ</t>
  </si>
  <si>
    <t>Nidorino</t>
  </si>
  <si>
    <t>Nidokingニドキング</t>
  </si>
  <si>
    <t>Nidoking</t>
  </si>
  <si>
    <t>Fairy Pokémon</t>
  </si>
  <si>
    <t>Pippiピッピ</t>
  </si>
  <si>
    <t>Clefairy</t>
  </si>
  <si>
    <t>fairy</t>
  </si>
  <si>
    <t>Pixyピクシー</t>
  </si>
  <si>
    <t>Clefable</t>
  </si>
  <si>
    <t>Fox Pokémon</t>
  </si>
  <si>
    <t>Rokonロコン</t>
  </si>
  <si>
    <t>Vulpix</t>
  </si>
  <si>
    <t>Kyukonキュウコン</t>
  </si>
  <si>
    <t>Ninetales</t>
  </si>
  <si>
    <t>Balloon Pokémon</t>
  </si>
  <si>
    <t>Purinプリン</t>
  </si>
  <si>
    <t>Jigglypuff</t>
  </si>
  <si>
    <t>Pukurinプクリン</t>
  </si>
  <si>
    <t>Wigglytuff</t>
  </si>
  <si>
    <t>Bat Pokémon</t>
  </si>
  <si>
    <t>Zubatズバット</t>
  </si>
  <si>
    <t>Zubat</t>
  </si>
  <si>
    <t>Golbatゴルバット</t>
  </si>
  <si>
    <t>Golbat</t>
  </si>
  <si>
    <t>Weed Pokémon</t>
  </si>
  <si>
    <t>Nazonokusaナゾノクサ</t>
  </si>
  <si>
    <t>Oddish</t>
  </si>
  <si>
    <t>Kusaihanaクサイハナ</t>
  </si>
  <si>
    <t>Gloom</t>
  </si>
  <si>
    <t>Flower Pokémon</t>
  </si>
  <si>
    <t>Ruffresiaラフレシア</t>
  </si>
  <si>
    <t>Vileplume</t>
  </si>
  <si>
    <t>Mushroom Pokémon</t>
  </si>
  <si>
    <t>Parasパラス</t>
  </si>
  <si>
    <t>Paras</t>
  </si>
  <si>
    <t>Parasectパラセクト</t>
  </si>
  <si>
    <t>Parasect</t>
  </si>
  <si>
    <t>Insect Pokémon</t>
  </si>
  <si>
    <t>Kongpangコンパン</t>
  </si>
  <si>
    <t>Venonat</t>
  </si>
  <si>
    <t>Poison Moth Pokémon</t>
  </si>
  <si>
    <t>Morphonモルフォン</t>
  </si>
  <si>
    <t>Venomoth</t>
  </si>
  <si>
    <t>Mole Pokémon</t>
  </si>
  <si>
    <t>Digdaディグダ</t>
  </si>
  <si>
    <t>Diglett</t>
  </si>
  <si>
    <t>Dugtrioダグトリオ</t>
  </si>
  <si>
    <t>Dugtrio</t>
  </si>
  <si>
    <t>Scratch Cat Pokémon</t>
  </si>
  <si>
    <t>Nyarthニャース</t>
  </si>
  <si>
    <t>Meowth</t>
  </si>
  <si>
    <t>Classy Cat Pokémon</t>
  </si>
  <si>
    <t>Persianペルシアン</t>
  </si>
  <si>
    <t>Persian</t>
  </si>
  <si>
    <t>Duck Pokémon</t>
  </si>
  <si>
    <t>Koduckコダック</t>
  </si>
  <si>
    <t>Psyduck</t>
  </si>
  <si>
    <t>Golduckゴルダック</t>
  </si>
  <si>
    <t>Golduck</t>
  </si>
  <si>
    <t>Pig Monkey Pokémon</t>
  </si>
  <si>
    <t>Mankeyマンキー</t>
  </si>
  <si>
    <t>Mankey</t>
  </si>
  <si>
    <t>fighting</t>
  </si>
  <si>
    <t>Okorizaruオコリザル</t>
  </si>
  <si>
    <t>Primeape</t>
  </si>
  <si>
    <t>Puppy Pokémon</t>
  </si>
  <si>
    <t>Gardieガーディ</t>
  </si>
  <si>
    <t>Growlithe</t>
  </si>
  <si>
    <t>Legendary Pokémon</t>
  </si>
  <si>
    <t>Windieウインディ</t>
  </si>
  <si>
    <t>Arcanine</t>
  </si>
  <si>
    <t>Tadpole Pokémon</t>
  </si>
  <si>
    <t>Nyoromoニョロモ</t>
  </si>
  <si>
    <t>Poliwag</t>
  </si>
  <si>
    <t>Nyorozoニョロゾ</t>
  </si>
  <si>
    <t>Poliwhirl</t>
  </si>
  <si>
    <t>Nyorobonニョロボン</t>
  </si>
  <si>
    <t>Poliwrath</t>
  </si>
  <si>
    <t>Psi Pokémon</t>
  </si>
  <si>
    <t>Caseyケーシィ</t>
  </si>
  <si>
    <t>Abra</t>
  </si>
  <si>
    <t>psychic</t>
  </si>
  <si>
    <t>Yungererユンゲラー</t>
  </si>
  <si>
    <t>Kadabra</t>
  </si>
  <si>
    <t>Foodinフーディン</t>
  </si>
  <si>
    <t>Alakazam</t>
  </si>
  <si>
    <t>Superpower Pokémon</t>
  </si>
  <si>
    <t>Wanrikyワンリキー</t>
  </si>
  <si>
    <t>Machop</t>
  </si>
  <si>
    <t>Gorikyゴーリキー</t>
  </si>
  <si>
    <t>Machoke</t>
  </si>
  <si>
    <t>Kairikyカイリキー</t>
  </si>
  <si>
    <t>Machamp</t>
  </si>
  <si>
    <t>Madatsubomiマダツボミ</t>
  </si>
  <si>
    <t>Bellsprout</t>
  </si>
  <si>
    <t>Flycatcher Pokémon</t>
  </si>
  <si>
    <t>Utsudonウツドン</t>
  </si>
  <si>
    <t>Weepinbell</t>
  </si>
  <si>
    <t>Utsubotウツボット</t>
  </si>
  <si>
    <t>Victreebel</t>
  </si>
  <si>
    <t>Jellyfish Pokémon</t>
  </si>
  <si>
    <t>Menokurageメノクラゲ</t>
  </si>
  <si>
    <t>Tentacool</t>
  </si>
  <si>
    <t>Dokukurageドククラゲ</t>
  </si>
  <si>
    <t>Tentacruel</t>
  </si>
  <si>
    <t>Rock Pokémon</t>
  </si>
  <si>
    <t>Isitsubuteイシツブテ</t>
  </si>
  <si>
    <t>Geodude</t>
  </si>
  <si>
    <t>rock</t>
  </si>
  <si>
    <t>Goloneゴローン</t>
  </si>
  <si>
    <t>Graveler</t>
  </si>
  <si>
    <t>Megaton Pokémon</t>
  </si>
  <si>
    <t>Golonyaゴローニャ</t>
  </si>
  <si>
    <t>Golem</t>
  </si>
  <si>
    <t>Fire Horse Pokémon</t>
  </si>
  <si>
    <t>Ponytaポニータ</t>
  </si>
  <si>
    <t>Ponyta</t>
  </si>
  <si>
    <t>Gallopギャロップ</t>
  </si>
  <si>
    <t>Rapidash</t>
  </si>
  <si>
    <t>Dopey Pokémon</t>
  </si>
  <si>
    <t>Yadonヤドン</t>
  </si>
  <si>
    <t>Slowpoke</t>
  </si>
  <si>
    <t>Hermit Crab Pokémon</t>
  </si>
  <si>
    <t>Yadoranヤドラン</t>
  </si>
  <si>
    <t>Slowbro</t>
  </si>
  <si>
    <t>Magnet Pokémon</t>
  </si>
  <si>
    <t>Coilコイル</t>
  </si>
  <si>
    <t>Magnemite</t>
  </si>
  <si>
    <t>steel</t>
  </si>
  <si>
    <t>Rarecoilレアコイル</t>
  </si>
  <si>
    <t>Magneton</t>
  </si>
  <si>
    <t>Wild Duck Pokémon</t>
  </si>
  <si>
    <t>Kamonegiカモネギ</t>
  </si>
  <si>
    <t>Farfetch'd</t>
  </si>
  <si>
    <t>Twin Bird Pokémon</t>
  </si>
  <si>
    <t>Dodoドードー</t>
  </si>
  <si>
    <t>Doduo</t>
  </si>
  <si>
    <t>Triple Bird Pokémon</t>
  </si>
  <si>
    <t>Dodorioドードリオ</t>
  </si>
  <si>
    <t>Dodrio</t>
  </si>
  <si>
    <t>Sea Lion Pokémon</t>
  </si>
  <si>
    <t>Pawouパウワウ</t>
  </si>
  <si>
    <t>Seel</t>
  </si>
  <si>
    <t>Jugonジュゴン</t>
  </si>
  <si>
    <t>Dewgong</t>
  </si>
  <si>
    <t>Sludge Pokémon</t>
  </si>
  <si>
    <t>Betbeterベトベター</t>
  </si>
  <si>
    <t>Grimer</t>
  </si>
  <si>
    <t>Betbetonベトベトン</t>
  </si>
  <si>
    <t>Muk</t>
  </si>
  <si>
    <t>Bivalve Pokémon</t>
  </si>
  <si>
    <t>Shellderシェルダー</t>
  </si>
  <si>
    <t>Shellder</t>
  </si>
  <si>
    <t>Parshenパルシェン</t>
  </si>
  <si>
    <t>Cloyster</t>
  </si>
  <si>
    <t>Gas Pokémon</t>
  </si>
  <si>
    <t>Ghosゴース</t>
  </si>
  <si>
    <t>Gastly</t>
  </si>
  <si>
    <t>ghost</t>
  </si>
  <si>
    <t>Ghostゴースト</t>
  </si>
  <si>
    <t>Haunter</t>
  </si>
  <si>
    <t>Shadow Pokémon</t>
  </si>
  <si>
    <t>Gangarゲンガー</t>
  </si>
  <si>
    <t>Gengar</t>
  </si>
  <si>
    <t>Rock Snake Pokémon</t>
  </si>
  <si>
    <t>Iwarkイワーク</t>
  </si>
  <si>
    <t>Onix</t>
  </si>
  <si>
    <t>Hypnosis Pokémon</t>
  </si>
  <si>
    <t>Sleepeスリープ</t>
  </si>
  <si>
    <t>Drowzee</t>
  </si>
  <si>
    <t>Sleeperスリーパー</t>
  </si>
  <si>
    <t>Hypno</t>
  </si>
  <si>
    <t>River Crab Pokémon</t>
  </si>
  <si>
    <t>Crabクラブ</t>
  </si>
  <si>
    <t>Krabby</t>
  </si>
  <si>
    <t>Pincer Pokémon</t>
  </si>
  <si>
    <t>Kinglerキングラー</t>
  </si>
  <si>
    <t>Kingler</t>
  </si>
  <si>
    <t>Ball Pokémon</t>
  </si>
  <si>
    <t>Biriridamaビリリダマ</t>
  </si>
  <si>
    <t>Voltorb</t>
  </si>
  <si>
    <t>Marumineマルマイン</t>
  </si>
  <si>
    <t>Electrode</t>
  </si>
  <si>
    <t>Egg Pokémon</t>
  </si>
  <si>
    <t>Tamatamaタマタマ</t>
  </si>
  <si>
    <t>Exeggcute</t>
  </si>
  <si>
    <t>Coconut Pokémon</t>
  </si>
  <si>
    <t>Nassyナッシー</t>
  </si>
  <si>
    <t>Exeggutor</t>
  </si>
  <si>
    <t>Lonely Pokémon</t>
  </si>
  <si>
    <t>Karakaraカラカラ</t>
  </si>
  <si>
    <t>Cubone</t>
  </si>
  <si>
    <t>Bone Keeper Pokémon</t>
  </si>
  <si>
    <t>Garagaraガラガラ</t>
  </si>
  <si>
    <t>Marowak</t>
  </si>
  <si>
    <t>Kicking Pokémon</t>
  </si>
  <si>
    <t>Sawamularサワムラー</t>
  </si>
  <si>
    <t>Hitmonlee</t>
  </si>
  <si>
    <t>Punching Pokémon</t>
  </si>
  <si>
    <t>Ebiwalarエビワラー</t>
  </si>
  <si>
    <t>Hitmonchan</t>
  </si>
  <si>
    <t>Licking Pokémon</t>
  </si>
  <si>
    <t>Beroringaベロリンガ</t>
  </si>
  <si>
    <t>Lickitung</t>
  </si>
  <si>
    <t>Poison Gas Pokémon</t>
  </si>
  <si>
    <t>Dogarsドガース</t>
  </si>
  <si>
    <t>Koffing</t>
  </si>
  <si>
    <t>Matadogasマタドガス</t>
  </si>
  <si>
    <t>Weezing</t>
  </si>
  <si>
    <t>Spikes Pokémon</t>
  </si>
  <si>
    <t>Sihornサイホーン</t>
  </si>
  <si>
    <t>Rhyhorn</t>
  </si>
  <si>
    <t>Sidonサイドン</t>
  </si>
  <si>
    <t>Rhydon</t>
  </si>
  <si>
    <t>Luckyラッキー</t>
  </si>
  <si>
    <t>Chansey</t>
  </si>
  <si>
    <t>Vine Pokémon</t>
  </si>
  <si>
    <t>Monjaraモンジャラ</t>
  </si>
  <si>
    <t>Tangela</t>
  </si>
  <si>
    <t>Parent Pokémon</t>
  </si>
  <si>
    <t>Garuraガルーラ</t>
  </si>
  <si>
    <t>Kangaskhan</t>
  </si>
  <si>
    <t>Dragon Pokémon</t>
  </si>
  <si>
    <t>Tattuタッツー</t>
  </si>
  <si>
    <t>Horsea</t>
  </si>
  <si>
    <t>Seadraシードラ</t>
  </si>
  <si>
    <t>Seadra</t>
  </si>
  <si>
    <t>Goldfish Pokémon</t>
  </si>
  <si>
    <t>Tosakintoトサキント</t>
  </si>
  <si>
    <t>Goldeen</t>
  </si>
  <si>
    <t>Azumaoアズマオウ</t>
  </si>
  <si>
    <t>Seaking</t>
  </si>
  <si>
    <t>Starshape Pokémon</t>
  </si>
  <si>
    <t>Hitodemanヒトデマン</t>
  </si>
  <si>
    <t>Staryu</t>
  </si>
  <si>
    <t>Mysterious Pokémon</t>
  </si>
  <si>
    <t>Starmieスターミー</t>
  </si>
  <si>
    <t>Starmie</t>
  </si>
  <si>
    <t>Barrier Pokémon</t>
  </si>
  <si>
    <t>Barrierdバリヤード</t>
  </si>
  <si>
    <t>Mantis Pokémon</t>
  </si>
  <si>
    <t>Strikeストライク</t>
  </si>
  <si>
    <t>Scyther</t>
  </si>
  <si>
    <t>Humanshape Pokémon</t>
  </si>
  <si>
    <t>Rougelaルージュラ</t>
  </si>
  <si>
    <t>Jynx</t>
  </si>
  <si>
    <t>Electric Pokémon</t>
  </si>
  <si>
    <t>Elebooエレブー</t>
  </si>
  <si>
    <t>Electabuzz</t>
  </si>
  <si>
    <t>Spitfire Pokémon</t>
  </si>
  <si>
    <t>Booberブーバー</t>
  </si>
  <si>
    <t>Magmar</t>
  </si>
  <si>
    <t>Stagbeetle Pokémon</t>
  </si>
  <si>
    <t>Kailiosカイロス</t>
  </si>
  <si>
    <t>Pinsir</t>
  </si>
  <si>
    <t>Wild Bull Pokémon</t>
  </si>
  <si>
    <t>Kentaurosケンタロス</t>
  </si>
  <si>
    <t>Tauros</t>
  </si>
  <si>
    <t>Fish Pokémon</t>
  </si>
  <si>
    <t>Koikingコイキング</t>
  </si>
  <si>
    <t>Magikarp</t>
  </si>
  <si>
    <t>Atrocious Pokémon</t>
  </si>
  <si>
    <t>Gyaradosギャラドス</t>
  </si>
  <si>
    <t>Gyarados</t>
  </si>
  <si>
    <t>Transport Pokémon</t>
  </si>
  <si>
    <t>Laplaceラプラス</t>
  </si>
  <si>
    <t>Lapras</t>
  </si>
  <si>
    <t>Transform Pokémon</t>
  </si>
  <si>
    <t>Metamonメタモン</t>
  </si>
  <si>
    <t>Ditto</t>
  </si>
  <si>
    <t>Evolution Pokémon</t>
  </si>
  <si>
    <t>Eievuiイーブイ</t>
  </si>
  <si>
    <t>Eevee</t>
  </si>
  <si>
    <t>Bubble Jet Pokémon</t>
  </si>
  <si>
    <t>Showersシャワーズ</t>
  </si>
  <si>
    <t>Vaporeon</t>
  </si>
  <si>
    <t>Lightning Pokémon</t>
  </si>
  <si>
    <t>Thundersサンダース</t>
  </si>
  <si>
    <t>Jolteon</t>
  </si>
  <si>
    <t>Boosterブースター</t>
  </si>
  <si>
    <t>Flareon</t>
  </si>
  <si>
    <t>Virtual Pokémon</t>
  </si>
  <si>
    <t>Porygonポリゴン</t>
  </si>
  <si>
    <t>Porygon</t>
  </si>
  <si>
    <t>Spiral Pokémon</t>
  </si>
  <si>
    <t>Omniteオムナイト</t>
  </si>
  <si>
    <t>Omanyte</t>
  </si>
  <si>
    <t>Omstarオムスター</t>
  </si>
  <si>
    <t>Omastar</t>
  </si>
  <si>
    <t>Kabutoカブト</t>
  </si>
  <si>
    <t>Kabuto</t>
  </si>
  <si>
    <t>Kabutopsカブトプス</t>
  </si>
  <si>
    <t>Kabutops</t>
  </si>
  <si>
    <t>Fossil Pokémon</t>
  </si>
  <si>
    <t>Pteraプテラ</t>
  </si>
  <si>
    <t>Aerodactyl</t>
  </si>
  <si>
    <t>Sleeping Pokémon</t>
  </si>
  <si>
    <t>Kabigonカビゴン</t>
  </si>
  <si>
    <t>Snorlax</t>
  </si>
  <si>
    <t>Freeze Pokémon</t>
  </si>
  <si>
    <t>Freezerフリーザー</t>
  </si>
  <si>
    <t>Articuno</t>
  </si>
  <si>
    <t>Thunderサンダー</t>
  </si>
  <si>
    <t>Zapdos</t>
  </si>
  <si>
    <t>Fireファイヤー</t>
  </si>
  <si>
    <t>Moltres</t>
  </si>
  <si>
    <t>Miniryuミニリュウ</t>
  </si>
  <si>
    <t>Dratini</t>
  </si>
  <si>
    <t>dragon</t>
  </si>
  <si>
    <t>Hakuryuハクリュー</t>
  </si>
  <si>
    <t>Dragonair</t>
  </si>
  <si>
    <t>Kairyuカイリュー</t>
  </si>
  <si>
    <t>Dragonite</t>
  </si>
  <si>
    <t>Genetic Pokémon</t>
  </si>
  <si>
    <t>Mewtwoミュウツー</t>
  </si>
  <si>
    <t>Mewtwo</t>
  </si>
  <si>
    <t>New Species Pokémon</t>
  </si>
  <si>
    <t>Mewミュウ</t>
  </si>
  <si>
    <t>Mew</t>
  </si>
  <si>
    <t>Leaf Pokémon</t>
  </si>
  <si>
    <t>Chicoritaチコリータ</t>
  </si>
  <si>
    <t>Chikorita</t>
  </si>
  <si>
    <t>Bayleafベイリーフ</t>
  </si>
  <si>
    <t>Bayleef</t>
  </si>
  <si>
    <t>Herb Pokémon</t>
  </si>
  <si>
    <t>Meganiumメガニウム</t>
  </si>
  <si>
    <t>Meganium</t>
  </si>
  <si>
    <t>Fire Mouse Pokémon</t>
  </si>
  <si>
    <t>Hinoarashiヒノアラシ</t>
  </si>
  <si>
    <t>Cyndaquil</t>
  </si>
  <si>
    <t>Volcano Pokémon</t>
  </si>
  <si>
    <t>Magmarashiマグマラシ</t>
  </si>
  <si>
    <t>Quilava</t>
  </si>
  <si>
    <t>Bakphoonバクフーン</t>
  </si>
  <si>
    <t>Typhlosion</t>
  </si>
  <si>
    <t>Big Jaw Pokémon</t>
  </si>
  <si>
    <t>Waninokoワニノコ</t>
  </si>
  <si>
    <t>Totodile</t>
  </si>
  <si>
    <t>Alligatesアリゲイツ</t>
  </si>
  <si>
    <t>Croconaw</t>
  </si>
  <si>
    <t>Ordileオーダイル</t>
  </si>
  <si>
    <t>Feraligatr</t>
  </si>
  <si>
    <t>Scout Pokémon</t>
  </si>
  <si>
    <t>Otachiオタチ</t>
  </si>
  <si>
    <t>Sentret</t>
  </si>
  <si>
    <t>Long Body Pokémon</t>
  </si>
  <si>
    <t>Ootachiオオタチ</t>
  </si>
  <si>
    <t>Furret</t>
  </si>
  <si>
    <t>Owl Pokémon</t>
  </si>
  <si>
    <t>Hohoホーホー</t>
  </si>
  <si>
    <t>Hoothoot</t>
  </si>
  <si>
    <t>Yorunozukuヨルノズク</t>
  </si>
  <si>
    <t>Noctowl</t>
  </si>
  <si>
    <t>Five Star Pokémon</t>
  </si>
  <si>
    <t>Redibaレディバ</t>
  </si>
  <si>
    <t>Ledyba</t>
  </si>
  <si>
    <t>Redianレディアン</t>
  </si>
  <si>
    <t>Ledian</t>
  </si>
  <si>
    <t>String Spit Pokémon</t>
  </si>
  <si>
    <t>Itomaruイトマル</t>
  </si>
  <si>
    <t>Spinarak</t>
  </si>
  <si>
    <t>Long Leg Pokémon</t>
  </si>
  <si>
    <t>Ariadosアリアドス</t>
  </si>
  <si>
    <t>Ariados</t>
  </si>
  <si>
    <t>Crobatクロバット</t>
  </si>
  <si>
    <t>Crobat</t>
  </si>
  <si>
    <t>Angler Pokémon</t>
  </si>
  <si>
    <t>Chonchieチョンチー</t>
  </si>
  <si>
    <t>Chinchou</t>
  </si>
  <si>
    <t>Light Pokémon</t>
  </si>
  <si>
    <t>Lanternランターン</t>
  </si>
  <si>
    <t>Lanturn</t>
  </si>
  <si>
    <t>Tiny Mouse Pokémon</t>
  </si>
  <si>
    <t>Pichuピチュー</t>
  </si>
  <si>
    <t>Pichu</t>
  </si>
  <si>
    <t>Star Shape Pokémon</t>
  </si>
  <si>
    <t>Pyピィ</t>
  </si>
  <si>
    <t>Cleffa</t>
  </si>
  <si>
    <t>Pupurinププリン</t>
  </si>
  <si>
    <t>Igglybuff</t>
  </si>
  <si>
    <t>Spike Ball Pokémon</t>
  </si>
  <si>
    <t>Togepyトゲピー</t>
  </si>
  <si>
    <t>Togepi</t>
  </si>
  <si>
    <t>Happiness Pokémon</t>
  </si>
  <si>
    <t>Togechickトゲチック</t>
  </si>
  <si>
    <t>Togetic</t>
  </si>
  <si>
    <t>Little Bird Pokémon</t>
  </si>
  <si>
    <t>Natyネイティ</t>
  </si>
  <si>
    <t>Natu</t>
  </si>
  <si>
    <t>Mystic Pokémon</t>
  </si>
  <si>
    <t>Natioネイティオ</t>
  </si>
  <si>
    <t>Xatu</t>
  </si>
  <si>
    <t>Wool Pokémon</t>
  </si>
  <si>
    <t>Merriepメリープ</t>
  </si>
  <si>
    <t>Mareep</t>
  </si>
  <si>
    <t>Mokokoモココ</t>
  </si>
  <si>
    <t>Flaaffy</t>
  </si>
  <si>
    <t>Denryuデンリュウ</t>
  </si>
  <si>
    <t>Ampharos</t>
  </si>
  <si>
    <t>Kireihanaキレイハナ</t>
  </si>
  <si>
    <t>Bellossom</t>
  </si>
  <si>
    <t>Aquamouse Pokémon</t>
  </si>
  <si>
    <t>Marilマリル</t>
  </si>
  <si>
    <t>Marill</t>
  </si>
  <si>
    <t>Aquarabbit Pokémon</t>
  </si>
  <si>
    <t>Marilliマリルリ</t>
  </si>
  <si>
    <t>Azumarill</t>
  </si>
  <si>
    <t>Imitation Pokémon</t>
  </si>
  <si>
    <t>Usokkieウソッキー</t>
  </si>
  <si>
    <t>Sudowoodo</t>
  </si>
  <si>
    <t>Frog Pokémon</t>
  </si>
  <si>
    <t>Nyorotonoニョロトノ</t>
  </si>
  <si>
    <t>Politoed</t>
  </si>
  <si>
    <t>Cottonweed Pokémon</t>
  </si>
  <si>
    <t>Haneccoハネッコ</t>
  </si>
  <si>
    <t>Hoppip</t>
  </si>
  <si>
    <t>Popoccoポポッコ</t>
  </si>
  <si>
    <t>Skiploom</t>
  </si>
  <si>
    <t>Wataccoワタッコ</t>
  </si>
  <si>
    <t>Jumpluff</t>
  </si>
  <si>
    <t>Long Tail Pokémon</t>
  </si>
  <si>
    <t>Eipamエイパム</t>
  </si>
  <si>
    <t>Aipom</t>
  </si>
  <si>
    <t>Himanutsヒマナッツ</t>
  </si>
  <si>
    <t>Sunkern</t>
  </si>
  <si>
    <t>Sun Pokémon</t>
  </si>
  <si>
    <t>Kimawariキマワリ</t>
  </si>
  <si>
    <t>Sunflora</t>
  </si>
  <si>
    <t>Clear Wing Pokémon</t>
  </si>
  <si>
    <t>Yanyanmaヤンヤンマ</t>
  </si>
  <si>
    <t>Yanma</t>
  </si>
  <si>
    <t>Water Fish Pokémon</t>
  </si>
  <si>
    <t>Upahウパー</t>
  </si>
  <si>
    <t>Wooper</t>
  </si>
  <si>
    <t>Nuohヌオー</t>
  </si>
  <si>
    <t>Quagsire</t>
  </si>
  <si>
    <t>Eifieエーフィ</t>
  </si>
  <si>
    <t>Espeon</t>
  </si>
  <si>
    <t>Moonlight Pokémon</t>
  </si>
  <si>
    <t>Blackyブラッキー</t>
  </si>
  <si>
    <t>Umbreon</t>
  </si>
  <si>
    <t>Darkness Pokémon</t>
  </si>
  <si>
    <t>Yamikarasuヤミカラス</t>
  </si>
  <si>
    <t>Murkrow</t>
  </si>
  <si>
    <t>Royal Pokémon</t>
  </si>
  <si>
    <t>Yadokingヤドキング</t>
  </si>
  <si>
    <t>Slowking</t>
  </si>
  <si>
    <t>Screech Pokémon</t>
  </si>
  <si>
    <t>Mumaムウマ</t>
  </si>
  <si>
    <t>Misdreavus</t>
  </si>
  <si>
    <t>Symbol Pokémon</t>
  </si>
  <si>
    <t>Unknownアンノーン</t>
  </si>
  <si>
    <t>Unown</t>
  </si>
  <si>
    <t>Patient Pokémon</t>
  </si>
  <si>
    <t>Sonansソーナンス</t>
  </si>
  <si>
    <t>Wobbuffet</t>
  </si>
  <si>
    <t>Long Neck Pokémon</t>
  </si>
  <si>
    <t>Kirinrikiキリンリキ</t>
  </si>
  <si>
    <t>Girafarig</t>
  </si>
  <si>
    <t>Bagworm Pokémon</t>
  </si>
  <si>
    <t>Kunugidamaクヌギダマ</t>
  </si>
  <si>
    <t>Pineco</t>
  </si>
  <si>
    <t>Foretosフォレトス</t>
  </si>
  <si>
    <t>Forretress</t>
  </si>
  <si>
    <t>Land Snake Pokémon</t>
  </si>
  <si>
    <t>Nokocchiノコッチ</t>
  </si>
  <si>
    <t>Dunsparce</t>
  </si>
  <si>
    <t>Flyscorpion Pokémon</t>
  </si>
  <si>
    <t>Gligerグライガー</t>
  </si>
  <si>
    <t>Gligar</t>
  </si>
  <si>
    <t>Iron Snake Pokémon</t>
  </si>
  <si>
    <t>Haganeilハガネール</t>
  </si>
  <si>
    <t>Steelix</t>
  </si>
  <si>
    <t>Buluブルー</t>
  </si>
  <si>
    <t>Snubbull</t>
  </si>
  <si>
    <t>Granbuluグランブル</t>
  </si>
  <si>
    <t>Granbull</t>
  </si>
  <si>
    <t>Harysenハリーセン</t>
  </si>
  <si>
    <t>Qwilfish</t>
  </si>
  <si>
    <t>Hassamハッサム</t>
  </si>
  <si>
    <t>Scizor</t>
  </si>
  <si>
    <t>Mold Pokémon</t>
  </si>
  <si>
    <t>Tsubotsuboツボツボ</t>
  </si>
  <si>
    <t>Shuckle</t>
  </si>
  <si>
    <t>Singlehorn Pokémon</t>
  </si>
  <si>
    <t>Heracrosヘラクロス</t>
  </si>
  <si>
    <t>Heracross</t>
  </si>
  <si>
    <t>Sharp Claw Pokémon</t>
  </si>
  <si>
    <t>Nyulaニューラ</t>
  </si>
  <si>
    <t>Sneasel</t>
  </si>
  <si>
    <t>Little Bear Pokémon</t>
  </si>
  <si>
    <t>Himegumaヒメグマ</t>
  </si>
  <si>
    <t>Teddiursa</t>
  </si>
  <si>
    <t>Hibernator Pokémon</t>
  </si>
  <si>
    <t>Ringumaリングマ</t>
  </si>
  <si>
    <t>Ursaring</t>
  </si>
  <si>
    <t>Lava Pokémon</t>
  </si>
  <si>
    <t>Magmagマグマッグ</t>
  </si>
  <si>
    <t>Slugma</t>
  </si>
  <si>
    <t>Magcargotマグカルゴ</t>
  </si>
  <si>
    <t>Magcargo</t>
  </si>
  <si>
    <t>Pig Pokémon</t>
  </si>
  <si>
    <t>Urimooウリムー</t>
  </si>
  <si>
    <t>Swinub</t>
  </si>
  <si>
    <t>Swine Pokémon</t>
  </si>
  <si>
    <t>Inomooイノムー</t>
  </si>
  <si>
    <t>Piloswine</t>
  </si>
  <si>
    <t>Coral Pokémon</t>
  </si>
  <si>
    <t>Sunnygoサニーゴ</t>
  </si>
  <si>
    <t>Corsola</t>
  </si>
  <si>
    <t>Jet Pokémon</t>
  </si>
  <si>
    <t>Teppouoテッポウオ</t>
  </si>
  <si>
    <t>Remoraid</t>
  </si>
  <si>
    <t>Okutankオクタン</t>
  </si>
  <si>
    <t>Octillery</t>
  </si>
  <si>
    <t>Delivery Pokémon</t>
  </si>
  <si>
    <t>Delibirdデリバード</t>
  </si>
  <si>
    <t>Delibird</t>
  </si>
  <si>
    <t>Kite Pokémon</t>
  </si>
  <si>
    <t>Mantainマンタイン</t>
  </si>
  <si>
    <t>Mantine</t>
  </si>
  <si>
    <t>Armor Bird Pokémon</t>
  </si>
  <si>
    <t>Airmdエアームド</t>
  </si>
  <si>
    <t>Skarmory</t>
  </si>
  <si>
    <t>Dark Pokémon</t>
  </si>
  <si>
    <t>Delvilデルビル</t>
  </si>
  <si>
    <t>Houndour</t>
  </si>
  <si>
    <t>Hellgarヘルガー</t>
  </si>
  <si>
    <t>Houndoom</t>
  </si>
  <si>
    <t>Kingdraキングドラ</t>
  </si>
  <si>
    <t>Kingdra</t>
  </si>
  <si>
    <t>Long Nose Pokémon</t>
  </si>
  <si>
    <t>Gomazouゴマゾウ</t>
  </si>
  <si>
    <t>Phanpy</t>
  </si>
  <si>
    <t>Armor Pokémon</t>
  </si>
  <si>
    <t>Donfanドンファン</t>
  </si>
  <si>
    <t>Donphan</t>
  </si>
  <si>
    <t>Porygon2ポリゴン２</t>
  </si>
  <si>
    <t>Porygon2</t>
  </si>
  <si>
    <t>Big Horn Pokémon</t>
  </si>
  <si>
    <t>Odoshishiオドシシ</t>
  </si>
  <si>
    <t>Stantler</t>
  </si>
  <si>
    <t>Painter Pokémon</t>
  </si>
  <si>
    <t>Dobleドーブル</t>
  </si>
  <si>
    <t>Smeargle</t>
  </si>
  <si>
    <t>Scuffle Pokémon</t>
  </si>
  <si>
    <t>Balkieバルキー</t>
  </si>
  <si>
    <t>Tyrogue</t>
  </si>
  <si>
    <t>Handstand Pokémon</t>
  </si>
  <si>
    <t>Kapoererカポエラー</t>
  </si>
  <si>
    <t>Hitmontop</t>
  </si>
  <si>
    <t>Kiss Pokémon</t>
  </si>
  <si>
    <t>Muchulムチュール</t>
  </si>
  <si>
    <t>Smoochum</t>
  </si>
  <si>
    <t>Elekidエレキッド</t>
  </si>
  <si>
    <t>Elekid</t>
  </si>
  <si>
    <t>Live Coal Pokémon</t>
  </si>
  <si>
    <t>Bubyブビィ</t>
  </si>
  <si>
    <t>Magby</t>
  </si>
  <si>
    <t>Milk Cow Pokémon</t>
  </si>
  <si>
    <t>Miltankミルタンク</t>
  </si>
  <si>
    <t>Miltank</t>
  </si>
  <si>
    <t>Happinasハピナス</t>
  </si>
  <si>
    <t>Blissey</t>
  </si>
  <si>
    <t>Thunder Pokémon</t>
  </si>
  <si>
    <t>Raikouライコウ</t>
  </si>
  <si>
    <t>Raikou</t>
  </si>
  <si>
    <t>Enteiエンテイ</t>
  </si>
  <si>
    <t>Entei</t>
  </si>
  <si>
    <t>Aurora Pokémon</t>
  </si>
  <si>
    <t>Suicuneスイクン</t>
  </si>
  <si>
    <t>Suicune</t>
  </si>
  <si>
    <t>Rock Skin Pokémon</t>
  </si>
  <si>
    <t>Yogirasヨーギラス</t>
  </si>
  <si>
    <t>Larvitar</t>
  </si>
  <si>
    <t>Hard Shell Pokémon</t>
  </si>
  <si>
    <t>Sanagirasサナギラス</t>
  </si>
  <si>
    <t>Pupitar</t>
  </si>
  <si>
    <t>Bangirasバンギラス</t>
  </si>
  <si>
    <t>Tyranitar</t>
  </si>
  <si>
    <t>Diving Pokémon</t>
  </si>
  <si>
    <t>Lugiaルギア</t>
  </si>
  <si>
    <t>Lugia</t>
  </si>
  <si>
    <t>Rainbow Pokémon</t>
  </si>
  <si>
    <t>Hououホウオウ</t>
  </si>
  <si>
    <t>Ho-Oh</t>
  </si>
  <si>
    <t>Time Travel Pokémon</t>
  </si>
  <si>
    <t>Celebiセレビィ</t>
  </si>
  <si>
    <t>Celebi</t>
  </si>
  <si>
    <t>Wood Gecko Pokémon</t>
  </si>
  <si>
    <t>Kimoriキモリ</t>
  </si>
  <si>
    <t>Treecko</t>
  </si>
  <si>
    <t>Juptileジュプトル</t>
  </si>
  <si>
    <t>Grovyle</t>
  </si>
  <si>
    <t>Forest Pokémon</t>
  </si>
  <si>
    <t>Jukainジュカイン</t>
  </si>
  <si>
    <t>Sceptile</t>
  </si>
  <si>
    <t>Chick Pokémon</t>
  </si>
  <si>
    <t>Achamoアチャモ</t>
  </si>
  <si>
    <t>Torchic</t>
  </si>
  <si>
    <t>Young Fowl Pokémon</t>
  </si>
  <si>
    <t>Wakasyamoワカシャモ</t>
  </si>
  <si>
    <t>Combusken</t>
  </si>
  <si>
    <t>Blaze Pokémon</t>
  </si>
  <si>
    <t>Bursyamoバシャーモ</t>
  </si>
  <si>
    <t>Blaziken</t>
  </si>
  <si>
    <t>Mud Fish Pokémon</t>
  </si>
  <si>
    <t>Mizugorouミズゴロウ</t>
  </si>
  <si>
    <t>Mudkip</t>
  </si>
  <si>
    <t>Numacrawヌマクロー</t>
  </si>
  <si>
    <t>Marshtomp</t>
  </si>
  <si>
    <t>Laglargeラグラージ</t>
  </si>
  <si>
    <t>Swampert</t>
  </si>
  <si>
    <t>Bite Pokémon</t>
  </si>
  <si>
    <t>Pochienaポチエナ</t>
  </si>
  <si>
    <t>Poochyena</t>
  </si>
  <si>
    <t>Graenaグラエナ</t>
  </si>
  <si>
    <t>Mightyena</t>
  </si>
  <si>
    <t>Tiny Racoon Pokémon</t>
  </si>
  <si>
    <t>Jiguzagumaジグザグマ</t>
  </si>
  <si>
    <t>Zigzagoon</t>
  </si>
  <si>
    <t>Rush Pokémon</t>
  </si>
  <si>
    <t>Massugumaマッスグマ</t>
  </si>
  <si>
    <t>Linoone</t>
  </si>
  <si>
    <t>Kemussoケムッソ</t>
  </si>
  <si>
    <t>Wurmple</t>
  </si>
  <si>
    <t>Karasalisカラサリス</t>
  </si>
  <si>
    <t>Silcoon</t>
  </si>
  <si>
    <t>Agehuntアゲハント</t>
  </si>
  <si>
    <t>Beautifly</t>
  </si>
  <si>
    <t>Mayuldマユルド</t>
  </si>
  <si>
    <t>Cascoon</t>
  </si>
  <si>
    <t>Dokucaleドクケイル</t>
  </si>
  <si>
    <t>Dustox</t>
  </si>
  <si>
    <t>Water Weed Pokémon</t>
  </si>
  <si>
    <t>Hassbohハスボー</t>
  </si>
  <si>
    <t>Lotad</t>
  </si>
  <si>
    <t>Jolly Pokémon</t>
  </si>
  <si>
    <t>Hasubreroハスブレロ</t>
  </si>
  <si>
    <t>Lombre</t>
  </si>
  <si>
    <t>Carefree Pokémon</t>
  </si>
  <si>
    <t>Runpappaルンパッパ</t>
  </si>
  <si>
    <t>Ludicolo</t>
  </si>
  <si>
    <t>Acorn Pokémon</t>
  </si>
  <si>
    <t>Tanebohタネボー</t>
  </si>
  <si>
    <t>Seedot</t>
  </si>
  <si>
    <t>Wily Pokémon</t>
  </si>
  <si>
    <t>Konohanaコノハナ</t>
  </si>
  <si>
    <t>Nuzleaf</t>
  </si>
  <si>
    <t>Wickid Pokémon</t>
  </si>
  <si>
    <t>Dirtengダーテング</t>
  </si>
  <si>
    <t>Shiftry</t>
  </si>
  <si>
    <t>TinySwallow Pokémon</t>
  </si>
  <si>
    <t>Subameスバメ</t>
  </si>
  <si>
    <t>Taillow</t>
  </si>
  <si>
    <t>Swallow Pokémon</t>
  </si>
  <si>
    <t>Ohsubameオオスバメ</t>
  </si>
  <si>
    <t>Swellow</t>
  </si>
  <si>
    <t>Seagull Pokémon</t>
  </si>
  <si>
    <t>Camomeキャモメ</t>
  </si>
  <si>
    <t>Wingull</t>
  </si>
  <si>
    <t>Water Bird Pokémon</t>
  </si>
  <si>
    <t>Pelipperペリッパー</t>
  </si>
  <si>
    <t>Pelipper</t>
  </si>
  <si>
    <t>Feeling Pokémon</t>
  </si>
  <si>
    <t>Raltsラルトス</t>
  </si>
  <si>
    <t>Ralts</t>
  </si>
  <si>
    <t>Emotion Pokémon</t>
  </si>
  <si>
    <t>Kirliaキルリア</t>
  </si>
  <si>
    <t>Kirlia</t>
  </si>
  <si>
    <t>Embrace Pokémon</t>
  </si>
  <si>
    <t>Sirnightサーナイト</t>
  </si>
  <si>
    <t>Gardevoir</t>
  </si>
  <si>
    <t>Pond Skater Pokémon</t>
  </si>
  <si>
    <t>Ametamaアメタマ</t>
  </si>
  <si>
    <t>Surskit</t>
  </si>
  <si>
    <t>Eyeball Pokémon</t>
  </si>
  <si>
    <t>Amemothアメモース</t>
  </si>
  <si>
    <t>Masquerain</t>
  </si>
  <si>
    <t>Kinococoキノココ</t>
  </si>
  <si>
    <t>Shroomish</t>
  </si>
  <si>
    <t>Kinogassaキノガッサ</t>
  </si>
  <si>
    <t>Breloom</t>
  </si>
  <si>
    <t>Slacker Pokémon</t>
  </si>
  <si>
    <t>Namakeroナマケロ</t>
  </si>
  <si>
    <t>Slakoth</t>
  </si>
  <si>
    <t>Wild Monkey Pokémon</t>
  </si>
  <si>
    <t>Yarukimonoヤルキモノ</t>
  </si>
  <si>
    <t>Vigoroth</t>
  </si>
  <si>
    <t>Lazy Pokémon</t>
  </si>
  <si>
    <t>Kekkingケッキング</t>
  </si>
  <si>
    <t>Slaking</t>
  </si>
  <si>
    <t>Trainee Pokémon</t>
  </si>
  <si>
    <t>Tutininツチニン</t>
  </si>
  <si>
    <t>Nincada</t>
  </si>
  <si>
    <t>Ninja Pokémon</t>
  </si>
  <si>
    <t>Tekkaninテッカニン</t>
  </si>
  <si>
    <t>Ninjask</t>
  </si>
  <si>
    <t>Shed Pokémon</t>
  </si>
  <si>
    <t>Nukeninヌケニン</t>
  </si>
  <si>
    <t>Shedinja</t>
  </si>
  <si>
    <t>Whisper Pokémon</t>
  </si>
  <si>
    <t>Gonyonyoゴニョニョ</t>
  </si>
  <si>
    <t>Whismur</t>
  </si>
  <si>
    <t>Big Voice Pokémon</t>
  </si>
  <si>
    <t>Dogohmbドゴーム</t>
  </si>
  <si>
    <t>Loudred</t>
  </si>
  <si>
    <t>Loud Noise Pokémon</t>
  </si>
  <si>
    <t>Bakuongバクオング</t>
  </si>
  <si>
    <t>Exploud</t>
  </si>
  <si>
    <t>Guts Pokémon</t>
  </si>
  <si>
    <t>Makunoshitaマクノシタ</t>
  </si>
  <si>
    <t>Makuhita</t>
  </si>
  <si>
    <t>Arm Thrust Pokémon</t>
  </si>
  <si>
    <t>Hariteyamaハリテヤマ</t>
  </si>
  <si>
    <t>Hariyama</t>
  </si>
  <si>
    <t>Polka Dot Pokémon</t>
  </si>
  <si>
    <t>Ruririルリリ</t>
  </si>
  <si>
    <t>Azurill</t>
  </si>
  <si>
    <t>Compass Pokémon</t>
  </si>
  <si>
    <t>Nosepassノズパス</t>
  </si>
  <si>
    <t>Nosepass</t>
  </si>
  <si>
    <t>Kitten Pokémon</t>
  </si>
  <si>
    <t>Enecoエネコ</t>
  </si>
  <si>
    <t>Skitty</t>
  </si>
  <si>
    <t>Prim Pokémon</t>
  </si>
  <si>
    <t>Enekororoエネコロロ</t>
  </si>
  <si>
    <t>Delcatty</t>
  </si>
  <si>
    <t>Yamiramiヤミラミ</t>
  </si>
  <si>
    <t>Sableye</t>
  </si>
  <si>
    <t>Deceiver Pokémon</t>
  </si>
  <si>
    <t>Kucheatクチート</t>
  </si>
  <si>
    <t>Mawile</t>
  </si>
  <si>
    <t>Iron Armor Pokémon</t>
  </si>
  <si>
    <t>Cokodoraココドラ</t>
  </si>
  <si>
    <t>Aron</t>
  </si>
  <si>
    <t>Kodoraコドラ</t>
  </si>
  <si>
    <t>Lairon</t>
  </si>
  <si>
    <t>Bossgodoraボスゴドラ</t>
  </si>
  <si>
    <t>Aggron</t>
  </si>
  <si>
    <t>Meditate Pokémon</t>
  </si>
  <si>
    <t>Asananアサナン</t>
  </si>
  <si>
    <t>Meditite</t>
  </si>
  <si>
    <t>Charemチャーレム</t>
  </si>
  <si>
    <t>Medicham</t>
  </si>
  <si>
    <t>Rakuraiラクライ</t>
  </si>
  <si>
    <t>Electrike</t>
  </si>
  <si>
    <t>Discharge Pokémon</t>
  </si>
  <si>
    <t>Livoltライボルト</t>
  </si>
  <si>
    <t>Manectric</t>
  </si>
  <si>
    <t>Cheering Pokémon</t>
  </si>
  <si>
    <t>Prasleプラスル</t>
  </si>
  <si>
    <t>Plusle</t>
  </si>
  <si>
    <t>Minunマイナン</t>
  </si>
  <si>
    <t>Minun</t>
  </si>
  <si>
    <t>Firefly Pokémon</t>
  </si>
  <si>
    <t>Barubeatバルビート</t>
  </si>
  <si>
    <t>Volbeat</t>
  </si>
  <si>
    <t>Illumiseイルミーゼ</t>
  </si>
  <si>
    <t>Illumise</t>
  </si>
  <si>
    <t>Thorn Pokémon</t>
  </si>
  <si>
    <t>Roseliaロゼリア</t>
  </si>
  <si>
    <t>Roselia</t>
  </si>
  <si>
    <t>Stomach Pokémon</t>
  </si>
  <si>
    <t>Gokulinゴクリン</t>
  </si>
  <si>
    <t>Gulpin</t>
  </si>
  <si>
    <t>Poison Bag Pokémon</t>
  </si>
  <si>
    <t>Marunoomマルノーム</t>
  </si>
  <si>
    <t>Swalot</t>
  </si>
  <si>
    <t>Savage Pokémon</t>
  </si>
  <si>
    <t>Kibanhaキバニア</t>
  </si>
  <si>
    <t>Carvanha</t>
  </si>
  <si>
    <t>Brutal Pokémon</t>
  </si>
  <si>
    <t>Samehaderサメハダー</t>
  </si>
  <si>
    <t>Sharpedo</t>
  </si>
  <si>
    <t>Ball Whale Pokémon</t>
  </si>
  <si>
    <t>Hoerukoホエルコ</t>
  </si>
  <si>
    <t>Wailmer</t>
  </si>
  <si>
    <t>Float Whale Pokémon</t>
  </si>
  <si>
    <t>Whalohホエルオー</t>
  </si>
  <si>
    <t>Wailord</t>
  </si>
  <si>
    <t>Numb Pokémon</t>
  </si>
  <si>
    <t>Donmelドンメル</t>
  </si>
  <si>
    <t>Numel</t>
  </si>
  <si>
    <t>Eruption Pokémon</t>
  </si>
  <si>
    <t>Bakuudaバクーダ</t>
  </si>
  <si>
    <t>Camerupt</t>
  </si>
  <si>
    <t>Coal Pokémon</t>
  </si>
  <si>
    <t>Cotoiseコータス</t>
  </si>
  <si>
    <t>Torkoal</t>
  </si>
  <si>
    <t>Bounce Pokémon</t>
  </si>
  <si>
    <t>Banebooバネブー</t>
  </si>
  <si>
    <t>Spoink</t>
  </si>
  <si>
    <t>Manipulate Pokémon</t>
  </si>
  <si>
    <t>Boopigブーピッグ</t>
  </si>
  <si>
    <t>Grumpig</t>
  </si>
  <si>
    <t>Spot Panda Pokémon</t>
  </si>
  <si>
    <t>Patcheelパッチール</t>
  </si>
  <si>
    <t>Spinda</t>
  </si>
  <si>
    <t>Ant Pit Pokémon</t>
  </si>
  <si>
    <t>Nuckrarナックラー</t>
  </si>
  <si>
    <t>Trapinch</t>
  </si>
  <si>
    <t>Vibration Pokémon</t>
  </si>
  <si>
    <t>Vibravaビブラーバ</t>
  </si>
  <si>
    <t>Vibrava</t>
  </si>
  <si>
    <t>Flygonフライゴン</t>
  </si>
  <si>
    <t>Flygon</t>
  </si>
  <si>
    <t>Cactus Pokémon</t>
  </si>
  <si>
    <t>Saboneaサボネア</t>
  </si>
  <si>
    <t>Cacnea</t>
  </si>
  <si>
    <t>Scarecrow Pokémon</t>
  </si>
  <si>
    <t>Noctusノクタス</t>
  </si>
  <si>
    <t>Cacturne</t>
  </si>
  <si>
    <t>Cotton Bird Pokémon</t>
  </si>
  <si>
    <t>Tylttoチルット</t>
  </si>
  <si>
    <t>Swablu</t>
  </si>
  <si>
    <t>Humming Pokémon</t>
  </si>
  <si>
    <t>Tyltalisチルタリス</t>
  </si>
  <si>
    <t>Altaria</t>
  </si>
  <si>
    <t>Cat Ferret Pokémon</t>
  </si>
  <si>
    <t>Zangooseザングース</t>
  </si>
  <si>
    <t>Zangoose</t>
  </si>
  <si>
    <t>Fang Snake Pokémon</t>
  </si>
  <si>
    <t>Habunakeハブネーク</t>
  </si>
  <si>
    <t>Seviper</t>
  </si>
  <si>
    <t>Meteorite Pokémon</t>
  </si>
  <si>
    <t>Lunatoneルナトーン</t>
  </si>
  <si>
    <t>Lunatone</t>
  </si>
  <si>
    <t>Solrockソルロック</t>
  </si>
  <si>
    <t>Solrock</t>
  </si>
  <si>
    <t>Whiskers Pokémon</t>
  </si>
  <si>
    <t>Dojoachドジョッチ</t>
  </si>
  <si>
    <t>Barboach</t>
  </si>
  <si>
    <t>Namazunナマズン</t>
  </si>
  <si>
    <t>Whiscash</t>
  </si>
  <si>
    <t>Ruffian Pokémon</t>
  </si>
  <si>
    <t>Heiganiヘイガニ</t>
  </si>
  <si>
    <t>Corphish</t>
  </si>
  <si>
    <t>Rogue Pokémon</t>
  </si>
  <si>
    <t>Shizarigerシザリガー</t>
  </si>
  <si>
    <t>Crawdaunt</t>
  </si>
  <si>
    <t>Clay Doll Pokémon</t>
  </si>
  <si>
    <t>Yajilonヤジロン</t>
  </si>
  <si>
    <t>Baltoy</t>
  </si>
  <si>
    <t>Nendollネンドール</t>
  </si>
  <si>
    <t>Claydol</t>
  </si>
  <si>
    <t>Sea Lily Pokémon</t>
  </si>
  <si>
    <t>Lilylaリリーラ</t>
  </si>
  <si>
    <t>Lileep</t>
  </si>
  <si>
    <t>Barnacle Pokémon</t>
  </si>
  <si>
    <t>Yuradleユレイドル</t>
  </si>
  <si>
    <t>Cradily</t>
  </si>
  <si>
    <t>Old Shrimp Pokémon</t>
  </si>
  <si>
    <t>Anopthアノプス</t>
  </si>
  <si>
    <t>Anorith</t>
  </si>
  <si>
    <t>Plate Pokémon</t>
  </si>
  <si>
    <t>Armaldoアーマルド</t>
  </si>
  <si>
    <t>Armaldo</t>
  </si>
  <si>
    <t>Hinbassヒンバス</t>
  </si>
  <si>
    <t>Feebas</t>
  </si>
  <si>
    <t>Tender Pokémon</t>
  </si>
  <si>
    <t>Milokarossミロカロス</t>
  </si>
  <si>
    <t>Milotic</t>
  </si>
  <si>
    <t>Weather Pokémon</t>
  </si>
  <si>
    <t>Powalenポワルン</t>
  </si>
  <si>
    <t>Castform</t>
  </si>
  <si>
    <t>Color Swap Pokémon</t>
  </si>
  <si>
    <t>Kakureonカクレオン</t>
  </si>
  <si>
    <t>Kecleon</t>
  </si>
  <si>
    <t>Puppet Pokémon</t>
  </si>
  <si>
    <t>Kagebouzuカゲボウズ</t>
  </si>
  <si>
    <t>Shuppet</t>
  </si>
  <si>
    <t>Marionette Pokémon</t>
  </si>
  <si>
    <t>Juppetaジュペッタ</t>
  </si>
  <si>
    <t>Banette</t>
  </si>
  <si>
    <t>Requiem Pokémon</t>
  </si>
  <si>
    <t>Yomawaruヨマワル</t>
  </si>
  <si>
    <t>Duskull</t>
  </si>
  <si>
    <t>Beckon Pokémon</t>
  </si>
  <si>
    <t>Samayouruサマヨール</t>
  </si>
  <si>
    <t>Dusclops</t>
  </si>
  <si>
    <t>Fruit Pokémon</t>
  </si>
  <si>
    <t>Tropiusトロピウス</t>
  </si>
  <si>
    <t>Tropius</t>
  </si>
  <si>
    <t>Wind Chime Pokémon</t>
  </si>
  <si>
    <t>Chireanチリーン</t>
  </si>
  <si>
    <t>Chimecho</t>
  </si>
  <si>
    <t>Disaster Pokémon</t>
  </si>
  <si>
    <t>Absolアブソル</t>
  </si>
  <si>
    <t>Absol</t>
  </si>
  <si>
    <t>Bright Pokémon</t>
  </si>
  <si>
    <t>Sohnanoソーナノ</t>
  </si>
  <si>
    <t>Wynaut</t>
  </si>
  <si>
    <t>Snow Hat Pokémon</t>
  </si>
  <si>
    <t>Yukiwarashiユキワラシ</t>
  </si>
  <si>
    <t>Snorunt</t>
  </si>
  <si>
    <t>Face Pokémon</t>
  </si>
  <si>
    <t>Onigohriオニゴーリ</t>
  </si>
  <si>
    <t>Glalie</t>
  </si>
  <si>
    <t>Clap Pokémon</t>
  </si>
  <si>
    <t>Tamazarashiタマザラシ</t>
  </si>
  <si>
    <t>Spheal</t>
  </si>
  <si>
    <t>Ball Roll Pokémon</t>
  </si>
  <si>
    <t>Todogglerトドグラー</t>
  </si>
  <si>
    <t>Sealeo</t>
  </si>
  <si>
    <t>Ice Break Pokémon</t>
  </si>
  <si>
    <t>Todoserugaトドゼルガ</t>
  </si>
  <si>
    <t>Walrein</t>
  </si>
  <si>
    <t>Pearluluパールル</t>
  </si>
  <si>
    <t>Clamperl</t>
  </si>
  <si>
    <t>Deep Sea Pokémon</t>
  </si>
  <si>
    <t>Huntailハンテール</t>
  </si>
  <si>
    <t>Huntail</t>
  </si>
  <si>
    <t>South Sea Pokémon</t>
  </si>
  <si>
    <t>Sakurabyssサクラビス</t>
  </si>
  <si>
    <t>Gorebyss</t>
  </si>
  <si>
    <t>Longevity Pokémon</t>
  </si>
  <si>
    <t>Glanthジーランス</t>
  </si>
  <si>
    <t>Relicanth</t>
  </si>
  <si>
    <t>Rendezvous Pokémon</t>
  </si>
  <si>
    <t>Lovecusラブカス</t>
  </si>
  <si>
    <t>Luvdisc</t>
  </si>
  <si>
    <t>Rock Head Pokémon</t>
  </si>
  <si>
    <t>Tatsubayタツベイ</t>
  </si>
  <si>
    <t>Bagon</t>
  </si>
  <si>
    <t>Endurance Pokémon</t>
  </si>
  <si>
    <t>Komoruuコモルー</t>
  </si>
  <si>
    <t>Shelgon</t>
  </si>
  <si>
    <t>Bohmanderボーマンダ</t>
  </si>
  <si>
    <t>Salamence</t>
  </si>
  <si>
    <t>Iron Ball Pokémon</t>
  </si>
  <si>
    <t>Dumbberダンバル</t>
  </si>
  <si>
    <t>Beldum</t>
  </si>
  <si>
    <t>Iron Claw Pokémon</t>
  </si>
  <si>
    <t>Metangメタング</t>
  </si>
  <si>
    <t>Metang</t>
  </si>
  <si>
    <t>Iron Leg Pokémon</t>
  </si>
  <si>
    <t>Metagrossメタグロス</t>
  </si>
  <si>
    <t>Metagross</t>
  </si>
  <si>
    <t>Rock Peak Pokémon</t>
  </si>
  <si>
    <t>Regirockレジロック</t>
  </si>
  <si>
    <t>Regirock</t>
  </si>
  <si>
    <t>Iceberg Pokémon</t>
  </si>
  <si>
    <t>Regiceレジアイス</t>
  </si>
  <si>
    <t>Regice</t>
  </si>
  <si>
    <t>Iron Pokémon</t>
  </si>
  <si>
    <t>Registeelレジスチル</t>
  </si>
  <si>
    <t>Registeel</t>
  </si>
  <si>
    <t>Eon Pokémon</t>
  </si>
  <si>
    <t>Latiasラティアス</t>
  </si>
  <si>
    <t>Latias</t>
  </si>
  <si>
    <t>Latiosラティオス</t>
  </si>
  <si>
    <t>Latios</t>
  </si>
  <si>
    <t>Sea Basin Pokémon</t>
  </si>
  <si>
    <t>Kyogreカイオーガ</t>
  </si>
  <si>
    <t>Kyogre</t>
  </si>
  <si>
    <t>Continent Pokémon</t>
  </si>
  <si>
    <t>Groudonグラードン</t>
  </si>
  <si>
    <t>Groudon</t>
  </si>
  <si>
    <t>Sky High Pokémon</t>
  </si>
  <si>
    <t>Rayquazaレックウザ</t>
  </si>
  <si>
    <t>Rayquaza</t>
  </si>
  <si>
    <t>Wish Pokémon</t>
  </si>
  <si>
    <t>Jirachiジラーチ</t>
  </si>
  <si>
    <t>Jirachi</t>
  </si>
  <si>
    <t>DNA Pokémon</t>
  </si>
  <si>
    <t>Deoxysデオキシス</t>
  </si>
  <si>
    <t>Deoxys</t>
  </si>
  <si>
    <t>Tiny Leaf Pokémon</t>
  </si>
  <si>
    <t>Naetleナエトル</t>
  </si>
  <si>
    <t>Turtwig</t>
  </si>
  <si>
    <t>Grove Pokémon</t>
  </si>
  <si>
    <t>Hayashigameハヤシガメ</t>
  </si>
  <si>
    <t>Grotle</t>
  </si>
  <si>
    <t>Dodaitoseドダイトス</t>
  </si>
  <si>
    <t>Torterra</t>
  </si>
  <si>
    <t>Chimp Pokémon</t>
  </si>
  <si>
    <t>Hikozaruヒコザル</t>
  </si>
  <si>
    <t>Chimchar</t>
  </si>
  <si>
    <t>Playful Pokémon</t>
  </si>
  <si>
    <t>Moukazaruモウカザル</t>
  </si>
  <si>
    <t>Monferno</t>
  </si>
  <si>
    <t>Goukazaruゴウカザル</t>
  </si>
  <si>
    <t>Infernape</t>
  </si>
  <si>
    <t>Penguin Pokémon</t>
  </si>
  <si>
    <t>Pochamaポッチャマ</t>
  </si>
  <si>
    <t>Piplup</t>
  </si>
  <si>
    <t>Pottaishiポッタイシ</t>
  </si>
  <si>
    <t>Prinplup</t>
  </si>
  <si>
    <t>Emperor Pokémon</t>
  </si>
  <si>
    <t>Emperteエンペルト</t>
  </si>
  <si>
    <t>Empoleon</t>
  </si>
  <si>
    <t>Starling Pokémon</t>
  </si>
  <si>
    <t>Mukkuruムックル</t>
  </si>
  <si>
    <t>Starly</t>
  </si>
  <si>
    <t>Mukubirdムクバード</t>
  </si>
  <si>
    <t>Staravia</t>
  </si>
  <si>
    <t>Predator Pokémon</t>
  </si>
  <si>
    <t>Mukuhawkムクホーク</t>
  </si>
  <si>
    <t>Staraptor</t>
  </si>
  <si>
    <t>Plump Mouse Pokémon</t>
  </si>
  <si>
    <t>Bippaビッパ</t>
  </si>
  <si>
    <t>Bidoof</t>
  </si>
  <si>
    <t>Beaver Pokémon</t>
  </si>
  <si>
    <t>Beadaruビーダル</t>
  </si>
  <si>
    <t>Bibarel</t>
  </si>
  <si>
    <t>Cricket Pokémon</t>
  </si>
  <si>
    <t>Korobohshiコロボーシ</t>
  </si>
  <si>
    <t>Kricketot</t>
  </si>
  <si>
    <t>Korotockコロトック</t>
  </si>
  <si>
    <t>Kricketune</t>
  </si>
  <si>
    <t>Flash Pokémon</t>
  </si>
  <si>
    <t>Kolinkコリンク</t>
  </si>
  <si>
    <t>Shinx</t>
  </si>
  <si>
    <t>Spark Pokémon</t>
  </si>
  <si>
    <t>Luxioルクシオ</t>
  </si>
  <si>
    <t>Luxio</t>
  </si>
  <si>
    <t>Gleam Eyes Pokémon</t>
  </si>
  <si>
    <t>Rentorarレントラー</t>
  </si>
  <si>
    <t>Luxray</t>
  </si>
  <si>
    <t>Bud Pokémon</t>
  </si>
  <si>
    <t>Subomieスボミー</t>
  </si>
  <si>
    <t>Budew</t>
  </si>
  <si>
    <t>Bouquet Pokémon</t>
  </si>
  <si>
    <t>Roseradeロズレイド</t>
  </si>
  <si>
    <t>Roserade</t>
  </si>
  <si>
    <t>Head Butt Pokémon</t>
  </si>
  <si>
    <t>Zugaidosズガイドス</t>
  </si>
  <si>
    <t>Cranidos</t>
  </si>
  <si>
    <t>Rampaldラムパルド</t>
  </si>
  <si>
    <t>Rampardos</t>
  </si>
  <si>
    <t>Shield Pokémon</t>
  </si>
  <si>
    <t>Tatetopsタテトプス</t>
  </si>
  <si>
    <t>Shieldon</t>
  </si>
  <si>
    <t>Toridepsトリデプス</t>
  </si>
  <si>
    <t>Bastiodon</t>
  </si>
  <si>
    <t>Minomucchiミノムッチ</t>
  </si>
  <si>
    <t>Burmy</t>
  </si>
  <si>
    <t>Minomadam (kusaki No Mino)ミノマダム</t>
  </si>
  <si>
    <t>Wormadam</t>
  </si>
  <si>
    <t>Moth Pokémon</t>
  </si>
  <si>
    <t>Gamaleガーメイル</t>
  </si>
  <si>
    <t>Mothim</t>
  </si>
  <si>
    <t>Tiny Bee Pokémon</t>
  </si>
  <si>
    <t>Mitsuhoneyミツハニー</t>
  </si>
  <si>
    <t>Combee</t>
  </si>
  <si>
    <t>Beehive Pokémon</t>
  </si>
  <si>
    <t>Beequenビークイン</t>
  </si>
  <si>
    <t>Vespiquen</t>
  </si>
  <si>
    <t>EleSquirrel Pokémon</t>
  </si>
  <si>
    <t>Pachirisuパチリス</t>
  </si>
  <si>
    <t>Pachirisu</t>
  </si>
  <si>
    <t>Sea Weasel Pokémon</t>
  </si>
  <si>
    <t>Buoyselブイゼル</t>
  </si>
  <si>
    <t>Buizel</t>
  </si>
  <si>
    <t>Floazelフローゼル</t>
  </si>
  <si>
    <t>Floatzel</t>
  </si>
  <si>
    <t>Cherry Pokémon</t>
  </si>
  <si>
    <t>Cherinboチェリンボ</t>
  </si>
  <si>
    <t>Cherubi</t>
  </si>
  <si>
    <t>Blossom Pokémon</t>
  </si>
  <si>
    <t>Cherrimチェリム</t>
  </si>
  <si>
    <t>Cherrim</t>
  </si>
  <si>
    <t>Sea Slug Pokémon</t>
  </si>
  <si>
    <t>Karanakushiカラナクシ</t>
  </si>
  <si>
    <t>Shellos</t>
  </si>
  <si>
    <t>Tritodonトリトドン</t>
  </si>
  <si>
    <t>Gastrodon</t>
  </si>
  <si>
    <t>Etebothエテボース</t>
  </si>
  <si>
    <t>Ambipom</t>
  </si>
  <si>
    <t>Fuwanteフワンテ</t>
  </si>
  <si>
    <t>Drifloon</t>
  </si>
  <si>
    <t>Blimp Pokémon</t>
  </si>
  <si>
    <t>Fuwarideフワライド</t>
  </si>
  <si>
    <t>Drifblim</t>
  </si>
  <si>
    <t>Rabbit Pokémon</t>
  </si>
  <si>
    <t>Mimirolミミロル</t>
  </si>
  <si>
    <t>Buneary</t>
  </si>
  <si>
    <t>Mimilopミミロップ</t>
  </si>
  <si>
    <t>Lopunny</t>
  </si>
  <si>
    <t>Magical Pokémon</t>
  </si>
  <si>
    <t>Mumargiムウマージ</t>
  </si>
  <si>
    <t>Mismagius</t>
  </si>
  <si>
    <t>Big Boss Pokémon</t>
  </si>
  <si>
    <t>Dongkarasuドンカラス</t>
  </si>
  <si>
    <t>Honchkrow</t>
  </si>
  <si>
    <t>Catty Pokémon</t>
  </si>
  <si>
    <t>Nyarmarニャルマー</t>
  </si>
  <si>
    <t>Glameow</t>
  </si>
  <si>
    <t>Tiger Cat Pokémon</t>
  </si>
  <si>
    <t>Bunyattoブニャット</t>
  </si>
  <si>
    <t>Purugly</t>
  </si>
  <si>
    <t>Bell Pokémon</t>
  </si>
  <si>
    <t>Lisyanリーシャン</t>
  </si>
  <si>
    <t>Chingling</t>
  </si>
  <si>
    <t>Skunk Pokémon</t>
  </si>
  <si>
    <t>Skunpuuスカンプー</t>
  </si>
  <si>
    <t>Stunky</t>
  </si>
  <si>
    <t>Skutankスカタンク</t>
  </si>
  <si>
    <t>Skuntank</t>
  </si>
  <si>
    <t>Bronze Pokémon</t>
  </si>
  <si>
    <t>Dohmirrorドーミラー</t>
  </si>
  <si>
    <t>Bronzor</t>
  </si>
  <si>
    <t>Bronze Bell Pokémon</t>
  </si>
  <si>
    <t>Dohtakunドータクン</t>
  </si>
  <si>
    <t>Bronzong</t>
  </si>
  <si>
    <t>Bonsai Pokémon</t>
  </si>
  <si>
    <t>Usohachiウソハチ</t>
  </si>
  <si>
    <t>Bonsly</t>
  </si>
  <si>
    <t>Mime Pokémon</t>
  </si>
  <si>
    <t>Maneneマネネ</t>
  </si>
  <si>
    <t>Playhouse Pokémon</t>
  </si>
  <si>
    <t>Pinpukuピンプク</t>
  </si>
  <si>
    <t>Happiny</t>
  </si>
  <si>
    <t>Music Note Pokémon</t>
  </si>
  <si>
    <t>Perapペラップ</t>
  </si>
  <si>
    <t>Chatot</t>
  </si>
  <si>
    <t>Forbidden Pokémon</t>
  </si>
  <si>
    <t>Mikarugeミカルゲ</t>
  </si>
  <si>
    <t>Spiritomb</t>
  </si>
  <si>
    <t>Land Shark Pokémon</t>
  </si>
  <si>
    <t>Fukamaruフカマル</t>
  </si>
  <si>
    <t>Gible</t>
  </si>
  <si>
    <t>Cave Pokémon</t>
  </si>
  <si>
    <t>Gabiteガバイト</t>
  </si>
  <si>
    <t>Gabite</t>
  </si>
  <si>
    <t>Mach Pokémon</t>
  </si>
  <si>
    <t>Gaburiasガブリアス</t>
  </si>
  <si>
    <t>Garchomp</t>
  </si>
  <si>
    <t>Big Eater Pokémon</t>
  </si>
  <si>
    <t>Gonbeゴンベ</t>
  </si>
  <si>
    <t>Munchlax</t>
  </si>
  <si>
    <t>Emanation Pokémon</t>
  </si>
  <si>
    <t>Rioluリオル</t>
  </si>
  <si>
    <t>Riolu</t>
  </si>
  <si>
    <t>Aura Pokémon</t>
  </si>
  <si>
    <t>Lucarioルカリオ</t>
  </si>
  <si>
    <t>Lucario</t>
  </si>
  <si>
    <t>Hippo Pokémon</t>
  </si>
  <si>
    <t>Hippopotasヒポポタス</t>
  </si>
  <si>
    <t>Hippopotas</t>
  </si>
  <si>
    <t>Heavyweight Pokémon</t>
  </si>
  <si>
    <t>Kabaldonカバルドン</t>
  </si>
  <si>
    <t>Hippowdon</t>
  </si>
  <si>
    <t>Scorpion Pokémon</t>
  </si>
  <si>
    <t>Scorupiスコルピ</t>
  </si>
  <si>
    <t>Skorupi</t>
  </si>
  <si>
    <t>Ogre Scorp Pokémon</t>
  </si>
  <si>
    <t>Dorapionドラピオン</t>
  </si>
  <si>
    <t>Drapion</t>
  </si>
  <si>
    <t>Toxic Mouth Pokémon</t>
  </si>
  <si>
    <t>Gureggruグレッグル</t>
  </si>
  <si>
    <t>Croagunk</t>
  </si>
  <si>
    <t>Dokurogドクロッグ</t>
  </si>
  <si>
    <t>Toxicroak</t>
  </si>
  <si>
    <t>Bug Catcher Pokémon</t>
  </si>
  <si>
    <t>Muskippaマスキッパ</t>
  </si>
  <si>
    <t>Carnivine</t>
  </si>
  <si>
    <t>Wing Fish Pokémon</t>
  </si>
  <si>
    <t>Keikouoケイコウオ</t>
  </si>
  <si>
    <t>Finneon</t>
  </si>
  <si>
    <t>Neon Pokémon</t>
  </si>
  <si>
    <t>Neolantネオラント</t>
  </si>
  <si>
    <t>Lumineon</t>
  </si>
  <si>
    <t>Tamantaタマンタ</t>
  </si>
  <si>
    <t>Mantyke</t>
  </si>
  <si>
    <t>Frosted Tree Pokémon</t>
  </si>
  <si>
    <t>Yukikaburiユキカブリ</t>
  </si>
  <si>
    <t>Snover</t>
  </si>
  <si>
    <t>Yukinoohユキノオー</t>
  </si>
  <si>
    <t>Abomasnow</t>
  </si>
  <si>
    <t>Manyulaマニューラ</t>
  </si>
  <si>
    <t>Weavile</t>
  </si>
  <si>
    <t>Magnet Area Pokémon</t>
  </si>
  <si>
    <t>Jibacoilジバコイル</t>
  </si>
  <si>
    <t>Magnezone</t>
  </si>
  <si>
    <t>Berobeltベロベルト</t>
  </si>
  <si>
    <t>Lickilicky</t>
  </si>
  <si>
    <t>Dosidonドサイドン</t>
  </si>
  <si>
    <t>Rhyperior</t>
  </si>
  <si>
    <t>Mojumboモジャンボ</t>
  </si>
  <si>
    <t>Tangrowth</t>
  </si>
  <si>
    <t>Thunderbolt Pokémon</t>
  </si>
  <si>
    <t>Elekibleエレキブル</t>
  </si>
  <si>
    <t>Electivire</t>
  </si>
  <si>
    <t>Blast Pokémon</t>
  </si>
  <si>
    <t>Booburnブーバーン</t>
  </si>
  <si>
    <t>Magmortar</t>
  </si>
  <si>
    <t>Jubilee Pokémon</t>
  </si>
  <si>
    <t>Togekissトゲキッス</t>
  </si>
  <si>
    <t>Togekiss</t>
  </si>
  <si>
    <t>Ogre Darner Pokémon</t>
  </si>
  <si>
    <t>Megayanmaメガヤンマ</t>
  </si>
  <si>
    <t>Yanmega</t>
  </si>
  <si>
    <t>Verdant Pokémon</t>
  </si>
  <si>
    <t>Leafiaリーフィア</t>
  </si>
  <si>
    <t>Leafeon</t>
  </si>
  <si>
    <t>Fresh Snow Pokémon</t>
  </si>
  <si>
    <t>Glaciaグレイシア</t>
  </si>
  <si>
    <t>Glaceon</t>
  </si>
  <si>
    <t>Fang Scorp Pokémon</t>
  </si>
  <si>
    <t>Glionグライオン</t>
  </si>
  <si>
    <t>Gliscor</t>
  </si>
  <si>
    <t>Twin Tusk Pokémon</t>
  </si>
  <si>
    <t>Mammooマンムー</t>
  </si>
  <si>
    <t>Mamoswine</t>
  </si>
  <si>
    <t>Porygon-zポリゴンＺ</t>
  </si>
  <si>
    <t>Porygon-Z</t>
  </si>
  <si>
    <t>Blade Pokémon</t>
  </si>
  <si>
    <t>Erureidoエルレイド</t>
  </si>
  <si>
    <t>Gallade</t>
  </si>
  <si>
    <t>Dainoseダイノーズ</t>
  </si>
  <si>
    <t>Probopass</t>
  </si>
  <si>
    <t>Gripper Pokémon</t>
  </si>
  <si>
    <t>Yonoirヨノワール</t>
  </si>
  <si>
    <t>Dusknoir</t>
  </si>
  <si>
    <t>Snow Land Pokémon</t>
  </si>
  <si>
    <t>Yukimenokoユキメノコ</t>
  </si>
  <si>
    <t>Froslass</t>
  </si>
  <si>
    <t>Plasma Pokémon</t>
  </si>
  <si>
    <t>Rotomロトム</t>
  </si>
  <si>
    <t>Rotom</t>
  </si>
  <si>
    <t>Knowledge Pokémon</t>
  </si>
  <si>
    <t>Yuxieユクシー</t>
  </si>
  <si>
    <t>Uxie</t>
  </si>
  <si>
    <t>Emritエムリット</t>
  </si>
  <si>
    <t>Mesprit</t>
  </si>
  <si>
    <t>Willpower Pokémon</t>
  </si>
  <si>
    <t>Agnomeアグノム</t>
  </si>
  <si>
    <t>Azelf</t>
  </si>
  <si>
    <t>Temporal Pokémon</t>
  </si>
  <si>
    <t>Dialgaディアルガ</t>
  </si>
  <si>
    <t>Dialga</t>
  </si>
  <si>
    <t>Spatial Pokémon</t>
  </si>
  <si>
    <t>Palkiaパルキア</t>
  </si>
  <si>
    <t>Palkia</t>
  </si>
  <si>
    <t>Lava Dome Pokémon</t>
  </si>
  <si>
    <t>Heatranヒードラン</t>
  </si>
  <si>
    <t>Heatran</t>
  </si>
  <si>
    <t>Colossal Pokémon</t>
  </si>
  <si>
    <t>Regigigasレジギガス</t>
  </si>
  <si>
    <t>Regigigas</t>
  </si>
  <si>
    <t>Renegade Pokémon</t>
  </si>
  <si>
    <t>Giratina (another Forme)ギラティナ</t>
  </si>
  <si>
    <t>Giratina</t>
  </si>
  <si>
    <t>Lunar Pokémon</t>
  </si>
  <si>
    <t>Cresseliaクレセリア</t>
  </si>
  <si>
    <t>Cresselia</t>
  </si>
  <si>
    <t>Sea Drifter Pokémon</t>
  </si>
  <si>
    <t>Phioneフィオネ</t>
  </si>
  <si>
    <t>Phione</t>
  </si>
  <si>
    <t>Seafaring Pokémon</t>
  </si>
  <si>
    <t>Manaphyマナフィ</t>
  </si>
  <si>
    <t>Manaphy</t>
  </si>
  <si>
    <t>Pitch-Black Pokémon</t>
  </si>
  <si>
    <t>Darkraiダークライ</t>
  </si>
  <si>
    <t>Darkrai</t>
  </si>
  <si>
    <t>Gratitude Pokémon</t>
  </si>
  <si>
    <t>Shaymin (sky Forme)シェイミ</t>
  </si>
  <si>
    <t>Shaymin</t>
  </si>
  <si>
    <t>Alpha Pokémon</t>
  </si>
  <si>
    <t>Arceusアルセウス</t>
  </si>
  <si>
    <t>Arceus</t>
  </si>
  <si>
    <t>Victory Pokémon</t>
  </si>
  <si>
    <t>Victiniビクティニ</t>
  </si>
  <si>
    <t>Victini</t>
  </si>
  <si>
    <t>Grass Snake Pokémon</t>
  </si>
  <si>
    <t>Tsutarjaツタージャ</t>
  </si>
  <si>
    <t>Snivy</t>
  </si>
  <si>
    <t>Janovyジャノビー</t>
  </si>
  <si>
    <t>Servine</t>
  </si>
  <si>
    <t>Regal Pokémon</t>
  </si>
  <si>
    <t>Jalordaジャローダ</t>
  </si>
  <si>
    <t>Serperior</t>
  </si>
  <si>
    <t>Fire Pig Pokémon</t>
  </si>
  <si>
    <t>Pokabuポカブ</t>
  </si>
  <si>
    <t>Tepig</t>
  </si>
  <si>
    <t>Chaobooチャオブー</t>
  </si>
  <si>
    <t>Pignite</t>
  </si>
  <si>
    <t>Mega Fire Pig Pokémon</t>
  </si>
  <si>
    <t>Enbuohエンブオー</t>
  </si>
  <si>
    <t>Emboar</t>
  </si>
  <si>
    <t>Sea Otter Pokémon</t>
  </si>
  <si>
    <t>Mijumaruミジュマル</t>
  </si>
  <si>
    <t>Oshawott</t>
  </si>
  <si>
    <t>Discipline Pokémon</t>
  </si>
  <si>
    <t>Futachimaruフタチマル</t>
  </si>
  <si>
    <t>Dewott</t>
  </si>
  <si>
    <t>Formidable Pokémon</t>
  </si>
  <si>
    <t>Daikenkiダイケンキ</t>
  </si>
  <si>
    <t>Samurott</t>
  </si>
  <si>
    <t>Minezumiミネズミ</t>
  </si>
  <si>
    <t>Patrat</t>
  </si>
  <si>
    <t>Lookout Pokémon</t>
  </si>
  <si>
    <t>Miruhogミルホッグ</t>
  </si>
  <si>
    <t>Watchog</t>
  </si>
  <si>
    <t>Yorterrieヨーテリー</t>
  </si>
  <si>
    <t>Lillipup</t>
  </si>
  <si>
    <t>Loyal Dog Pokémon</t>
  </si>
  <si>
    <t>Herderrieハーデリア</t>
  </si>
  <si>
    <t>Herdier</t>
  </si>
  <si>
    <t>Big-Hearted Pokémon</t>
  </si>
  <si>
    <t>Moolandムーランド</t>
  </si>
  <si>
    <t>Stoutland</t>
  </si>
  <si>
    <t>Devious Pokémon</t>
  </si>
  <si>
    <t>Choronekoチョロネコ</t>
  </si>
  <si>
    <t>Purrloin</t>
  </si>
  <si>
    <t>Cruel Pokémon</t>
  </si>
  <si>
    <t>Lepardasレパルダス</t>
  </si>
  <si>
    <t>Liepard</t>
  </si>
  <si>
    <t>Grass Monkey Pokémon</t>
  </si>
  <si>
    <t>Yanappuヤナップ</t>
  </si>
  <si>
    <t>Pansage</t>
  </si>
  <si>
    <t>Thorn Monkey Pokémon</t>
  </si>
  <si>
    <t>Yanakkieヤナッキー</t>
  </si>
  <si>
    <t>Simisage</t>
  </si>
  <si>
    <t>High Temp Pokémon</t>
  </si>
  <si>
    <t>Baoppuバオップ</t>
  </si>
  <si>
    <t>Pansear</t>
  </si>
  <si>
    <t>Ember Pokémon</t>
  </si>
  <si>
    <t>Baokkieバオッキー</t>
  </si>
  <si>
    <t>Simisear</t>
  </si>
  <si>
    <t>Spray Pokémon</t>
  </si>
  <si>
    <t>Hiyappuヒヤップ</t>
  </si>
  <si>
    <t>Panpour</t>
  </si>
  <si>
    <t>Geyser Pokémon</t>
  </si>
  <si>
    <t>Hiyakkieヒヤッキー</t>
  </si>
  <si>
    <t>Simipour</t>
  </si>
  <si>
    <t>Dream Eater Pokémon</t>
  </si>
  <si>
    <t>Munnaムンナ</t>
  </si>
  <si>
    <t>Munna</t>
  </si>
  <si>
    <t>Drowsing Pokémon</t>
  </si>
  <si>
    <t>Musharnaムシャーナ</t>
  </si>
  <si>
    <t>Musharna</t>
  </si>
  <si>
    <t>Tiny Pigeon Pokémon</t>
  </si>
  <si>
    <t>Mamepatoマメパト</t>
  </si>
  <si>
    <t>Pidove</t>
  </si>
  <si>
    <t>Wild Pigeon Pokémon</t>
  </si>
  <si>
    <t>Hatobohハトーボー</t>
  </si>
  <si>
    <t>Tranquill</t>
  </si>
  <si>
    <t>Proud Pokémon</t>
  </si>
  <si>
    <t>Kenhallowケンホロウ</t>
  </si>
  <si>
    <t>Unfezant</t>
  </si>
  <si>
    <t>Electrified Pokémon</t>
  </si>
  <si>
    <t>Shimamaシママ</t>
  </si>
  <si>
    <t>Blitzle</t>
  </si>
  <si>
    <t>Zebraikaゼブライカ</t>
  </si>
  <si>
    <t>Zebstrika</t>
  </si>
  <si>
    <t>Mantle Pokémon</t>
  </si>
  <si>
    <t>Dangoroダンゴロ</t>
  </si>
  <si>
    <t>Roggenrola</t>
  </si>
  <si>
    <t>Ore Pokémon</t>
  </si>
  <si>
    <t>Gantleガントル</t>
  </si>
  <si>
    <t>Boldore</t>
  </si>
  <si>
    <t>Compressed Pokémon</t>
  </si>
  <si>
    <t>Gigaiathギガイアス</t>
  </si>
  <si>
    <t>Gigalith</t>
  </si>
  <si>
    <t>Koromoriコロモリ</t>
  </si>
  <si>
    <t>Woobat</t>
  </si>
  <si>
    <t>Courting Pokémon</t>
  </si>
  <si>
    <t>Kokoromoriココロモリ</t>
  </si>
  <si>
    <t>Swoobat</t>
  </si>
  <si>
    <t>Mogurewモグリュー</t>
  </si>
  <si>
    <t>Drilbur</t>
  </si>
  <si>
    <t>Subterrene Pokémon</t>
  </si>
  <si>
    <t>Doryuzuドリュウズ</t>
  </si>
  <si>
    <t>Excadrill</t>
  </si>
  <si>
    <t>Hearing Pokémon</t>
  </si>
  <si>
    <t>Tabunneタブンネ</t>
  </si>
  <si>
    <t>Audino</t>
  </si>
  <si>
    <t>Muscular Pokémon</t>
  </si>
  <si>
    <t>Dokkorerドッコラー</t>
  </si>
  <si>
    <t>Timburr</t>
  </si>
  <si>
    <t>Dotekkotsuドテッコツ</t>
  </si>
  <si>
    <t>Gurdurr</t>
  </si>
  <si>
    <t>Roubushinローブシン</t>
  </si>
  <si>
    <t>Conkeldurr</t>
  </si>
  <si>
    <t>Otamaroオタマロ</t>
  </si>
  <si>
    <t>Tympole</t>
  </si>
  <si>
    <t>Gamagaruガマガル</t>
  </si>
  <si>
    <t>Palpitoad</t>
  </si>
  <si>
    <t>Gamagerogeガマゲロゲ</t>
  </si>
  <si>
    <t>Seismitoad</t>
  </si>
  <si>
    <t>Judo Pokémon</t>
  </si>
  <si>
    <t>Nagekiナゲキ</t>
  </si>
  <si>
    <t>Throh</t>
  </si>
  <si>
    <t>Karate Pokémon</t>
  </si>
  <si>
    <t>Dagekiダゲキ</t>
  </si>
  <si>
    <t>Sawk</t>
  </si>
  <si>
    <t>Sewing Pokémon</t>
  </si>
  <si>
    <t>Kurumiruクルミル</t>
  </si>
  <si>
    <t>Sewaddle</t>
  </si>
  <si>
    <t>Leaf-Wrapped Pokémon</t>
  </si>
  <si>
    <t>Kurumayuクルマユ</t>
  </si>
  <si>
    <t>Swadloon</t>
  </si>
  <si>
    <t>Nurturing Pokémon</t>
  </si>
  <si>
    <t>Hahakomoriハハコモリ</t>
  </si>
  <si>
    <t>Leavanny</t>
  </si>
  <si>
    <t>Centipede Pokémon</t>
  </si>
  <si>
    <t>Fushideフシデ</t>
  </si>
  <si>
    <t>Venipede</t>
  </si>
  <si>
    <t>Curlipede Pokémon</t>
  </si>
  <si>
    <t>Wheegaホイーガ</t>
  </si>
  <si>
    <t>Whirlipede</t>
  </si>
  <si>
    <t>Megapede Pokémon</t>
  </si>
  <si>
    <t>Pendrorペンドラー</t>
  </si>
  <si>
    <t>Scolipede</t>
  </si>
  <si>
    <t>Cotton Puff Pokémon</t>
  </si>
  <si>
    <t>Monmenモンメン</t>
  </si>
  <si>
    <t>Cottonee</t>
  </si>
  <si>
    <t>Windveiled Pokémon</t>
  </si>
  <si>
    <t>Elfuunエルフーン</t>
  </si>
  <si>
    <t>Whimsicott</t>
  </si>
  <si>
    <t>Bulb Pokémon</t>
  </si>
  <si>
    <t>Churineチュリネ</t>
  </si>
  <si>
    <t>Petilil</t>
  </si>
  <si>
    <t>Flowering Pokémon</t>
  </si>
  <si>
    <t>Dredearドレディア</t>
  </si>
  <si>
    <t>Lilligant</t>
  </si>
  <si>
    <t>Hostile Pokémon</t>
  </si>
  <si>
    <t>Bassraoバスラオ</t>
  </si>
  <si>
    <t>Basculin</t>
  </si>
  <si>
    <t>Desert Croc Pokémon</t>
  </si>
  <si>
    <t>Megurocoメグロコ</t>
  </si>
  <si>
    <t>Sandile</t>
  </si>
  <si>
    <t>Waruvileワルビル</t>
  </si>
  <si>
    <t>Krokorok</t>
  </si>
  <si>
    <t>Intimidation Pokémon</t>
  </si>
  <si>
    <t>Waruvialワルビアル</t>
  </si>
  <si>
    <t>Krookodile</t>
  </si>
  <si>
    <t>Zen Charm Pokémon</t>
  </si>
  <si>
    <t>Darumakkaダルマッカ</t>
  </si>
  <si>
    <t>Darumaka</t>
  </si>
  <si>
    <t>Blazing Pokémon</t>
  </si>
  <si>
    <t>Hihidarumaヒヒダルマ</t>
  </si>
  <si>
    <t>Darmanitan</t>
  </si>
  <si>
    <t>Maracacchiマラカッチ</t>
  </si>
  <si>
    <t>Maractus</t>
  </si>
  <si>
    <t>Rock Inn Pokémon</t>
  </si>
  <si>
    <t>Ishizumaiイシズマイ</t>
  </si>
  <si>
    <t>Dwebble</t>
  </si>
  <si>
    <t>Stone Home Pokémon</t>
  </si>
  <si>
    <t>Iwapalaceイワパレス</t>
  </si>
  <si>
    <t>Crustle</t>
  </si>
  <si>
    <t>Shedding Pokémon</t>
  </si>
  <si>
    <t>Zurugguズルッグ</t>
  </si>
  <si>
    <t>Scraggy</t>
  </si>
  <si>
    <t>Hoodlum Pokémon</t>
  </si>
  <si>
    <t>Zuruzukinズルズキン</t>
  </si>
  <si>
    <t>Scrafty</t>
  </si>
  <si>
    <t>Avianoid Pokémon</t>
  </si>
  <si>
    <t>Symbolerシンボラー</t>
  </si>
  <si>
    <t>Sigilyph</t>
  </si>
  <si>
    <t>Spirit Pokémon</t>
  </si>
  <si>
    <t>Desumasuデスマス</t>
  </si>
  <si>
    <t>Yamask</t>
  </si>
  <si>
    <t>Coffin Pokémon</t>
  </si>
  <si>
    <t>Desukarnデスカーン</t>
  </si>
  <si>
    <t>Cofagrigus</t>
  </si>
  <si>
    <t>Prototurtle Pokémon</t>
  </si>
  <si>
    <t>Protogaプロトーガ</t>
  </si>
  <si>
    <t>Tirtouga</t>
  </si>
  <si>
    <t>Abagouraアバゴーラ</t>
  </si>
  <si>
    <t>Carracosta</t>
  </si>
  <si>
    <t>First Bird Pokémon</t>
  </si>
  <si>
    <t>Archenアーケン</t>
  </si>
  <si>
    <t>Archen</t>
  </si>
  <si>
    <t>Archeosアーケオス</t>
  </si>
  <si>
    <t>Archeops</t>
  </si>
  <si>
    <t>Trash Bag Pokémon</t>
  </si>
  <si>
    <t>Yabukuronヤブクロン</t>
  </si>
  <si>
    <t>Trubbish</t>
  </si>
  <si>
    <t>Trash Heap Pokémon</t>
  </si>
  <si>
    <t>Dustdasダストダス</t>
  </si>
  <si>
    <t>Garbodor</t>
  </si>
  <si>
    <t>Tricky Fox Pokémon</t>
  </si>
  <si>
    <t>Zoruaゾロア</t>
  </si>
  <si>
    <t>Zorua</t>
  </si>
  <si>
    <t>Illusion Fox Pokémon</t>
  </si>
  <si>
    <t>Zoroarkゾロアーク</t>
  </si>
  <si>
    <t>Zoroark</t>
  </si>
  <si>
    <t>Chinchilla Pokémon</t>
  </si>
  <si>
    <t>Chillarmyチラーミィ</t>
  </si>
  <si>
    <t>Minccino</t>
  </si>
  <si>
    <t>Scarf Pokémon</t>
  </si>
  <si>
    <t>Chillaccinoチラチーノ</t>
  </si>
  <si>
    <t>Cinccino</t>
  </si>
  <si>
    <t>Fixation Pokémon</t>
  </si>
  <si>
    <t>Gothimuゴチム</t>
  </si>
  <si>
    <t>Gothita</t>
  </si>
  <si>
    <t>Gothimiruゴチミル</t>
  </si>
  <si>
    <t>Gothorita</t>
  </si>
  <si>
    <t>Astral Body Pokémon</t>
  </si>
  <si>
    <t>Gothiruselleゴチルゼル</t>
  </si>
  <si>
    <t>Gothitelle</t>
  </si>
  <si>
    <t>Cell Pokémon</t>
  </si>
  <si>
    <t>Uniranユニラン</t>
  </si>
  <si>
    <t>Solosis</t>
  </si>
  <si>
    <t>Mitosis Pokémon</t>
  </si>
  <si>
    <t>Doublanダブラン</t>
  </si>
  <si>
    <t>Duosion</t>
  </si>
  <si>
    <t>Multiplying Pokémon</t>
  </si>
  <si>
    <t>Lanculusランクルス</t>
  </si>
  <si>
    <t>Reuniclus</t>
  </si>
  <si>
    <t>Koaruhieコアルヒー</t>
  </si>
  <si>
    <t>Ducklett</t>
  </si>
  <si>
    <t>White Bird Pokémon</t>
  </si>
  <si>
    <t>Swannaスワンナ</t>
  </si>
  <si>
    <t>Swanna</t>
  </si>
  <si>
    <t>Vanipetiバニプッチ</t>
  </si>
  <si>
    <t>Vanillite</t>
  </si>
  <si>
    <t>Icy Snow Pokémon</t>
  </si>
  <si>
    <t>Vanirichバニリッチ</t>
  </si>
  <si>
    <t>Vanillish</t>
  </si>
  <si>
    <t>Snowstorm Pokémon</t>
  </si>
  <si>
    <t>Baivanillaバイバニラ</t>
  </si>
  <si>
    <t>Vanilluxe</t>
  </si>
  <si>
    <t>Season Pokémon</t>
  </si>
  <si>
    <t>Shikijikaシキジカ</t>
  </si>
  <si>
    <t>Deerling</t>
  </si>
  <si>
    <t>Mebukijikaメブキジカ</t>
  </si>
  <si>
    <t>Sawsbuck</t>
  </si>
  <si>
    <t>Sky Squirrel Pokémon</t>
  </si>
  <si>
    <t>Emongaエモンガ</t>
  </si>
  <si>
    <t>Emolga</t>
  </si>
  <si>
    <t>Clamping Pokémon</t>
  </si>
  <si>
    <t>Kaburumoカブルモ</t>
  </si>
  <si>
    <t>Karrablast</t>
  </si>
  <si>
    <t>Cavalry Pokémon</t>
  </si>
  <si>
    <t>Chevargoシュバルゴ</t>
  </si>
  <si>
    <t>Escavalier</t>
  </si>
  <si>
    <t>Tamagetakeタマゲタケ</t>
  </si>
  <si>
    <t>Foongus</t>
  </si>
  <si>
    <t>Morobareruモロバレル</t>
  </si>
  <si>
    <t>Amoonguss</t>
  </si>
  <si>
    <t>Floating Pokémon</t>
  </si>
  <si>
    <t>Pururillプルリル</t>
  </si>
  <si>
    <t>Frillish</t>
  </si>
  <si>
    <t>Burungelブルンゲル</t>
  </si>
  <si>
    <t>Jellicent</t>
  </si>
  <si>
    <t>Caring Pokémon</t>
  </si>
  <si>
    <t>Mamanbouママンボウ</t>
  </si>
  <si>
    <t>Alomomola</t>
  </si>
  <si>
    <t>Attaching Pokémon</t>
  </si>
  <si>
    <t>Bachuruバチュル</t>
  </si>
  <si>
    <t>Joltik</t>
  </si>
  <si>
    <t>EleSpider Pokémon</t>
  </si>
  <si>
    <t>Dentulaデンチュラ</t>
  </si>
  <si>
    <t>Galvantula</t>
  </si>
  <si>
    <t>Thorn Seed Pokémon</t>
  </si>
  <si>
    <t>Tesseedテッシード</t>
  </si>
  <si>
    <t>Ferroseed</t>
  </si>
  <si>
    <t>Thorn Pod Pokémon</t>
  </si>
  <si>
    <t>Nutreyナットレイ</t>
  </si>
  <si>
    <t>Ferrothorn</t>
  </si>
  <si>
    <t>Gear Pokémon</t>
  </si>
  <si>
    <t>Giaruギアル</t>
  </si>
  <si>
    <t>Klink</t>
  </si>
  <si>
    <t>Gigiaruギギアル</t>
  </si>
  <si>
    <t>Klang</t>
  </si>
  <si>
    <t>Gigigiaruギギギアル</t>
  </si>
  <si>
    <t>Klinklang</t>
  </si>
  <si>
    <t>EleFish Pokémon</t>
  </si>
  <si>
    <t>Shibishirasuシビシラス</t>
  </si>
  <si>
    <t>Tynamo</t>
  </si>
  <si>
    <t>Shibibeelシビビール</t>
  </si>
  <si>
    <t>Eelektrik</t>
  </si>
  <si>
    <t>Shibirudonシビルドン</t>
  </si>
  <si>
    <t>Eelektross</t>
  </si>
  <si>
    <t>Cerebral Pokémon</t>
  </si>
  <si>
    <t>Ligrayリグレー</t>
  </si>
  <si>
    <t>Elgyem</t>
  </si>
  <si>
    <t>Ohbemオーベム</t>
  </si>
  <si>
    <t>Beheeyem</t>
  </si>
  <si>
    <t>Candle Pokémon</t>
  </si>
  <si>
    <t>Hitomoshiヒトモシ</t>
  </si>
  <si>
    <t>Litwick</t>
  </si>
  <si>
    <t>Lamp Pokémon</t>
  </si>
  <si>
    <t>Lamplerランプラー</t>
  </si>
  <si>
    <t>Lampent</t>
  </si>
  <si>
    <t>Luring Pokémon</t>
  </si>
  <si>
    <t>Chandelaシャンデラ</t>
  </si>
  <si>
    <t>Chandelure</t>
  </si>
  <si>
    <t>Tusk Pokémon</t>
  </si>
  <si>
    <t>Kibagoキバゴ</t>
  </si>
  <si>
    <t>Axew</t>
  </si>
  <si>
    <t>Axe Jaw Pokémon</t>
  </si>
  <si>
    <t>Onondoオノンド</t>
  </si>
  <si>
    <t>Fraxure</t>
  </si>
  <si>
    <t>Ononokusオノノクス</t>
  </si>
  <si>
    <t>Haxorus</t>
  </si>
  <si>
    <t>Chill Pokémon</t>
  </si>
  <si>
    <t>Kumasyunクマシュン</t>
  </si>
  <si>
    <t>Cubchoo</t>
  </si>
  <si>
    <t>Freezing Pokémon</t>
  </si>
  <si>
    <t>Tunbearツンベアー</t>
  </si>
  <si>
    <t>Beartic</t>
  </si>
  <si>
    <t>Crystallizing Pokémon</t>
  </si>
  <si>
    <t>Freegeoフリージオ</t>
  </si>
  <si>
    <t>Cryogonal</t>
  </si>
  <si>
    <t>Snail Pokémon</t>
  </si>
  <si>
    <t>Chobomakiチョボマキ</t>
  </si>
  <si>
    <t>Shelmet</t>
  </si>
  <si>
    <t>Shell Out Pokémon</t>
  </si>
  <si>
    <t>Agilderアギルダー</t>
  </si>
  <si>
    <t>Accelgor</t>
  </si>
  <si>
    <t>Trap Pokémon</t>
  </si>
  <si>
    <t>Maggyoマッギョ</t>
  </si>
  <si>
    <t>Stunfisk</t>
  </si>
  <si>
    <t>Martial Arts Pokémon</t>
  </si>
  <si>
    <t>Kojofuコジョフー</t>
  </si>
  <si>
    <t>Mienfoo</t>
  </si>
  <si>
    <t>Kojondoコジョンド</t>
  </si>
  <si>
    <t>Mienshao</t>
  </si>
  <si>
    <t>Crimganクリムガン</t>
  </si>
  <si>
    <t>Druddigon</t>
  </si>
  <si>
    <t>Automaton Pokémon</t>
  </si>
  <si>
    <t>Gobitゴビット</t>
  </si>
  <si>
    <t>Golett</t>
  </si>
  <si>
    <t>Goloogゴルーグ</t>
  </si>
  <si>
    <t>Golurk</t>
  </si>
  <si>
    <t>Sharp Blade Pokémon</t>
  </si>
  <si>
    <t>Komatanaコマタナ</t>
  </si>
  <si>
    <t>Pawniard</t>
  </si>
  <si>
    <t>Sword Blade Pokémon</t>
  </si>
  <si>
    <t>Kirikizanキリキザン</t>
  </si>
  <si>
    <t>Bisharp</t>
  </si>
  <si>
    <t>Bash Buffalo Pokémon</t>
  </si>
  <si>
    <t>Buffronバッフロン</t>
  </si>
  <si>
    <t>Bouffalant</t>
  </si>
  <si>
    <t>Eaglet Pokémon</t>
  </si>
  <si>
    <t>Washibonワシボン</t>
  </si>
  <si>
    <t>Rufflet</t>
  </si>
  <si>
    <t>Valiant Pokémon</t>
  </si>
  <si>
    <t>Warrgleウォーグル</t>
  </si>
  <si>
    <t>Braviary</t>
  </si>
  <si>
    <t>Diapered Pokémon</t>
  </si>
  <si>
    <t>Valchaiバルチャイ</t>
  </si>
  <si>
    <t>Vullaby</t>
  </si>
  <si>
    <t>Bone Vulture Pokémon</t>
  </si>
  <si>
    <t>Vulginaバルジーナ</t>
  </si>
  <si>
    <t>Mandibuzz</t>
  </si>
  <si>
    <t>Anteater Pokémon</t>
  </si>
  <si>
    <t>Kuitaranクイタラン</t>
  </si>
  <si>
    <t>Heatmor</t>
  </si>
  <si>
    <t>Iron Ant Pokémon</t>
  </si>
  <si>
    <t>Aiantアイアント</t>
  </si>
  <si>
    <t>Durant</t>
  </si>
  <si>
    <t>Irate Pokémon</t>
  </si>
  <si>
    <t>Monozuモノズ</t>
  </si>
  <si>
    <t>Deino</t>
  </si>
  <si>
    <t>Diheadジヘッド</t>
  </si>
  <si>
    <t>Zweilous</t>
  </si>
  <si>
    <t>Sazandoraサザンドラ</t>
  </si>
  <si>
    <t>Hydreigon</t>
  </si>
  <si>
    <t>Torch Pokémon</t>
  </si>
  <si>
    <t>Merlarvaメラルバ</t>
  </si>
  <si>
    <t>Larvesta</t>
  </si>
  <si>
    <t>Ulgamothウルガモス</t>
  </si>
  <si>
    <t>Volcarona</t>
  </si>
  <si>
    <t>Iron Will Pokémon</t>
  </si>
  <si>
    <t>Cobalonコバルオン</t>
  </si>
  <si>
    <t>Cobalion</t>
  </si>
  <si>
    <t>Cavern Pokémon</t>
  </si>
  <si>
    <t>Terrakionテラキオン</t>
  </si>
  <si>
    <t>Terrakion</t>
  </si>
  <si>
    <t>Grassland Pokémon</t>
  </si>
  <si>
    <t>Virizionビリジオン</t>
  </si>
  <si>
    <t>Virizion</t>
  </si>
  <si>
    <t>Cyclone Pokémon</t>
  </si>
  <si>
    <t>Tornelos (keshin Forme)トルネロス</t>
  </si>
  <si>
    <t>Tornadus</t>
  </si>
  <si>
    <t>Bolt Strike Pokémon</t>
  </si>
  <si>
    <t>Voltolos (keshin Forme)ボルトロス</t>
  </si>
  <si>
    <t>Thundurus</t>
  </si>
  <si>
    <t>Vast White Pokémon</t>
  </si>
  <si>
    <t>Reshiramレシラム</t>
  </si>
  <si>
    <t>Reshiram</t>
  </si>
  <si>
    <t>Deep Black Pokémon</t>
  </si>
  <si>
    <t>Zekromゼクロム</t>
  </si>
  <si>
    <t>Zekrom</t>
  </si>
  <si>
    <t>Abundance Pokémon</t>
  </si>
  <si>
    <t>Landlos (keshin Forme)ランドロス</t>
  </si>
  <si>
    <t>Landorus</t>
  </si>
  <si>
    <t>Boundary Pokémon</t>
  </si>
  <si>
    <t>Kyuremキュレム</t>
  </si>
  <si>
    <t>Kyurem</t>
  </si>
  <si>
    <t>Colt Pokémon</t>
  </si>
  <si>
    <t>Keldeo (itsumo No Sugata)ケルディオ</t>
  </si>
  <si>
    <t>Keldeo</t>
  </si>
  <si>
    <t>Melody Pokémon</t>
  </si>
  <si>
    <t>Meloetta (step Forme)メロエッタ</t>
  </si>
  <si>
    <t>Meloetta</t>
  </si>
  <si>
    <t>Paleozoic Pokémon</t>
  </si>
  <si>
    <t>Genesectゲノセクト</t>
  </si>
  <si>
    <t>Genesect</t>
  </si>
  <si>
    <t>Spiky Nut Pokémon</t>
  </si>
  <si>
    <t>Harimaronハリマロン</t>
  </si>
  <si>
    <t>Chespin</t>
  </si>
  <si>
    <t>Spiny Armor Pokémon</t>
  </si>
  <si>
    <t>Hariborgハリボーグ</t>
  </si>
  <si>
    <t>Quilladin</t>
  </si>
  <si>
    <t>Brigarronブリガロン</t>
  </si>
  <si>
    <t>Chesnaught</t>
  </si>
  <si>
    <t>Fokkoフォッコ</t>
  </si>
  <si>
    <t>Fennekin</t>
  </si>
  <si>
    <t>Tairenarテールナー</t>
  </si>
  <si>
    <t>Braixen</t>
  </si>
  <si>
    <t>Mahoxyマフォクシー</t>
  </si>
  <si>
    <t>Delphox</t>
  </si>
  <si>
    <t>Bubble Frog Pokémon</t>
  </si>
  <si>
    <t>Keromatsuケロマツ</t>
  </si>
  <si>
    <t>Froakie</t>
  </si>
  <si>
    <t>Gekogashiraゲコガシラ</t>
  </si>
  <si>
    <t>Frogadier</t>
  </si>
  <si>
    <t>Gekkougaゲッコウガ</t>
  </si>
  <si>
    <t>Greninja</t>
  </si>
  <si>
    <t>Digging Pokémon</t>
  </si>
  <si>
    <t>Horubeeホルビー</t>
  </si>
  <si>
    <t>Bunnelby</t>
  </si>
  <si>
    <t>Horudoホルード</t>
  </si>
  <si>
    <t>Diggersby</t>
  </si>
  <si>
    <t>Tiny Robin Pokémon</t>
  </si>
  <si>
    <t>Yayakomaヤヤコマ</t>
  </si>
  <si>
    <t>Fletchling</t>
  </si>
  <si>
    <t>Hinoyakomaヒノヤコマ</t>
  </si>
  <si>
    <t>Fletchinder</t>
  </si>
  <si>
    <t>Scorching Pokémon</t>
  </si>
  <si>
    <t>Fiarrowファイアロー</t>
  </si>
  <si>
    <t>Talonflame</t>
  </si>
  <si>
    <t>Scatterdust Pokémon</t>
  </si>
  <si>
    <t>Kofukimushiコフキムシ</t>
  </si>
  <si>
    <t>Scatterbug</t>
  </si>
  <si>
    <t>Kofuuraiコフーライ</t>
  </si>
  <si>
    <t>Spewpa</t>
  </si>
  <si>
    <t>Scale Pokémon</t>
  </si>
  <si>
    <t>Viviyonビビヨン</t>
  </si>
  <si>
    <t>Vivillon</t>
  </si>
  <si>
    <t>Lion Cub Pokémon</t>
  </si>
  <si>
    <t>Shishikoシシコ</t>
  </si>
  <si>
    <t>Litleo</t>
  </si>
  <si>
    <t>Kaenjishiカエンジシ</t>
  </si>
  <si>
    <t>Pyroar</t>
  </si>
  <si>
    <t>Single Bloom Pokémon</t>
  </si>
  <si>
    <t>Flabebeフラベベ</t>
  </si>
  <si>
    <t>Flabébé</t>
  </si>
  <si>
    <t>Floetteフラエッテ</t>
  </si>
  <si>
    <t>Floette</t>
  </si>
  <si>
    <t>Garden Pokémon</t>
  </si>
  <si>
    <t>Florgesフラージェス</t>
  </si>
  <si>
    <t>Florges</t>
  </si>
  <si>
    <t>Mount Pokémon</t>
  </si>
  <si>
    <t>Meecleメェークル</t>
  </si>
  <si>
    <t>Skiddo</t>
  </si>
  <si>
    <t>Gogoatゴーゴート</t>
  </si>
  <si>
    <t>Gogoat</t>
  </si>
  <si>
    <t>Yanchamヤンチャム</t>
  </si>
  <si>
    <t>Pancham</t>
  </si>
  <si>
    <t>Daunting Pokémon</t>
  </si>
  <si>
    <t>Gorondaゴロンダ</t>
  </si>
  <si>
    <t>Pangoro</t>
  </si>
  <si>
    <t>Poodle Pokémon</t>
  </si>
  <si>
    <t>Trimmienトリミアン</t>
  </si>
  <si>
    <t>Furfrou</t>
  </si>
  <si>
    <t>Restraint Pokémon</t>
  </si>
  <si>
    <t>Nyasperニャスパー</t>
  </si>
  <si>
    <t>Espurr</t>
  </si>
  <si>
    <t>Constraint Pokémon</t>
  </si>
  <si>
    <t>Nyaonixニャオニクス</t>
  </si>
  <si>
    <t>Meowstic</t>
  </si>
  <si>
    <t>Sword Pokémon</t>
  </si>
  <si>
    <t>Hitotsukiヒトツキ</t>
  </si>
  <si>
    <t>Honedge</t>
  </si>
  <si>
    <t>Nidangillニダンギル</t>
  </si>
  <si>
    <t>Doublade</t>
  </si>
  <si>
    <t>Royal Sword Pokémon</t>
  </si>
  <si>
    <t>Gillgardギルガルド</t>
  </si>
  <si>
    <t>Aegislash</t>
  </si>
  <si>
    <t>Perfume Pokémon</t>
  </si>
  <si>
    <t>Shushupuシュシュプ</t>
  </si>
  <si>
    <t>Spritzee</t>
  </si>
  <si>
    <t>Fragrance Pokémon</t>
  </si>
  <si>
    <t>Frefuwanフレフワン</t>
  </si>
  <si>
    <t>Aromatisse</t>
  </si>
  <si>
    <t>Cotton Candy Pokémon</t>
  </si>
  <si>
    <t>Peroppafuペロッパフ</t>
  </si>
  <si>
    <t>Swirlix</t>
  </si>
  <si>
    <t>Meringue Pokémon</t>
  </si>
  <si>
    <t>Peroreamペロリーム</t>
  </si>
  <si>
    <t>Slurpuff</t>
  </si>
  <si>
    <t>Revolving Pokémon</t>
  </si>
  <si>
    <t>Maaiikaマーイーカ</t>
  </si>
  <si>
    <t>Inkay</t>
  </si>
  <si>
    <t>Overturning Pokémon</t>
  </si>
  <si>
    <t>Calamaneroカラマネロ</t>
  </si>
  <si>
    <t>Malamar</t>
  </si>
  <si>
    <t>Two-Handed Pokémon</t>
  </si>
  <si>
    <t>Kameteteカメテテ</t>
  </si>
  <si>
    <t>Binacle</t>
  </si>
  <si>
    <t>Collective Pokémon</t>
  </si>
  <si>
    <t>Gamenodesガメノデス</t>
  </si>
  <si>
    <t>Barbaracle</t>
  </si>
  <si>
    <t>Mock Kelp Pokémon</t>
  </si>
  <si>
    <t>Kuzumoクズモー</t>
  </si>
  <si>
    <t>Skrelp</t>
  </si>
  <si>
    <t>Dramidoroドラミドロ</t>
  </si>
  <si>
    <t>Dragalge</t>
  </si>
  <si>
    <t>Water Gun Pokémon</t>
  </si>
  <si>
    <t>Udeppouウデッポウ</t>
  </si>
  <si>
    <t>Clauncher</t>
  </si>
  <si>
    <t>Howitzer Pokémon</t>
  </si>
  <si>
    <t>Blosterブロスター</t>
  </si>
  <si>
    <t>Clawitzer</t>
  </si>
  <si>
    <t>Generator Pokémon</t>
  </si>
  <si>
    <t>Erikiteruエリキテル</t>
  </si>
  <si>
    <t>Helioptile</t>
  </si>
  <si>
    <t>Elezardエレザード</t>
  </si>
  <si>
    <t>Heliolisk</t>
  </si>
  <si>
    <t>Royal Heir Pokémon</t>
  </si>
  <si>
    <t>Chigorasチゴラス</t>
  </si>
  <si>
    <t>Tyrunt</t>
  </si>
  <si>
    <t>Despot Pokémon</t>
  </si>
  <si>
    <t>Gachigorasガチゴラス</t>
  </si>
  <si>
    <t>Tyrantrum</t>
  </si>
  <si>
    <t>Tundra Pokémon</t>
  </si>
  <si>
    <t>Amarusアマルス</t>
  </si>
  <si>
    <t>Amaura</t>
  </si>
  <si>
    <t>Amarurugaアマルルガ</t>
  </si>
  <si>
    <t>Aurorus</t>
  </si>
  <si>
    <t>Intertwining Pokémon</t>
  </si>
  <si>
    <t>Nymphiaニンフィア</t>
  </si>
  <si>
    <t>Sylveon</t>
  </si>
  <si>
    <t>Wrestling Pokémon</t>
  </si>
  <si>
    <t>Luchabullルチャブル</t>
  </si>
  <si>
    <t>Hawlucha</t>
  </si>
  <si>
    <t>Antenna Pokémon</t>
  </si>
  <si>
    <t>Dedenneデデンネ</t>
  </si>
  <si>
    <t>Dedenne</t>
  </si>
  <si>
    <t>Jewel Pokémon</t>
  </si>
  <si>
    <t>Melecieメレシー</t>
  </si>
  <si>
    <t>Carbink</t>
  </si>
  <si>
    <t>Soft Tissue Pokémon</t>
  </si>
  <si>
    <t>Numeraヌメラ</t>
  </si>
  <si>
    <t>Goomy</t>
  </si>
  <si>
    <t>Numeilヌメイル</t>
  </si>
  <si>
    <t>Sliggoo</t>
  </si>
  <si>
    <t>Numelgonヌメルゴン</t>
  </si>
  <si>
    <t>Goodra</t>
  </si>
  <si>
    <t>Key Ring Pokémon</t>
  </si>
  <si>
    <t>Cleffyクレッフィ</t>
  </si>
  <si>
    <t>Klefki</t>
  </si>
  <si>
    <t>Stump Pokémon</t>
  </si>
  <si>
    <t>Bokureiボクレー</t>
  </si>
  <si>
    <t>Phantump</t>
  </si>
  <si>
    <t>Elder Tree Pokémon</t>
  </si>
  <si>
    <t>Ohrotオーロット</t>
  </si>
  <si>
    <t>Trevenant</t>
  </si>
  <si>
    <t>Pumpkin Pokémon</t>
  </si>
  <si>
    <t>Bakecchaバケッチャ</t>
  </si>
  <si>
    <t>Pumpkaboo</t>
  </si>
  <si>
    <t>Pumpjinパンプジン</t>
  </si>
  <si>
    <t>Gourgeist</t>
  </si>
  <si>
    <t>Ice Chunk Pokémon</t>
  </si>
  <si>
    <t>Kachikohruカチコール</t>
  </si>
  <si>
    <t>Bergmite</t>
  </si>
  <si>
    <t>Crebaseクレベース</t>
  </si>
  <si>
    <t>Avalugg</t>
  </si>
  <si>
    <t>Sound Wave Pokémon</t>
  </si>
  <si>
    <t>Onbatオンバット</t>
  </si>
  <si>
    <t>Noibat</t>
  </si>
  <si>
    <t>Onvernオンバーン</t>
  </si>
  <si>
    <t>Noivern</t>
  </si>
  <si>
    <t>Life Pokémon</t>
  </si>
  <si>
    <t>Xerneasゼルネアス</t>
  </si>
  <si>
    <t>Xerneas</t>
  </si>
  <si>
    <t>Destruction Pokémon</t>
  </si>
  <si>
    <t>Yveltalイベルタル</t>
  </si>
  <si>
    <t>Yveltal</t>
  </si>
  <si>
    <t>Order Pokémon</t>
  </si>
  <si>
    <t>Zygarde (10% Forme)ジガルデ</t>
  </si>
  <si>
    <t>Zygarde</t>
  </si>
  <si>
    <t>Diancieディアンシー</t>
  </si>
  <si>
    <t>Diancie</t>
  </si>
  <si>
    <t>Mischief Pokémon (Confined)Djinn Pokémonn (Unbound)</t>
  </si>
  <si>
    <t>Hoopa (imashimerareshi Hoopa)フーパ</t>
  </si>
  <si>
    <t>Hoopa</t>
  </si>
  <si>
    <t>Steam Pokémon</t>
  </si>
  <si>
    <t>Volcanionボルケニオン</t>
  </si>
  <si>
    <t>Volcanion</t>
  </si>
  <si>
    <t>Grass Quill Pokémon</t>
  </si>
  <si>
    <t>Mokurohモクロー</t>
  </si>
  <si>
    <t>Rowlet</t>
  </si>
  <si>
    <t>Blade Quill Pokémon</t>
  </si>
  <si>
    <t>Fukuthrowフクスロー</t>
  </si>
  <si>
    <t>Dartrix</t>
  </si>
  <si>
    <t>Arrow Quill Pokémon</t>
  </si>
  <si>
    <t>Junaiperジュナイパー</t>
  </si>
  <si>
    <t>Decidueye</t>
  </si>
  <si>
    <t>Fire Cat Pokémon</t>
  </si>
  <si>
    <t>Nyabbyニャビー</t>
  </si>
  <si>
    <t>Litten</t>
  </si>
  <si>
    <t>Nyaheatニャヒート</t>
  </si>
  <si>
    <t>Torracat</t>
  </si>
  <si>
    <t>Heel Pokémon</t>
  </si>
  <si>
    <t>Gaogaenガオガエン</t>
  </si>
  <si>
    <t>Incineroar</t>
  </si>
  <si>
    <t>Ashimariアシマリ</t>
  </si>
  <si>
    <t>Popplio</t>
  </si>
  <si>
    <t>Pop Star Pokémon</t>
  </si>
  <si>
    <t>Osyamariオシャマリ</t>
  </si>
  <si>
    <t>Brionne</t>
  </si>
  <si>
    <t>Soloist Pokémon</t>
  </si>
  <si>
    <t>Ashireneアシレーヌ</t>
  </si>
  <si>
    <t>Primarina</t>
  </si>
  <si>
    <t>Woodpecker Pokémon</t>
  </si>
  <si>
    <t>Tsutsukeraツツケラ</t>
  </si>
  <si>
    <t>Pikipek</t>
  </si>
  <si>
    <t>Bugle Beak Pokémon</t>
  </si>
  <si>
    <t>Kerarappaケララッパ</t>
  </si>
  <si>
    <t>Trumbeak</t>
  </si>
  <si>
    <t>Cannon Pokémon</t>
  </si>
  <si>
    <t>Dodekabashiドデカバシ</t>
  </si>
  <si>
    <t>Toucannon</t>
  </si>
  <si>
    <t>Loitering Pokémon</t>
  </si>
  <si>
    <t>Youngooseヤングース</t>
  </si>
  <si>
    <t>Yungoos</t>
  </si>
  <si>
    <t>Stakeout Pokémon</t>
  </si>
  <si>
    <t>Dekagooseデカグース</t>
  </si>
  <si>
    <t>Gumshoos</t>
  </si>
  <si>
    <t>Larva Pokémon</t>
  </si>
  <si>
    <t>Agojimushiアゴジムシ</t>
  </si>
  <si>
    <t>Grubbin</t>
  </si>
  <si>
    <t>Battery Pokémon</t>
  </si>
  <si>
    <t>Dendimushiデンヂムシ</t>
  </si>
  <si>
    <t>Charjabug</t>
  </si>
  <si>
    <t>Stag Beetle Pokémon</t>
  </si>
  <si>
    <t>Kuwagannonクワガノン</t>
  </si>
  <si>
    <t>Vikavolt</t>
  </si>
  <si>
    <t>Boxing Pokémon</t>
  </si>
  <si>
    <t>Makenkaniマケンカニ</t>
  </si>
  <si>
    <t>Crabrawler</t>
  </si>
  <si>
    <t>Woolly Crab Pokémon</t>
  </si>
  <si>
    <t>Kekenkaniケケンカニ</t>
  </si>
  <si>
    <t>Crabominable</t>
  </si>
  <si>
    <t>Dancing Pokémon</t>
  </si>
  <si>
    <t>Odoridori (pachipachi Style)オドリドリ</t>
  </si>
  <si>
    <t>Oricorio</t>
  </si>
  <si>
    <t>Bee Fly Pokémon</t>
  </si>
  <si>
    <t>Abulyアブリー</t>
  </si>
  <si>
    <t>Cutiefly</t>
  </si>
  <si>
    <t>Aburibbonアブリボン</t>
  </si>
  <si>
    <t>Ribombee</t>
  </si>
  <si>
    <t>Iwankoイワンコ</t>
  </si>
  <si>
    <t>Rockruff</t>
  </si>
  <si>
    <t>Wolf Pokémon</t>
  </si>
  <si>
    <t>Lugarugan (mahiru No Sugata)ルガルガン</t>
  </si>
  <si>
    <t>Lycanroc</t>
  </si>
  <si>
    <t>Small Fry Pokémon</t>
  </si>
  <si>
    <t>Yowashi (tandoku No Sugata)ヨワシ</t>
  </si>
  <si>
    <t>Wishiwashi</t>
  </si>
  <si>
    <t>Brutal Star Pokémon</t>
  </si>
  <si>
    <t>Hidoideヒドイデ</t>
  </si>
  <si>
    <t>Mareanie</t>
  </si>
  <si>
    <t>Dohidoideドヒドイデ</t>
  </si>
  <si>
    <t>Toxapex</t>
  </si>
  <si>
    <t>Donkey Pokémon</t>
  </si>
  <si>
    <t>Dorobankoドロバンコ</t>
  </si>
  <si>
    <t>Mudbray</t>
  </si>
  <si>
    <t>Draft Horse Pokémon</t>
  </si>
  <si>
    <t>Banbadoroバンバドロ</t>
  </si>
  <si>
    <t>Mudsdale</t>
  </si>
  <si>
    <t>Water Bubble Pokémon</t>
  </si>
  <si>
    <t>Shizukumoシズクモ</t>
  </si>
  <si>
    <t>Dewpider</t>
  </si>
  <si>
    <t>Onishizukumoオニシズクモ</t>
  </si>
  <si>
    <t>Araquanid</t>
  </si>
  <si>
    <t>Sickle Grass Pokémon</t>
  </si>
  <si>
    <t>Karikiriカリキリ</t>
  </si>
  <si>
    <t>Fomantis</t>
  </si>
  <si>
    <t>Bloom Sickle Pokémon</t>
  </si>
  <si>
    <t>Lalantesラランテス</t>
  </si>
  <si>
    <t>Lurantis</t>
  </si>
  <si>
    <t>Illuminating Pokémon</t>
  </si>
  <si>
    <t>Nemasyuネマシュ</t>
  </si>
  <si>
    <t>Morelull</t>
  </si>
  <si>
    <t>Mashadeマシェード</t>
  </si>
  <si>
    <t>Shiinotic</t>
  </si>
  <si>
    <t>Toxic Lizard Pokémon</t>
  </si>
  <si>
    <t>Yatoumoriヤトウモリ</t>
  </si>
  <si>
    <t>Salandit</t>
  </si>
  <si>
    <t>Ennewtエンニュート</t>
  </si>
  <si>
    <t>Salazzle</t>
  </si>
  <si>
    <t>Flailing Pokémon</t>
  </si>
  <si>
    <t>Nuikogumaヌイコグマ</t>
  </si>
  <si>
    <t>Stufful</t>
  </si>
  <si>
    <t>Strong Arm Pokémon</t>
  </si>
  <si>
    <t>Kiterugumaキテルグマ</t>
  </si>
  <si>
    <t>Bewear</t>
  </si>
  <si>
    <t>Amakajiアマカジ</t>
  </si>
  <si>
    <t>Bounsweet</t>
  </si>
  <si>
    <t>Amamaikoアママイコ</t>
  </si>
  <si>
    <t>Steenee</t>
  </si>
  <si>
    <t>Amajoアマージョ</t>
  </si>
  <si>
    <t>Tsareena</t>
  </si>
  <si>
    <t>Posy Picker Pokémon</t>
  </si>
  <si>
    <t>Cuwawaキュワワー</t>
  </si>
  <si>
    <t>Comfey</t>
  </si>
  <si>
    <t>Sage Pokémon</t>
  </si>
  <si>
    <t>Yareyuutanヤレユータン</t>
  </si>
  <si>
    <t>Oranguru</t>
  </si>
  <si>
    <t>Teamwork Pokémon</t>
  </si>
  <si>
    <t>Nagetukesaruナゲツケサル</t>
  </si>
  <si>
    <t>Passimian</t>
  </si>
  <si>
    <t>Turn Tail Pokémon</t>
  </si>
  <si>
    <t>Kosokumushiコソクムシ</t>
  </si>
  <si>
    <t>Wimpod</t>
  </si>
  <si>
    <t>Hard Scale Pokémon</t>
  </si>
  <si>
    <t>Gusokumushaグソクムシャ</t>
  </si>
  <si>
    <t>Golisopod</t>
  </si>
  <si>
    <t>Sand Heap Pokémon</t>
  </si>
  <si>
    <t>Sunabaスナバァ</t>
  </si>
  <si>
    <t>Sandygast</t>
  </si>
  <si>
    <t>Sand Castle Pokémon</t>
  </si>
  <si>
    <t>Sirodethnaシロデスナ</t>
  </si>
  <si>
    <t>Palossand</t>
  </si>
  <si>
    <t>Sea Cucumber Pokémon</t>
  </si>
  <si>
    <t>Namakobushiナマコブシ</t>
  </si>
  <si>
    <t>Pyukumuku</t>
  </si>
  <si>
    <t>Synthetic Pokémon</t>
  </si>
  <si>
    <t>Type: Nullタイプ：ヌル</t>
  </si>
  <si>
    <t>Type: Null</t>
  </si>
  <si>
    <t>Silvadyシルヴァディ</t>
  </si>
  <si>
    <t>Silvally</t>
  </si>
  <si>
    <t>Meteor Pokémon</t>
  </si>
  <si>
    <t>Metenoメテノ</t>
  </si>
  <si>
    <t>Minior</t>
  </si>
  <si>
    <t>Nekkoaraネッコアラ</t>
  </si>
  <si>
    <t>Komala</t>
  </si>
  <si>
    <t>Blast Turtle Pokémon</t>
  </si>
  <si>
    <t>Bakugamesバクガメス</t>
  </si>
  <si>
    <t>Turtonator</t>
  </si>
  <si>
    <t>Roly-Poly Pokémon</t>
  </si>
  <si>
    <t>Togedemaruトゲデマル</t>
  </si>
  <si>
    <t>Togedemaru</t>
  </si>
  <si>
    <t>Disguise Pokémon</t>
  </si>
  <si>
    <t>Mimikkyuミミッキュ</t>
  </si>
  <si>
    <t>Mimikyu</t>
  </si>
  <si>
    <t>Gnash Teeth Pokémon</t>
  </si>
  <si>
    <t>Hagigishiriハギギシリ</t>
  </si>
  <si>
    <t>Bruxish</t>
  </si>
  <si>
    <t>Placid Pokémon</t>
  </si>
  <si>
    <t>Jijilongジジーロン</t>
  </si>
  <si>
    <t>Drampa</t>
  </si>
  <si>
    <t>Sea Creeper Pokémon</t>
  </si>
  <si>
    <t>Dadarinダダリン</t>
  </si>
  <si>
    <t>Dhelmise</t>
  </si>
  <si>
    <t>Scaly Pokémon</t>
  </si>
  <si>
    <t>Jyarakoジャラコ</t>
  </si>
  <si>
    <t>Jangmo-o</t>
  </si>
  <si>
    <t>Jyarangoジャランゴ</t>
  </si>
  <si>
    <t>Hakamo-o</t>
  </si>
  <si>
    <t>Jyararangaジャラランガ</t>
  </si>
  <si>
    <t>Kommo-o</t>
  </si>
  <si>
    <t>Land Spirit Pokémon</t>
  </si>
  <si>
    <t>Kapu-kokekoカプ・コケコ</t>
  </si>
  <si>
    <t>Tapu Koko</t>
  </si>
  <si>
    <t>Kapu-tetefuカプ・テテフ</t>
  </si>
  <si>
    <t>Tapu Lele</t>
  </si>
  <si>
    <t>Kapu-bululカプ・ブルル</t>
  </si>
  <si>
    <t>Tapu Bulu</t>
  </si>
  <si>
    <t>Kapu-rehireカプ・レヒレ</t>
  </si>
  <si>
    <t>Tapu Fini</t>
  </si>
  <si>
    <t>Nebula Pokémon</t>
  </si>
  <si>
    <t>Cosmogコスモッグ</t>
  </si>
  <si>
    <t>Cosmog</t>
  </si>
  <si>
    <t>Protostar Pokémon</t>
  </si>
  <si>
    <t>Cosmovumコスモウム</t>
  </si>
  <si>
    <t>Cosmoem</t>
  </si>
  <si>
    <t>Sunne Pokémon</t>
  </si>
  <si>
    <t>Solgaleoソルガレオ</t>
  </si>
  <si>
    <t>Solgaleo</t>
  </si>
  <si>
    <t>Moone Pokémon</t>
  </si>
  <si>
    <t>Lunalaルナアーラ</t>
  </si>
  <si>
    <t>Lunala</t>
  </si>
  <si>
    <t>Parasite Pokémon</t>
  </si>
  <si>
    <t>Uturoidウツロイド</t>
  </si>
  <si>
    <t>Nihilego</t>
  </si>
  <si>
    <t>Swollen Pokémon</t>
  </si>
  <si>
    <t>Massivoonマッシブーン</t>
  </si>
  <si>
    <t>Buzzwole</t>
  </si>
  <si>
    <t>Lissome Pokémon</t>
  </si>
  <si>
    <t>Pheroacheフェローチェ</t>
  </si>
  <si>
    <t>Pheromosa</t>
  </si>
  <si>
    <t>Glowing Pokémon</t>
  </si>
  <si>
    <t>Denjyumokuデンジュモク</t>
  </si>
  <si>
    <t>Xurkitree</t>
  </si>
  <si>
    <t>Launch Pokémon</t>
  </si>
  <si>
    <t>Tekkaguyaテッカグヤ</t>
  </si>
  <si>
    <t>Celesteela</t>
  </si>
  <si>
    <t>Drawn Sword Pokémon</t>
  </si>
  <si>
    <t>Kamiturugiカミツルギ</t>
  </si>
  <si>
    <t>Kartana</t>
  </si>
  <si>
    <t>Junkivore Pokémon</t>
  </si>
  <si>
    <t>Akuzikingアクジキング</t>
  </si>
  <si>
    <t>Guzzlord</t>
  </si>
  <si>
    <t>Prism Pokémon</t>
  </si>
  <si>
    <t>Necrozmaネクロズマ</t>
  </si>
  <si>
    <t>Necrozma</t>
  </si>
  <si>
    <t>Artificial Pokémon</t>
  </si>
  <si>
    <t>Magearnaマギアナ</t>
  </si>
  <si>
    <t>Magearna</t>
  </si>
  <si>
    <t>Mr, Mime</t>
  </si>
  <si>
    <t>Mime Jr,</t>
  </si>
  <si>
    <t>abilities,against_bug,against_dark,against_dragon,against_electric,against_fairy,against_fight,against_fire,against_flying,against_ghost,against_grass,against_ground,against_ice,against_normal,against_poison,against_psychic,against_rock,against_steel,against_water,attack,base_egg_steps,base_happiness,base_total,capture_rate,classfication,defense,experience_growth,height_m,hp,japanese_name,name,percentage_male,pokedex_number,sp_attack,sp_defense,speed,type1,type2,weight_kg,generation,is_legendary</t>
  </si>
  <si>
    <t>['Overgrow', 'Chlorophyll'],1,1,1,0.5,0.5,0.5,2,2,1,0.25,1,2,1,1,2,1,1,0.5,49,5120,70,318,45,Seed PokÃ©mon,49,1059860,0.7,45,Fushigidaneãƒ•ã‚·ã‚®ãƒ€ãƒ,Bulbasaur,88.1,1,65,65,45,grass,poison,6.9,1,0</t>
  </si>
  <si>
    <t>['Overgrow', 'Chlorophyll'],1,1,1,0.5,0.5,0.5,2,2,1,0.25,1,2,1,1,2,1,1,0.5,62,5120,70,405,45,Seed PokÃ©mon,63,1059860,1.0,60,Fushigisouãƒ•ã‚·ã‚®ã‚½ã‚¦,Ivysaur,88.1,2,80,80,60,grass,poison,13.0,1,0</t>
  </si>
  <si>
    <t>['Overgrow', 'Chlorophyll'],1,1,1,0.5,0.5,0.5,2,2,1,0.25,1,2,1,1,2,1,1,0.5,100,5120,70,625,45,Seed PokÃ©mon,123,1059860,2.0,80,Fushigibanaãƒ•ã‚·ã‚®ãƒãƒŠ,Venusaur,88.1,3,122,120,80,grass,poison,100.0,1,0</t>
  </si>
  <si>
    <t>['Blaze', 'Solar Power'],0.5,1,1,1,0.5,1,0.5,1,1,0.5,2,0.5,1,1,1,2,0.5,2,52,5120,70,309,45,Lizard PokÃ©mon,43,1059860,0.6,39,Hitokageãƒ’ãƒˆã‚«ã‚²,Charmander,88.1,4,60,50,65,fire,,8.5,1,0</t>
  </si>
  <si>
    <t>['Blaze', 'Solar Power'],0.5,1,1,1,0.5,1,0.5,1,1,0.5,2,0.5,1,1,1,2,0.5,2,64,5120,70,405,45,Flame PokÃ©mon,58,1059860,1.1,58,Lizardoãƒªã‚¶ãƒ¼ãƒ‰,Charmeleon,88.1,5,80,65,80,fire,,19.0,1,0</t>
  </si>
  <si>
    <t>['Blaze', 'Solar Power'],0.25,1,1,2,0.5,0.5,0.5,1,1,0.25,0,1,1,1,1,4,0.5,2,104,5120,70,634,45,Flame PokÃ©mon,78,1059860,1.7,78,Lizardonãƒªã‚¶ãƒ¼ãƒ‰ãƒ³,Charizard,88.1,6,159,115,100,fire,flying,90.5,1,0</t>
  </si>
  <si>
    <t>['Torrent', 'Rain Dish'],1,1,1,2,1,1,0.5,1,1,2,1,0.5,1,1,1,1,0.5,0.5,48,5120,70,314,45,Tiny Turtle PokÃ©mon,65,1059860,0.5,44,Zenigameã‚¼ãƒ‹ã‚¬ãƒ¡,Squirtle,88.1,7,50,64,43,water,,9.0,1,0</t>
  </si>
  <si>
    <t>['Torrent', 'Rain Dish'],1,1,1,2,1,1,0.5,1,1,2,1,0.5,1,1,1,1,0.5,0.5,63,5120,70,405,45,Turtle PokÃ©mon,80,1059860,1.0,59,Kameilã‚«ãƒ¡ãƒ¼ãƒ«,Wartortle,88.1,8,65,80,58,water,,22.5,1,0</t>
  </si>
  <si>
    <t>['Torrent', 'Rain Dish'],1,1,1,2,1,1,0.5,1,1,2,1,0.5,1,1,1,1,0.5,0.5,103,5120,70,630,45,Shellfish PokÃ©mon,120,1059860,1.6,79,Kamexã‚«ãƒ¡ãƒƒã‚¯ã‚¹,Blastoise,88.1,9,135,115,78,water,,85.5,1,0</t>
  </si>
  <si>
    <t>['Shield Dust', 'Run Away'],1,1,1,1,1,0.5,2,2,1,0.5,0.5,1,1,1,1,2,1,1,30,3840,70,195,255,Worm PokÃ©mon,35,1000000,0.3,45,Caterpieã‚­ãƒ£ã‚¿ãƒ”ãƒ¼,Caterpie,50,10,20,20,45,bug,,2.9,1,0</t>
  </si>
  <si>
    <t>['Shed Skin'],1,1,1,1,1,0.5,2,2,1,0.5,0.5,1,1,1,1,2,1,1,20,3840,70,205,120,Cocoon PokÃ©mon,55,1000000,0.7,50,Transelãƒˆãƒ©ãƒ³ã‚»ãƒ«,Metapod,50,11,25,25,30,bug,,9.9,1,0</t>
  </si>
  <si>
    <t>['Compoundeyes', 'Tinted Lens'],0.5,1,1,2,1,0.25,2,2,1,0.25,0,2,1,1,1,4,1,1,45,3840,70,395,45,Butterfly PokÃ©mon,50,1000000,1.1,60,Butterfreeãƒã‚¿ãƒ•ãƒªãƒ¼,Butterfree,50,12,90,80,70,bug,flying,32.0,1,0</t>
  </si>
  <si>
    <t>['Shield Dust', 'Run Away'],0.5,1,1,1,0.5,0.25,2,2,1,0.25,1,1,1,0.5,2,2,1,1,35,3840,70,195,255,Hairy PokÃ©mon,30,1000000,0.3,40,Beedleãƒ“ãƒ¼ãƒ‰ãƒ«,Weedle,50,13,20,20,50,bug,poison,3.2,1,0</t>
  </si>
  <si>
    <t>['Shed Skin'],0.5,1,1,1,0.5,0.25,2,2,1,0.25,1,1,1,0.5,2,2,1,1,25,3840,70,205,120,Cocoon PokÃ©mon,50,1000000,0.6,45,Cocoonã‚³ã‚¯ãƒ¼ãƒ³,Kakuna,50,14,25,25,35,bug,poison,10.0,1,0</t>
  </si>
  <si>
    <t>['Swarm', 'Sniper'],0.5,1,1,1,0.5,0.25,2,2,1,0.25,1,1,1,0.5,2,2,1,1,150,3840,70,495,45,Poison Bee PokÃ©mon,40,1000000,1.0,65,Spearã‚¹ãƒ”ã‚¢ãƒ¼,Beedrill,50,15,15,80,145,bug,poison,29.5,1,0</t>
  </si>
  <si>
    <t>['Keen Eye', 'Tangled Feet', 'Big Pecks'],0.5,1,1,2,1,1,1,1,0,0.5,0,2,1,1,1,2,1,1,45,3840,70,251,255,Tiny Bird PokÃ©mon,40,1059860,0.3,40,Poppoãƒãƒƒãƒ,Pidgey,50,16,35,35,56,normal,flying,1.8,1,0</t>
  </si>
  <si>
    <t>['Keen Eye', 'Tangled Feet', 'Big Pecks'],0.5,1,1,2,1,1,1,1,0,0.5,0,2,1,1,1,2,1,1,60,3840,70,349,120,Bird PokÃ©mon,55,1059860,1.1,63,Pigeonãƒ”ã‚¸ãƒ§ãƒ³,Pidgeotto,50,17,50,50,71,normal,flying,30.0,1,0</t>
  </si>
  <si>
    <t>['Keen Eye', 'Tangled Feet', 'Big Pecks'],0.5,1,1,2,1,1,1,1,0,0.5,0,2,1,1,1,2,1,1,80,3840,70,579,45,Bird PokÃ©mon,80,1059860,1.5,83,Pigeotãƒ”ã‚¸ãƒ§ãƒƒãƒˆ,Pidgeot,50,18,135,80,121,normal,flying,39.5,1,0</t>
  </si>
  <si>
    <t>['Run Away', 'Guts', 'Hustle', 'Gluttony', 'Hustle', 'Thick Fat'],1,1,1,1,1,2,1,1,0,1,1,1,1,1,1,1,1,1,56,3840,70,253,255,Mouse PokÃ©mon,35,1000000,,30,Korattaã‚³ãƒ©ãƒƒã‚¿,Rattata,50,19,25,35,72,normal,dark,,1,0</t>
  </si>
  <si>
    <t>['Run Away', 'Guts', 'Hustle', 'Gluttony', 'Hustle', 'Thick Fat'],1,1,1,1,1,2,1,1,0,1,1,1,1,1,1,1,1,1,71,3840,70,413,127,Mouse PokÃ©mon,70,1000000,,75,Rattaãƒ©ãƒƒã‚¿,Raticate,50,20,40,80,77,normal,dark,,1,0</t>
  </si>
  <si>
    <t>['Keen Eye', 'Sniper'],0.5,1,1,2,1,1,1,1,0,0.5,0,2,1,1,1,2,1,1,60,3840,70,262,255,Tiny Bird PokÃ©mon,30,1000000,0.3,40,Onisuzumeã‚ªãƒ‹ã‚¹ã‚ºãƒ¡,Spearow,50,21,31,31,70,normal,flying,2.0,1,0</t>
  </si>
  <si>
    <t>['Keen Eye', 'Sniper'],0.5,1,1,2,1,1,1,1,0,0.5,0,2,1,1,1,2,1,1,90,3840,70,442,90,Beak PokÃ©mon,65,1000000,1.2,65,Onidrillã‚ªãƒ‹ãƒ‰ãƒªãƒ«,Fearow,50,22,61,61,100,normal,flying,38.0,1,0</t>
  </si>
  <si>
    <t>['Intimidate', 'Shed Skin', 'Unnerve'],0.5,1,1,1,0.5,0.5,1,1,1,0.5,2,1,1,0.5,2,1,1,1,60,5120,70,288,255,Snake PokÃ©mon,44,1000000,2.0,35,Arboã‚¢ãƒ¼ãƒœ,Ekans,50,23,40,54,55,poison,,6.9,1,0</t>
  </si>
  <si>
    <t>['Intimidate', 'Shed Skin', 'Unnerve'],0.5,1,1,1,0.5,0.5,1,1,1,0.5,2,1,1,0.5,2,1,1,1,95,5120,70,448,90,Cobra PokÃ©mon,69,1000000,3.5,60,Arbokã‚¢ãƒ¼ãƒœãƒƒã‚¯,Arbok,50,24,65,79,80,poison,,65.0,1,0</t>
  </si>
  <si>
    <t>['Static', 'Lightningrod'],1,1,1,0.5,1,1,1,0.5,1,1,2,1,1,1,1,1,0.5,1,55,2560,70,320,190,Mouse PokÃ©mon,40,1000000,0.4,35,Pikachuãƒ”ã‚«ãƒãƒ¥ã‚¦,Pikachu,50,25,50,50,90,electric,,6.0,1,0</t>
  </si>
  <si>
    <t>['Static', 'Lightningrod', 'Surge Surfer'],1,1,1,0.5,1,1,1,0.5,1,1,2,1,1,1,1,1,0.5,1,85,2560,70,485,75,Mouse PokÃ©mon,50,1000000,,60,Raichuãƒ©ã‚¤ãƒãƒ¥ã‚¦,Raichu,50,26,95,85,110,electric,electric,,1,0</t>
  </si>
  <si>
    <t>['Sand Veil', 'Sand Rush', 'Snow Cloak', 'Slush Rush'],1,1,1,0,1,1,1,1,1,2,1,2,1,0.5,1,0.5,1,2,75,5120,70,300,255,Mouse PokÃ©mon,90,1000000,,50,Sandã‚µãƒ³ãƒ‰,Sandshrew,50,27,10,35,40,ground,ice,,1,0</t>
  </si>
  <si>
    <t>['Sand Veil', 'Sand Rush', 'Snow Cloak', 'Slush Rush'],1,1,1,0,1,1,1,1,1,2,1,2,1,0.5,1,0.5,1,2,100,5120,70,450,90,Mouse PokÃ©mon,120,1000000,,75,Sandpanã‚µãƒ³ãƒ‰ãƒ‘ãƒ³,Sandslash,50,28,25,65,65,ground,ice,,1,0</t>
  </si>
  <si>
    <t>['Poison Point', 'Rivalry', 'Hustle'],0.5,1,1,1,0.5,0.5,1,1,1,0.5,2,1,1,0.5,2,1,1,1,47,5120,70,275,235,Poison Pin PokÃ©mon,52,1059860,0.4,55,Nidoran?ãƒ‹ãƒ‰ãƒ©ãƒ³â™€,Nidoranâ™€,0,29,40,40,41,poison,,7.0,1,0</t>
  </si>
  <si>
    <t>['Poison Point', 'Rivalry', 'Hustle'],0.5,1,1,1,0.5,0.5,1,1,1,0.5,2,1,1,0.5,2,1,1,1,62,5120,70,365,120,Poison Pin PokÃ©mon,67,1059860,0.8,70,Nidorinaãƒ‹ãƒ‰ãƒªãƒ¼ãƒŠ,Nidorina,0,30,55,55,56,poison,,20.0,1,0</t>
  </si>
  <si>
    <t>['Poison Point', 'Rivalry', 'Sheer Force'],0.5,1,1,0,0.5,0.5,1,1,1,1,2,2,1,0.25,2,0.5,1,2,92,5120,70,505,45,Drill PokÃ©mon,87,1059860,1.3,90,Nidoqueenãƒ‹ãƒ‰ã‚¯ã‚¤ãƒ³,Nidoqueen,0,31,75,85,76,poison,ground,60.0,1,0</t>
  </si>
  <si>
    <t>['Poison Point', 'Rivalry', 'Hustle'],0.5,1,1,1,0.5,0.5,1,1,1,0.5,2,1,1,0.5,2,1,1,1,57,5120,70,273,235,Poison Pin PokÃ©mon,40,1059860,0.5,46,Nidoran?ãƒ‹ãƒ‰ãƒ©ãƒ³â™‚,Nidoranâ™‚,100,32,40,40,50,poison,,9.0,1,0</t>
  </si>
  <si>
    <t>['Poison Point', 'Rivalry', 'Hustle'],0.5,1,1,1,0.5,0.5,1,1,1,0.5,2,1,1,0.5,2,1,1,1,72,5120,70,365,120,Poison Pin PokÃ©mon,57,1059860,0.9,61,Nidorinoãƒ‹ãƒ‰ãƒªãƒ¼ãƒŽ,Nidorino,100,33,55,55,65,poison,,19.5,1,0</t>
  </si>
  <si>
    <t>['Poison Point', 'Rivalry', 'Sheer Force'],0.5,1,1,0,0.5,0.5,1,1,1,1,2,2,1,0.25,2,0.5,1,2,102,5120,70,505,45,Drill PokÃ©mon,77,1059860,1.4,81,Nidokingãƒ‹ãƒ‰ã‚­ãƒ³ã‚°,Nidoking,100,34,85,75,85,poison,ground,62.0,1,0</t>
  </si>
  <si>
    <t>['Cute Charm', 'Magic Guard', 'Friend Guard'],0.5,0.5,0,1,1,0.5,1,1,1,1,1,1,1,2,1,1,2,1,45,2560,140,323,150,Fairy PokÃ©mon,48,800000,0.6,70,Pippiãƒ”ãƒƒãƒ”,Clefairy,24.6,35,60,65,35,fairy,,7.5,1,0</t>
  </si>
  <si>
    <t>['Cute Charm', 'Magic Guard', 'Unaware'],0.5,0.5,0,1,1,0.5,1,1,1,1,1,1,1,2,1,1,2,1,70,2560,140,483,25,Fairy PokÃ©mon,73,800000,1.3,95,Pixyãƒ”ã‚¯ã‚·ãƒ¼,Clefable,24.6,36,95,90,60,fairy,,40.0,1,0</t>
  </si>
  <si>
    <t>['Flash Fire', 'Drought', 'Snow Cloak', 'Snow Warning'],0.5,1,1,1,0.5,1,0.5,1,1,0.5,2,0.5,1,1,1,2,0.5,2,41,5120,70,299,190,Fox PokÃ©mon,40,1000000,,38,Rokonãƒ­ã‚³ãƒ³,Vulpix,24.6,37,50,65,65,fire,ice,,1,0</t>
  </si>
  <si>
    <t>['Flash Fire', 'Drought', 'Snow Cloak', 'Snow Warning'],0.5,1,1,1,0.5,1,0.5,1,1,0.5,2,0.5,1,1,1,2,0.5,2,67,5120,70,505,75,Fox PokÃ©mon,75,1000000,,73,Kyukonã‚­ãƒ¥ã‚¦ã‚³ãƒ³,Ninetales,24.6,38,81,100,109,fire,ice,,1,0</t>
  </si>
  <si>
    <t>['Cute Charm', 'Competitive', 'Friend Guard'],0.5,0.5,0,1,1,1,1,1,0,1,1,1,1,2,1,1,2,1,45,2560,70,270,170,Balloon PokÃ©mon,20,800000,0.5,115,Purinãƒ—ãƒªãƒ³,Jigglypuff,24.6,39,45,25,20,normal,fairy,5.5,1,0</t>
  </si>
  <si>
    <t>['Cute Charm', 'Competitive', 'Frisk'],0.5,0.5,0,1,1,1,1,1,0,1,1,1,1,2,1,1,2,1,70,2560,70,435,50,Balloon PokÃ©mon,45,800000,1.0,140,Pukurinãƒ—ã‚¯ãƒªãƒ³,Wigglytuff,24.6,40,85,50,45,normal,fairy,12.0,1,0</t>
  </si>
  <si>
    <t>['Inner Focus', 'Infiltrator'],0.25,1,1,2,0.5,0.25,1,1,1,0.25,0,2,1,0.5,2,2,1,1,45,3840,70,245,255,Bat PokÃ©mon,35,1000000,0.8,40,Zubatã‚ºãƒãƒƒãƒˆ,Zubat,50,41,30,40,55,poison,flying,7.5,1,0</t>
  </si>
  <si>
    <t>['Inner Focus', 'Infiltrator'],0.25,1,1,2,0.5,0.25,1,1,1,0.25,0,2,1,0.5,2,2,1,1,80,3840,70,455,90,Bat PokÃ©mon,70,1000000,1.6,75,Golbatã‚´ãƒ«ãƒãƒƒãƒˆ,Golbat,50,42,65,75,90,poison,flying,55.0,1,0</t>
  </si>
  <si>
    <t>['Chlorophyll', 'Run Away'],1,1,1,0.5,0.5,0.5,2,2,1,0.25,1,2,1,1,2,1,1,0.5,50,5120,70,320,255,Weed PokÃ©mon,55,1059860,0.5,45,NazonokusaãƒŠã‚¾ãƒŽã‚¯ã‚µ,Oddish,50,43,75,65,30,grass,poison,5.4,1,0</t>
  </si>
  <si>
    <t>['Chlorophyll', 'Stench'],1,1,1,0.5,0.5,0.5,2,2,1,0.25,1,2,1,1,2,1,1,0.5,65,5120,70,395,120,Weed PokÃ©mon,70,1059860,0.8,60,Kusaihanaã‚¯ã‚µã‚¤ãƒãƒŠ,Gloom,50,44,85,75,40,grass,poison,8.6,1,0</t>
  </si>
  <si>
    <t>['Chlorophyll', 'Effect Spore'],1,1,1,0.5,0.5,0.5,2,2,1,0.25,1,2,1,1,2,1,1,0.5,80,5120,70,490,45,Flower PokÃ©mon,85,1059860,1.2,75,Ruffresiaãƒ©ãƒ•ãƒ¬ã‚·ã‚¢,Vileplume,50,45,110,90,50,grass,poison,18.6,1,0</t>
  </si>
  <si>
    <t>['Effect Spore', 'Dry Skin', 'Damp'],2,1,1,0.5,1,0.5,4,4,1,0.25,0.25,2,1,2,1,2,1,0.5,70,5120,70,285,190,Mushroom PokÃ©mon,55,1000000,0.3,35,Parasãƒ‘ãƒ©ã‚¹,Paras,50,46,45,55,25,bug,grass,5.4,1,0</t>
  </si>
  <si>
    <t>['Effect Spore', 'Dry Skin', 'Damp'],2,1,1,0.5,1,0.5,4,4,1,0.25,0.25,2,1,2,1,2,1,0.5,95,5120,70,405,75,Mushroom PokÃ©mon,80,1000000,1.0,60,Parasectãƒ‘ãƒ©ã‚»ã‚¯ãƒˆ,Parasect,50,47,60,80,30,bug,grass,29.5,1,0</t>
  </si>
  <si>
    <t>['Compoundeyes', 'Tinted Lens', 'Run Away'],0.5,1,1,1,0.5,0.25,2,2,1,0.25,1,1,1,0.5,2,2,1,1,55,5120,70,305,190,Insect PokÃ©mon,50,1000000,1.0,60,Kongpangã‚³ãƒ³ãƒ‘ãƒ³,Venonat,50,48,40,55,45,bug,poison,30.0,1,0</t>
  </si>
  <si>
    <t>['Shield Dust', 'Tinted Lens', 'Wonder Skin '],0.5,1,1,1,0.5,0.25,2,2,1,0.25,1,1,1,0.5,2,2,1,1,65,5120,70,450,75,Poison Moth PokÃ©mon,60,1000000,1.5,70,Morphonãƒ¢ãƒ«ãƒ•ã‚©ãƒ³,Venomoth,50,49,90,75,90,bug,poison,12.5,1,0</t>
  </si>
  <si>
    <t>['Sand Veil', 'Arena Trap', 'Sand Force', 'Sand Veil', 'Tangling Hair', 'Sand Force'],1,1,1,0,1,1,1,1,1,2,1,2,1,0.5,1,0.5,1,2,55,5120,70,265,255,Mole PokÃ©mon,30,1000000,,10,Digdaãƒ‡ã‚£ã‚°ãƒ€,Diglett,50,50,35,45,90,ground,ground,,1,0</t>
  </si>
  <si>
    <t>['Sand Veil', 'Arena Trap', 'Sand Force', 'Sand Veil', 'Tangling Hair', 'Sand Force'],1,1,1,0,1,1,1,1,1,2,1,2,1,0.5,1,0.5,1,2,100,5120,70,425,50,Mole PokÃ©mon,60,1000000,,35,Dugtrioãƒ€ã‚°ãƒˆãƒªã‚ª,Dugtrio,50,51,50,70,110,ground,ground,,1,0</t>
  </si>
  <si>
    <t>['Pickup', 'Technician', 'Unnerve', 'Pickup', 'Technician', 'Rattled'],1,1,1,1,1,2,1,1,0,1,1,1,1,1,1,1,1,1,35,5120,70,290,255,Scratch Cat PokÃ©mon,35,1000000,,40,Nyarthãƒ‹ãƒ£ãƒ¼ã‚¹,Meowth,50,52,50,40,90,normal,dark,,1,0</t>
  </si>
  <si>
    <t>['Limber', 'Technician', 'Unnerve', 'Fur Coat', 'Technician', 'Rattled'],1,1,1,1,1,2,1,1,0,1,1,1,1,1,1,1,1,1,60,5120,70,440,90,Classy Cat PokÃ©mon,60,1000000,,65,Persianãƒšãƒ«ã‚·ã‚¢ãƒ³,Persian,50,53,75,65,115,normal,dark,,1,0</t>
  </si>
  <si>
    <t>['Damp', 'Cloud Nine', 'Swift Swim'],1,1,1,2,1,1,0.5,1,1,2,1,0.5,1,1,1,1,0.5,0.5,52,5120,70,320,190,Duck PokÃ©mon,48,1000000,0.8,50,Koduckã‚³ãƒ€ãƒƒã‚¯,Psyduck,50,54,65,50,55,water,,19.6,1,0</t>
  </si>
  <si>
    <t>['Damp', 'Cloud Nine', 'Swift Swim'],1,1,1,2,1,1,0.5,1,1,2,1,0.5,1,1,1,1,0.5,0.5,82,5120,70,500,75,Duck PokÃ©mon,78,1000000,1.7,80,Golduckã‚´ãƒ«ãƒ€ãƒƒã‚¯,Golduck,50,55,95,80,85,water,,76.6,1,0</t>
  </si>
  <si>
    <t>['Vital Spirit', 'Anger Point', 'Defiant'],0.5,0.5,1,1,2,1,1,2,1,1,1,1,1,1,2,0.5,1,1,80,5120,70,305,190,Pig Monkey PokÃ©mon,35,1000000,0.5,40,Mankeyãƒžãƒ³ã‚­ãƒ¼,Mankey,50,56,35,45,70,fighting,,28.0,1,0</t>
  </si>
  <si>
    <t>['Vital Spirit', 'Anger Point', 'Defiant'],0.5,0.5,1,1,2,1,1,2,1,1,1,1,1,1,2,0.5,1,1,105,5120,70,455,75,Pig Monkey PokÃ©mon,60,1000000,1.0,65,Okorizaruã‚ªã‚³ãƒªã‚¶ãƒ«,Primeape,50,57,60,70,95,fighting,,32.0,1,0</t>
  </si>
  <si>
    <t>['Intimidate', 'Flash Fire', 'Justified'],0.5,1,1,1,0.5,1,0.5,1,1,0.5,2,0.5,1,1,1,2,0.5,2,70,5120,70,350,190,Puppy PokÃ©mon,45,1250000,0.7,55,Gardieã‚¬ãƒ¼ãƒ‡ã‚£,Growlithe,75.4,58,70,50,60,fire,,19.0,1,0</t>
  </si>
  <si>
    <t>['Intimidate', 'Flash Fire', 'Justified'],0.5,1,1,1,0.5,1,0.5,1,1,0.5,2,0.5,1,1,1,2,0.5,2,110,5120,70,555,75,Legendary PokÃ©mon,80,1250000,1.9,90,Windieã‚¦ã‚¤ãƒ³ãƒ‡ã‚£,Arcanine,75.4,59,100,80,95,fire,,155.0,1,0</t>
  </si>
  <si>
    <t>['Water Absorb', 'Damp', 'Swift Swim'],1,1,1,2,1,1,0.5,1,1,2,1,0.5,1,1,1,1,0.5,0.5,50,5120,70,300,255,Tadpole PokÃ©mon,40,1059860,0.6,40,Nyoromoãƒ‹ãƒ§ãƒ­ãƒ¢,Poliwag,50,60,40,40,90,water,,12.4,1,0</t>
  </si>
  <si>
    <t>['Water Absorb', 'Damp', 'Swift Swim'],1,1,1,2,1,1,0.5,1,1,2,1,0.5,1,1,1,1,0.5,0.5,65,5120,70,385,120,Tadpole PokÃ©mon,65,1059860,1.0,65,Nyorozoãƒ‹ãƒ§ãƒ­ã‚¾,Poliwhirl,50,61,50,50,90,water,,20.0,1,0</t>
  </si>
  <si>
    <t>['Water Absorb', 'Damp', 'Swift Swim'],0.5,0.5,1,2,2,1,0.5,2,1,2,1,0.5,1,1,2,0.5,0.5,0.5,95,5120,70,510,45,Tadpole PokÃ©mon,95,1059860,1.3,90,Nyorobonãƒ‹ãƒ§ãƒ­ãƒœãƒ³,Poliwrath,50,62,70,90,70,water,fighting,54.0,1,0</t>
  </si>
  <si>
    <t>['Synchronize', 'Inner Focus', 'Magic Guard'],2,2,1,1,1,0.5,1,1,2,1,1,1,1,1,0.5,1,1,1,20,5120,70,310,200,Psi PokÃ©mon,15,1059860,0.9,25,Caseyã‚±ãƒ¼ã‚·ã‚£,Abra,75.4,63,105,55,90,psychic,,19.5,1,0</t>
  </si>
  <si>
    <t>['Synchronize', 'Inner Focus', 'Magic Guard'],2,2,1,1,1,0.5,1,1,2,1,1,1,1,1,0.5,1,1,1,35,5120,70,400,100,Psi PokÃ©mon,30,1059860,1.3,40,Yungererãƒ¦ãƒ³ã‚²ãƒ©ãƒ¼,Kadabra,75.4,64,120,70,105,psychic,,56.5,1,0</t>
  </si>
  <si>
    <t>['Synchronize', 'Inner Focus', 'Magic Guard'],2,2,1,1,1,0.5,1,1,2,1,1,1,1,1,0.5,1,1,1,50,5120,70,600,50,Psi PokÃ©mon,65,1059860,1.5,55,Foodinãƒ•ãƒ¼ãƒ‡ã‚£ãƒ³,Alakazam,75.4,65,175,105,150,psychic,,48.0,1,0</t>
  </si>
  <si>
    <t>['Guts', 'No Guard', 'Steadfast'],0.5,0.5,1,1,2,1,1,2,1,1,1,1,1,1,2,0.5,1,1,80,5120,70,305,180,Superpower PokÃ©mon,50,1059860,0.8,70,Wanrikyãƒ¯ãƒ³ãƒªã‚­ãƒ¼,Machop,75.4,66,35,35,35,fighting,,19.5,1,0</t>
  </si>
  <si>
    <t>['Guts', 'No Guard', 'Steadfast'],0.5,0.5,1,1,2,1,1,2,1,1,1,1,1,1,2,0.5,1,1,100,5120,70,405,90,Superpower PokÃ©mon,70,1059860,1.5,80,Gorikyã‚´ãƒ¼ãƒªã‚­ãƒ¼,Machoke,75.4,67,50,60,45,fighting,,70.5,1,0</t>
  </si>
  <si>
    <t>['Guts', 'No Guard', 'Steadfast'],0.5,0.5,1,1,2,1,1,2,1,1,1,1,1,1,2,0.5,1,1,130,5120,70,505,45,Superpower PokÃ©mon,80,1059860,1.6,90,Kairikyã‚«ã‚¤ãƒªã‚­ãƒ¼,Machamp,75.4,68,65,85,55,fighting,,130.0,1,0</t>
  </si>
  <si>
    <t>['Chlorophyll', 'Gluttony'],1,1,1,0.5,0.5,0.5,2,2,1,0.25,1,2,1,1,2,1,1,0.5,75,5120,70,300,255,Flower PokÃ©mon,35,1059860,0.7,50,Madatsubomiãƒžãƒ€ãƒ„ãƒœãƒŸ,Bellsprout,50,69,70,30,40,grass,poison,4.0,1,0</t>
  </si>
  <si>
    <t>['Chlorophyll', 'Gluttony'],1,1,1,0.5,0.5,0.5,2,2,1,0.25,1,2,1,1,2,1,1,0.5,90,5120,70,390,120,Flycatcher PokÃ©mon,50,1059860,1.0,65,Utsudonã‚¦ãƒ„ãƒ‰ãƒ³,Weepinbell,50,70,85,45,55,grass,poison,6.4,1,0</t>
  </si>
  <si>
    <t>['Chlorophyll', 'Gluttony'],1,1,1,0.5,0.5,0.5,2,2,1,0.25,1,2,1,1,2,1,1,0.5,105,5120,70,490,45,Flycatcher PokÃ©mon,65,1059860,1.7,80,Utsubotã‚¦ãƒ„ãƒœãƒƒãƒˆ,Victreebel,50,71,100,70,70,grass,poison,15.5,1,0</t>
  </si>
  <si>
    <t>['Clear Body', 'Liquid Ooze', 'Rain Dish'],0.5,1,1,2,0.5,0.5,0.5,1,1,1,2,0.5,1,0.5,2,1,0.5,0.5,40,5120,70,335,190,Jellyfish PokÃ©mon,35,1250000,0.9,40,Menokurageãƒ¡ãƒŽã‚¯ãƒ©ã‚²,Tentacool,50,72,50,100,70,water,poison,45.5,1,0</t>
  </si>
  <si>
    <t>['Clear Body', 'Liquid Ooze', 'Rain Dish'],0.5,1,1,2,0.5,0.5,0.5,1,1,1,2,0.5,1,0.5,2,1,0.5,0.5,70,5120,70,515,60,Jellyfish PokÃ©mon,65,1250000,1.6,80,Dokukurageãƒ‰ã‚¯ã‚¯ãƒ©ã‚²,Tentacruel,50,73,80,120,100,water,poison,55.0,1,0</t>
  </si>
  <si>
    <t>['Rock Head', 'Sturdy', 'Sand Veil', 'Magnet Pull', 'Sturdy', 'Galvanize'],1,1,1,0,1,2,0.5,0.5,1,4,2,2,0.5,0.25,1,0.5,2,4,80,3840,70,300,255,Rock PokÃ©mon,100,1059860,,40,Isitsubuteã‚¤ã‚·ãƒ„ãƒ–ãƒ†,Geodude,50,74,30,30,20,rock,ground,,1,0</t>
  </si>
  <si>
    <t>['Rock Head', 'Sturdy', 'Sand Veil', 'Magnet Pull', 'Sturdy', 'Galvanize'],1,1,1,0,1,2,0.5,0.5,1,4,2,2,0.5,0.25,1,0.5,2,4,95,3840,70,390,120,Rock PokÃ©mon,115,1059860,,55,Goloneã‚´ãƒ­ãƒ¼ãƒ³,Graveler,50,75,45,45,35,rock,ground,,1,0</t>
  </si>
  <si>
    <t>['Rock Head', 'Sturdy', 'Sand Veil', 'Magnet Pull', 'Sturdy', 'Galvanize'],1,1,1,0,1,2,0.5,0.5,1,4,2,2,0.5,0.25,1,0.5,2,4,120,3840,70,495,45,Megaton PokÃ©mon,130,1059860,,80,Golonyaã‚´ãƒ­ãƒ¼ãƒ‹ãƒ£,Golem,50,76,55,65,45,rock,ground,,1,0</t>
  </si>
  <si>
    <t>['Run Away', 'Flash Fire', 'Flame Body'],0.5,1,1,1,0.5,1,0.5,1,1,0.5,2,0.5,1,1,1,2,0.5,2,85,5120,70,410,190,Fire Horse PokÃ©mon,55,1000000,1.0,50,Ponytaãƒãƒ‹ãƒ¼ã‚¿,Ponyta,50,77,65,65,90,fire,,30.0,1,0</t>
  </si>
  <si>
    <t>['Run Away', 'Flash Fire', 'Flame Body'],0.5,1,1,1,0.5,1,0.5,1,1,0.5,2,0.5,1,1,1,2,0.5,2,100,5120,70,500,60,Fire Horse PokÃ©mon,70,1000000,1.7,65,Gallopã‚®ãƒ£ãƒ­ãƒƒãƒ—,Rapidash,50,78,80,80,105,fire,,95.0,1,0</t>
  </si>
  <si>
    <t>['Oblivious', 'Own Tempo', 'Regenerator'],2,2,1,2,1,0.5,0.5,1,2,2,1,0.5,1,1,0.5,1,0.5,0.5,65,5120,70,315,190,Dopey PokÃ©mon,65,1000000,1.2,90,Yadonãƒ¤ãƒ‰ãƒ³,Slowpoke,50,79,40,40,15,water,psychic,36.0,1,0</t>
  </si>
  <si>
    <t>['Oblivious', 'Own Tempo', 'Regenerator'],2,2,1,2,1,0.5,0.5,1,2,2,1,0.5,1,1,0.5,1,0.5,0.5,75,5120,70,590,75,Hermit Crab PokÃ©mon,180,1000000,1.6,95,Yadoranãƒ¤ãƒ‰ãƒ©ãƒ³,Slowbro,50,80,130,80,30,water,psychic,78.5,1,0</t>
  </si>
  <si>
    <t>['Magnet Pull', 'Sturdy', 'Analytic'],0.5,1,0.5,0.5,0.5,2,2,0.25,1,0.5,4,0.5,0.5,0,0.5,0.5,0.25,1,35,5120,70,325,190,Magnet PokÃ©mon,70,1000000,0.3,25,Coilã‚³ã‚¤ãƒ«,Magnemite,,81,95,55,45,electric,steel,6.0,1,0</t>
  </si>
  <si>
    <t>['Magnet Pull', 'Sturdy', 'Analytic'],0.5,1,0.5,0.5,0.5,2,2,0.25,1,0.5,4,0.5,0.5,0,0.5,0.5,0.25,1,60,5120,70,465,60,Magnet PokÃ©mon,95,1000000,1.0,50,Rarecoilãƒ¬ã‚¢ã‚³ã‚¤ãƒ«,Magneton,,82,120,70,70,electric,steel,60.0,1,0</t>
  </si>
  <si>
    <t>['Keen Eye', 'Inner Focus', 'Defiant'],0.5,1,1,2,1,1,1,1,0,0.5,0,2,1,1,1,2,1,1,90,5120,70,377,45,Wild Duck PokÃ©mon,55,1000000,0.8,52,Kamonegiã‚«ãƒ¢ãƒã‚®,Farfetch'd,50,83,58,62,60,normal,flying,15.0,1,0</t>
  </si>
  <si>
    <t>['Run Away', 'Early Bird', 'Tangled Feet'],0.5,1,1,2,1,1,1,1,0,0.5,0,2,1,1,1,2,1,1,85,5120,70,310,190,Twin Bird PokÃ©mon,45,1000000,1.4,35,Dodoãƒ‰ãƒ¼ãƒ‰ãƒ¼,Doduo,50,84,35,35,75,normal,flying,39.2,1,0</t>
  </si>
  <si>
    <t>['Run Away', 'Early Bird', 'Tangled Feet'],0.5,1,1,2,1,1,1,1,0,0.5,0,2,1,1,1,2,1,1,110,5120,70,470,45,Triple Bird PokÃ©mon,70,1000000,1.8,60,Dodorioãƒ‰ãƒ¼ãƒ‰ãƒªã‚ª,Dodrio,50,85,60,60,110,normal,flying,85.2,1,0</t>
  </si>
  <si>
    <t>['Thick Fat', 'Hydration', 'Ice Body'],1,1,1,2,1,1,0.5,1,1,2,1,0.5,1,1,1,1,0.5,0.5,45,5120,70,325,190,Sea Lion PokÃ©mon,55,1000000,1.1,65,Pawouãƒ‘ã‚¦ãƒ¯ã‚¦,Seel,50,86,45,70,45,water,,90.0,1,0</t>
  </si>
  <si>
    <t>['Thick Fat', 'Hydration', 'Ice Body'],1,1,1,2,1,2,1,1,1,2,1,0.25,1,1,1,2,1,0.5,70,5120,70,475,75,Sea Lion PokÃ©mon,80,1000000,1.7,90,Jugonã‚¸ãƒ¥ã‚´ãƒ³,Dewgong,50,87,70,95,70,water,ice,120.0,1,0</t>
  </si>
  <si>
    <t>['Stench', 'Sticky Hold', 'Poison Touch', 'Poison Touch', 'Gluttony', 'Power of Alchemy'],0.5,1,1,1,0.5,0.5,1,1,1,0.5,2,1,1,0.5,2,1,1,1,80,5120,70,325,190,Sludge PokÃ©mon,50,1000000,,80,Betbeterãƒ™ãƒˆãƒ™ã‚¿ãƒ¼,Grimer,50,88,40,50,25,poison,poison,,1,0</t>
  </si>
  <si>
    <t>['Stench', 'Sticky Hold', 'Poison Touch', 'Poison Touch', 'Gluttony', 'Power of Alchemy'],0.5,1,1,1,0.5,0.5,1,1,1,0.5,2,1,1,0.5,2,1,1,1,105,5120,70,500,75,Sludge PokÃ©mon,75,1000000,,105,Betbetonãƒ™ãƒˆãƒ™ãƒˆãƒ³,Muk,50,89,65,100,50,poison,poison,,1,0</t>
  </si>
  <si>
    <t>['Shell Armor', 'Skill Link', 'Overcoat'],1,1,1,2,1,1,0.5,1,1,2,1,0.5,1,1,1,1,0.5,0.5,65,5120,70,305,190,Bivalve PokÃ©mon,100,1250000,0.3,30,Shellderã‚·ã‚§ãƒ«ãƒ€ãƒ¼,Shellder,50,90,45,25,40,water,,4.0,1,0</t>
  </si>
  <si>
    <t>['Shell Armor', 'Skill Link', 'Overcoat'],1,1,1,2,1,2,1,1,1,2,1,0.25,1,1,1,2,1,0.5,95,5120,70,525,60,Bivalve PokÃ©mon,180,1250000,1.5,50,Parshenãƒ‘ãƒ«ã‚·ã‚§ãƒ³,Cloyster,50,91,85,45,70,water,ice,132.5,1,0</t>
  </si>
  <si>
    <t>['Levitate'],0.25,2,1,1,0.5,0,1,1,2,0.5,2,1,0,0.25,2,1,1,1,35,5120,70,310,190,Gas PokÃ©mon,30,1059860,1.3,30,Ghosã‚´ãƒ¼ã‚¹,Gastly,50,92,100,35,80,ghost,poison,0.1,1,0</t>
  </si>
  <si>
    <t>['Levitate'],0.25,2,1,1,0.5,0,1,1,2,0.5,2,1,0,0.25,2,1,1,1,50,5120,70,405,90,Gas PokÃ©mon,45,1059860,1.6,45,Ghostã‚´ãƒ¼ã‚¹ãƒˆ,Haunter,50,93,115,55,95,ghost,poison,0.1,1,0</t>
  </si>
  <si>
    <t>['Cursed Body'],0.25,2,1,1,0.5,0,1,1,2,0.5,2,1,0,0.25,2,1,1,1,65,5120,70,600,45,Shadow PokÃ©mon,80,1059860,1.5,60,Gangarã‚²ãƒ³ã‚¬ãƒ¼,Gengar,50,94,170,95,130,ghost,poison,40.5,1,0</t>
  </si>
  <si>
    <t>['Rock Head', 'Sturdy', 'Weak Armor'],1,1,1,0,1,2,0.5,0.5,1,4,2,2,0.5,0.25,1,0.5,2,4,45,6400,70,385,45,Rock Snake PokÃ©mon,160,1000000,8.8,35,Iwarkã‚¤ãƒ¯ãƒ¼ã‚¯,Onix,50,95,30,45,70,rock,ground,210.0,1,0</t>
  </si>
  <si>
    <t>['Insomnia', 'Forewarn', 'Inner Focus'],2,2,1,1,1,0.5,1,1,2,1,1,1,1,1,0.5,1,1,1,48,5120,70,328,190,Hypnosis PokÃ©mon,45,1000000,1.0,60,Sleepeã‚¹ãƒªãƒ¼ãƒ—,Drowzee,50,96,43,90,42,psychic,,32.4,1,0</t>
  </si>
  <si>
    <t>['Insomnia', 'Forewarn', 'Inner Focus'],2,2,1,1,1,0.5,1,1,2,1,1,1,1,1,0.5,1,1,1,73,5120,70,483,75,Hypnosis PokÃ©mon,70,1000000,1.6,85,Sleeperã‚¹ãƒªãƒ¼ãƒ‘ãƒ¼,Hypno,50,97,73,115,67,psychic,,75.6,1,0</t>
  </si>
  <si>
    <t>['Hyper Cutter', 'Shell Armor', 'Sheer Force'],1,1,1,2,1,1,0.5,1,1,2,1,0.5,1,1,1,1,0.5,0.5,105,5120,70,325,225,River Crab PokÃ©mon,90,1000000,0.4,30,Crabã‚¯ãƒ©ãƒ–,Krabby,50,98,25,25,50,water,,6.5,1,0</t>
  </si>
  <si>
    <t>['Hyper Cutter', 'Shell Armor', 'Sheer Force'],1,1,1,2,1,1,0.5,1,1,2,1,0.5,1,1,1,1,0.5,0.5,130,5120,70,475,60,Pincer PokÃ©mon,115,1000000,1.3,55,Kinglerã‚­ãƒ³ã‚°ãƒ©ãƒ¼,Kingler,50,99,50,50,75,water,,60.0,1,0</t>
  </si>
  <si>
    <t>['Soundproof', 'Static', 'Aftermath'],1,1,1,0.5,1,1,1,0.5,1,1,2,1,1,1,1,1,0.5,1,30,5120,70,330,190,Ball PokÃ©mon,50,1000000,0.5,40,Biriridamaãƒ“ãƒªãƒªãƒ€ãƒž,Voltorb,,100,55,55,100,electric,,10.4,1,0</t>
  </si>
  <si>
    <t>['Soundproof', 'Static', 'Aftermath'],1,1,1,0.5,1,1,1,0.5,1,1,2,1,1,1,1,1,0.5,1,50,5120,70,490,60,Ball PokÃ©mon,70,1000000,1.2,60,Marumineãƒžãƒ«ãƒžã‚¤ãƒ³,Electrode,,101,80,80,150,electric,,66.6,1,0</t>
  </si>
  <si>
    <t>['Chlorophyll', 'Harvest'],4,2,1,0.5,1,0.5,2,2,2,0.5,0.5,2,1,2,0.5,1,1,0.5,40,5120,70,325,90,Egg PokÃ©mon,80,1250000,0.4,60,Tamatamaã‚¿ãƒžã‚¿ãƒž,Exeggcute,50,102,60,45,40,grass,psychic,2.5,1,0</t>
  </si>
  <si>
    <t>['Chlorophyll', 'Harvest', 'Frisk', 'Harvest'],4,2,1,0.5,1,0.5,2,2,2,0.5,0.5,2,1,2,0.5,1,1,0.5,105,5120,70,530,45,Coconut PokÃ©mon,85,1250000,,95,NassyãƒŠãƒƒã‚·ãƒ¼,Exeggutor,50,103,125,75,45,grass,psychic,,1,0</t>
  </si>
  <si>
    <t>['Rock Head', 'Lightningrod', 'Battle Armor'],1,1,1,0,1,1,1,1,1,2,1,2,1,0.5,1,0.5,1,2,50,5120,70,320,190,Lonely PokÃ©mon,95,1000000,0.4,50,Karakaraã‚«ãƒ©ã‚«ãƒ©,Cubone,50,104,40,50,35,ground,,6.5,1,0</t>
  </si>
  <si>
    <t>['Rock Head', 'Lightningrod', 'Battle Armor', 'Cursed Body', 'Lightningrod', 'Rock Head'],1,1,1,0,1,1,1,1,1,2,1,2,1,0.5,1,0.5,1,2,80,5120,70,425,75,Bone Keeper PokÃ©mon,110,1000000,,60,Garagaraã‚¬ãƒ©ã‚¬ãƒ©,Marowak,50,105,50,80,45,ground,fire,,1,0</t>
  </si>
  <si>
    <t>['Limber', 'Reckless', 'Unburden'],0.5,0.5,1,1,2,1,1,2,1,1,1,1,1,1,2,0.5,1,1,120,6400,70,455,45,Kicking PokÃ©mon,53,1000000,1.5,50,Sawamularã‚µãƒ¯ãƒ ãƒ©ãƒ¼,Hitmonlee,100,106,35,110,87,fighting,,49.8,1,0</t>
  </si>
  <si>
    <t>['Keen Eye', 'Iron Fist', 'Inner Focus'],0.5,0.5,1,1,2,1,1,2,1,1,1,1,1,1,2,0.5,1,1,105,6400,70,455,45,Punching PokÃ©mon,79,1000000,1.4,50,Ebiwalarã‚¨ãƒ“ãƒ¯ãƒ©ãƒ¼,Hitmonchan,100,107,35,110,76,fighting,,50.2,1,0</t>
  </si>
  <si>
    <t>['Own Tempo', 'Oblivious', 'Cloud Nine'],1,1,1,1,1,2,1,1,0,1,1,1,1,1,1,1,1,1,55,5120,70,385,45,Licking PokÃ©mon,75,1000000,1.2,90,Beroringaãƒ™ãƒ­ãƒªãƒ³ã‚¬,Lickitung,50,108,60,75,30,normal,,65.5,1,0</t>
  </si>
  <si>
    <t>['Levitate'],0.5,1,1,1,0.5,0.5,1,1,1,0.5,2,1,1,0.5,2,1,1,1,65,5120,70,340,190,Poison Gas PokÃ©mon,95,1000000,0.6,40,Dogarsãƒ‰ã‚¬ãƒ¼ã‚¹,Koffing,50,109,60,45,35,poison,,1.0,1,0</t>
  </si>
  <si>
    <t>['Levitate'],0.5,1,1,1,0.5,0.5,1,1,1,0.5,2,1,1,0.5,2,1,1,1,90,5120,70,490,60,Poison Gas PokÃ©mon,120,1000000,1.2,65,Matadogasãƒžã‚¿ãƒ‰ã‚¬ã‚¹,Weezing,50,110,85,70,60,poison,,9.5,1,0</t>
  </si>
  <si>
    <t>['Lightningrod', 'Rock Head', 'Reckless'],1,1,1,0,1,2,0.5,0.5,1,4,2,2,0.5,0.25,1,0.5,2,4,85,5120,70,345,120,Spikes PokÃ©mon,95,1250000,1.0,80,Sihornã‚µã‚¤ãƒ›ãƒ¼ãƒ³,Rhyhorn,50,111,30,30,25,ground,rock,115.0,1,0</t>
  </si>
  <si>
    <t>['Lightningrod', 'Rock Head', 'Reckless'],1,1,1,0,1,2,0.5,0.5,1,4,2,2,0.5,0.25,1,0.5,2,4,130,5120,70,485,60,Drill PokÃ©mon,120,1250000,1.9,105,Sidonã‚µã‚¤ãƒ‰ãƒ³,Rhydon,50,112,45,45,40,ground,rock,120.0,1,0</t>
  </si>
  <si>
    <t>['Natural Cure', 'Serene Grace', 'Healer'],1,1,1,1,1,2,1,1,0,1,1,1,1,1,1,1,1,1,5,10240,140,450,30,Egg PokÃ©mon,5,800000,1.1,250,Luckyãƒ©ãƒƒã‚­ãƒ¼,Chansey,0,113,35,105,50,normal,,34.6,1,0</t>
  </si>
  <si>
    <t>['Chlorophyll', 'Leaf Guard', 'Regenerator'],2,1,1,0.5,1,1,2,2,1,0.5,0.5,2,1,2,1,1,1,0.5,55,5120,70,435,45,Vine PokÃ©mon,115,1000000,1.0,65,Monjaraãƒ¢ãƒ³ã‚¸ãƒ£ãƒ©,Tangela,50,114,100,40,60,grass,,35.0,1,0</t>
  </si>
  <si>
    <t>['Early Bird', 'Scrappy', 'Inner Focus'],1,1,1,1,1,2,1,1,0,1,1,1,1,1,1,1,1,1,125,5120,70,590,45,Parent PokÃ©mon,100,1000000,2.2,105,Garuraã‚¬ãƒ«ãƒ¼ãƒ©,Kangaskhan,0,115,60,100,100,normal,,80.0,1,0</t>
  </si>
  <si>
    <t>['Swift Swim', 'Sniper', 'Damp'],1,1,1,2,1,1,0.5,1,1,2,1,0.5,1,1,1,1,0.5,0.5,40,5120,70,295,225,Dragon PokÃ©mon,70,1000000,0.4,30,Tattuã‚¿ãƒƒãƒ„ãƒ¼,Horsea,50,116,70,25,60,water,,8.0,1,0</t>
  </si>
  <si>
    <t>['Poison Point', 'Sniper', 'Damp'],1,1,1,2,1,1,0.5,1,1,2,1,0.5,1,1,1,1,0.5,0.5,65,5120,70,440,75,Dragon PokÃ©mon,95,1000000,1.2,55,Seadraã‚·ãƒ¼ãƒ‰ãƒ©,Seadra,50,117,95,45,85,water,,25.0,1,0</t>
  </si>
  <si>
    <t>['Swift Swim', 'Water Veil', 'Lightningrod'],1,1,1,2,1,1,0.5,1,1,2,1,0.5,1,1,1,1,0.5,0.5,67,5120,70,320,225,Goldfish PokÃ©mon,60,1000000,0.6,45,Tosakintoãƒˆã‚µã‚­ãƒ³ãƒˆ,Goldeen,50,118,35,50,63,water,,15.0,1,0</t>
  </si>
  <si>
    <t>['Swift Swim', 'Water Veil', 'Lightningrod'],1,1,1,2,1,1,0.5,1,1,2,1,0.5,1,1,1,1,0.5,0.5,92,5120,70,450,60,Goldfish PokÃ©mon,65,1000000,1.3,80,Azumaoã‚¢ã‚ºãƒžã‚ªã‚¦,Seaking,50,119,65,80,68,water,,39.0,1,0</t>
  </si>
  <si>
    <t>['Illuminate', 'Natural Cure', 'Analytic'],1,1,1,2,1,1,0.5,1,1,2,1,0.5,1,1,1,1,0.5,0.5,45,5120,70,340,225,Starshape PokÃ©mon,55,1250000,0.8,30,Hitodemanãƒ’ãƒˆãƒ‡ãƒžãƒ³,Staryu,,120,70,55,85,water,,34.5,1,0</t>
  </si>
  <si>
    <t>['Illuminate', 'Natural Cure', 'Analytic'],2,2,1,2,1,0.5,0.5,1,2,2,1,0.5,1,1,0.5,1,0.5,0.5,75,5120,70,520,60,Mysterious PokÃ©mon,85,1250000,1.1,60,Starmieã‚¹ã‚¿ãƒ¼ãƒŸãƒ¼,Starmie,,121,100,85,115,water,psychic,80.0,1,0</t>
  </si>
  <si>
    <t>['Soundproof', 'Filter', 'Technician'],1,1,0,1,1,0.25,1,1,2,1,1,1,1,2,0.5,1,2,1,45,6400,70,460,45,Barrier PokÃ©mon,65,1000000,1.3,40,Barrierdãƒãƒªãƒ¤ãƒ¼ãƒ‰,Mr. Mime,50,122,100,120,90,psychic,fairy,54.5,1,0</t>
  </si>
  <si>
    <t>['Swarm', 'Technician', 'Steadfast'],0.5,1,1,2,1,0.25,2,2,1,0.25,0,2,1,1,1,4,1,1,110,6400,70,500,45,Mantis PokÃ©mon,80,1000000,1.5,70,Strikeã‚¹ãƒˆãƒ©ã‚¤ã‚¯,Scyther,50,123,55,80,105,bug,flying,56.0,1,0</t>
  </si>
  <si>
    <t>['Oblivious', 'Forewarn', 'Dry Skin'],2,2,1,1,1,1,2,1,2,1,1,0.5,1,1,0.5,2,2,1,50,6400,70,455,45,Humanshape PokÃ©mon,35,1000000,1.4,65,Rougelaãƒ«ãƒ¼ã‚¸ãƒ¥ãƒ©,Jynx,0,124,115,95,95,ice,psychic,40.6,1,0</t>
  </si>
  <si>
    <t>['Static', 'Vital Spirit'],1,1,1,0.5,1,1,1,0.5,1,1,2,1,1,1,1,1,0.5,1,83,6400,70,490,45,Electric PokÃ©mon,57,1000000,1.1,65,Elebooã‚¨ãƒ¬ãƒ–ãƒ¼,Electabuzz,75.4,125,95,85,105,electric,,30.0,1,0</t>
  </si>
  <si>
    <t>['Flame Body', 'Vital Spirit'],0.5,1,1,1,0.5,1,0.5,1,1,0.5,2,0.5,1,1,1,2,0.5,2,95,6400,70,495,45,Spitfire PokÃ©mon,57,1000000,1.3,65,Booberãƒ–ãƒ¼ãƒãƒ¼,Magmar,75.4,126,100,85,93,fire,,44.5,1,0</t>
  </si>
  <si>
    <t>['Hyper Cutter', 'Mold Breaker', 'Moxie'],1,1,1,1,1,0.5,2,2,1,0.5,0.5,1,1,1,1,2,1,1,155,6400,70,600,45,Stagbeetle PokÃ©mon,120,1250000,1.5,65,Kailiosã‚«ã‚¤ãƒ­ã‚¹,Pinsir,50,127,65,90,105,bug,,55.0,1,0</t>
  </si>
  <si>
    <t>['Intimidate', 'Anger Point', 'Sheer Force'],1,1,1,1,1,2,1,1,0,1,1,1,1,1,1,1,1,1,100,5120,70,490,45,Wild Bull PokÃ©mon,95,1250000,1.4,75,Kentaurosã‚±ãƒ³ã‚¿ãƒ­ã‚¹,Tauros,100,128,40,70,110,normal,,88.4,1,0</t>
  </si>
  <si>
    <t>['Swift Swim', 'Rattled'],1,1,1,2,1,1,0.5,1,1,2,1,0.5,1,1,1,1,0.5,0.5,10,1280,70,200,255,Fish PokÃ©mon,55,1250000,0.9,20,Koikingã‚³ã‚¤ã‚­ãƒ³ã‚°,Magikarp,50,129,15,20,80,water,,10.0,1,0</t>
  </si>
  <si>
    <t>['Intimidate', 'Moxie'],0.5,1,1,4,1,0.5,0.5,1,1,1,0,1,1,1,1,2,0.5,0.5,155,1280,70,640,45,Atrocious PokÃ©mon,109,1250000,6.5,95,Gyaradosã‚®ãƒ£ãƒ©ãƒ‰ã‚¹,Gyarados,50,130,70,130,81,water,flying,235.0,1,0</t>
  </si>
  <si>
    <t>['Water Absorb', 'Shell Armor', 'Hydration'],1,1,1,2,1,2,1,1,1,2,1,0.25,1,1,1,2,1,0.5,85,10240,70,535,45,Transport PokÃ©mon,80,1250000,2.5,130,Laplaceãƒ©ãƒ—ãƒ©ã‚¹,Lapras,50,131,85,95,60,water,ice,220.0,1,0</t>
  </si>
  <si>
    <t>['Limber', 'Imposter'],1,1,1,1,1,2,1,1,0,1,1,1,1,1,1,1,1,1,48,5120,70,288,35,Transform PokÃ©mon,48,1000000,0.3,48,Metamonãƒ¡ã‚¿ãƒ¢ãƒ³,Ditto,,132,48,48,48,normal,,4.0,1,0</t>
  </si>
  <si>
    <t>['Run Away', 'Adaptability', 'Anticipation'],1,1,1,1,1,2,1,1,0,1,1,1,1,1,1,1,1,1,55,8960,70,325,45,Evolution PokÃ©mon,50,1000000,0.3,55,Eievuiã‚¤ãƒ¼ãƒ–ã‚¤,Eevee,88.1,133,45,65,55,normal,,6.5,1,0</t>
  </si>
  <si>
    <t>['Water Absorb', 'Hydration'],1,1,1,2,1,1,0.5,1,1,2,1,0.5,1,1,1,1,0.5,0.5,65,8960,70,525,45,Bubble Jet PokÃ©mon,60,1000000,1.0,130,Showersã‚·ãƒ£ãƒ¯ãƒ¼ã‚º,Vaporeon,88.1,134,110,95,65,water,,29.0,1,0</t>
  </si>
  <si>
    <t>['Volt Absorb', 'Quick Feet'],1,1,1,0.5,1,1,1,0.5,1,1,2,1,1,1,1,1,0.5,1,65,8960,70,525,45,Lightning PokÃ©mon,60,1000000,0.8,65,Thundersã‚µãƒ³ãƒ€ãƒ¼ã‚¹,Jolteon,88.1,135,110,95,130,electric,,24.5,1,0</t>
  </si>
  <si>
    <t>['Flash Fire', 'Guts'],0.5,1,1,1,0.5,1,0.5,1,1,0.5,2,0.5,1,1,1,2,0.5,2,130,8960,70,525,45,Flame PokÃ©mon,60,1000000,0.9,65,Boosterãƒ–ãƒ¼ã‚¹ã‚¿ãƒ¼,Flareon,88.1,136,95,110,65,fire,,25.0,1,0</t>
  </si>
  <si>
    <t>['Trace', 'Download', 'Analytic'],1,1,1,1,1,2,1,1,0,1,1,1,1,1,1,1,1,1,60,5120,70,395,45,Virtual PokÃ©mon,70,1000000,0.8,65,Porygonãƒãƒªã‚´ãƒ³,Porygon,,137,85,75,40,normal,,36.5,1,0</t>
  </si>
  <si>
    <t>['Swift Swim', 'Shell Armor', 'Weak Armor'],1,1,1,2,1,2,0.25,0.5,1,4,2,0.5,0.5,0.5,1,1,1,1,40,7680,70,355,45,Spiral PokÃ©mon,100,1000000,0.4,35,Omniteã‚ªãƒ ãƒŠã‚¤ãƒˆ,Omanyte,88.1,138,90,55,35,rock,water,7.5,1,0</t>
  </si>
  <si>
    <t>['Swift Swim', 'Shell Armor', 'Weak Armor'],1,1,1,2,1,2,0.25,0.5,1,4,2,0.5,0.5,0.5,1,1,1,1,60,7680,70,495,45,Spiral PokÃ©mon,125,1000000,1.0,70,Omstarã‚ªãƒ ã‚¹ã‚¿ãƒ¼,Omastar,88.1,139,115,70,55,rock,water,35.0,1,0</t>
  </si>
  <si>
    <t>['Swift Swim', 'Battle Armor', 'Weak Armor'],1,1,1,2,1,2,0.25,0.5,1,4,2,0.5,0.5,0.5,1,1,1,1,80,7680,70,355,45,Shellfish PokÃ©mon,90,1000000,0.5,30,Kabutoã‚«ãƒ–ãƒˆ,Kabuto,88.1,140,55,45,55,rock,water,11.5,1,0</t>
  </si>
  <si>
    <t>['Swift Swim', 'Battle Armor', 'Weak Armor'],1,1,1,2,1,2,0.25,0.5,1,4,2,0.5,0.5,0.5,1,1,1,1,115,7680,70,495,45,Shellfish PokÃ©mon,105,1000000,1.3,60,Kabutopsã‚«ãƒ–ãƒˆãƒ—ã‚¹,Kabutops,88.1,141,65,70,80,rock,water,40.5,1,0</t>
  </si>
  <si>
    <t>['Rock Head', 'Pressure', 'Unnerve'],0.5,1,1,2,1,1,0.5,0.5,1,1,0,2,0.5,0.5,1,2,2,2,135,8960,70,615,45,Fossil PokÃ©mon,85,1250000,1.8,80,Pteraãƒ—ãƒ†ãƒ©,Aerodactyl,88.1,142,70,95,150,rock,flying,59.0,1,0</t>
  </si>
  <si>
    <t>['Immunity', 'Thick Fat', 'Gluttony'],1,1,1,1,1,2,1,1,0,1,1,1,1,1,1,1,1,1,110,10240,70,540,25,Sleeping PokÃ©mon,65,1250000,2.1,160,Kabigonã‚«ãƒ“ã‚´ãƒ³,Snorlax,88.1,143,65,110,30,normal,,460.0,1,0</t>
  </si>
  <si>
    <t>['Pressure', 'Snow Cloak'],0.5,1,1,2,1,1,2,1,1,0.5,0,1,1,1,1,4,2,1,85,20480,35,580,3,Freeze PokÃ©mon,100,1250000,1.7,90,Freezerãƒ•ãƒªãƒ¼ã‚¶ãƒ¼,Articuno,,144,95,125,85,ice,flying,55.4,1,1</t>
  </si>
  <si>
    <t>['Pressure', 'Static'],0.5,1,1,1,1,0.5,1,0.5,1,0.5,0,2,1,1,1,2,0.5,1,90,20480,35,580,3,Electric PokÃ©mon,85,1250000,1.6,90,Thunderã‚µãƒ³ãƒ€ãƒ¼,Zapdos,,145,125,90,100,electric,flying,52.6,1,1</t>
  </si>
  <si>
    <t>['Pressure', 'Flame Body'],0.25,1,1,2,0.5,0.5,0.5,1,1,0.25,0,1,1,1,1,4,0.5,2,100,20480,35,580,3,Flame PokÃ©mon,90,1250000,2.0,90,Fireãƒ•ã‚¡ã‚¤ãƒ¤ãƒ¼,Moltres,,146,125,85,90,fire,flying,60.0,1,1</t>
  </si>
  <si>
    <t>['Shed Skin', 'Marvel Scale'],1,1,2,0.5,2,1,0.5,1,1,0.5,1,2,1,1,1,1,1,0.5,64,10240,35,300,45,Dragon PokÃ©mon,45,1250000,1.8,41,MiniryuãƒŸãƒ‹ãƒªãƒ¥ã‚¦,Dratini,50,147,50,50,50,dragon,,3.3,1,0</t>
  </si>
  <si>
    <t>['Shed Skin', 'Marvel Scale'],1,1,2,0.5,2,1,0.5,1,1,0.5,1,2,1,1,1,1,1,0.5,84,10240,35,420,45,Dragon PokÃ©mon,65,1250000,4.0,61,Hakuryuãƒã‚¯ãƒªãƒ¥ãƒ¼,Dragonair,50,148,70,70,70,dragon,,16.5,1,0</t>
  </si>
  <si>
    <t>['Inner Focus', 'Multiscale'],0.5,1,2,1,2,0.5,0.5,1,1,0.25,0,4,1,1,1,2,1,0.5,134,10240,35,600,45,Dragon PokÃ©mon,95,1250000,2.2,91,Kairyuã‚«ã‚¤ãƒªãƒ¥ãƒ¼,Dragonite,50,149,100,100,80,dragon,flying,210.0,1,0</t>
  </si>
  <si>
    <t>['Pressure', 'Unnerve'],2,2,1,1,1,0.5,1,1,2,1,1,1,1,1,0.5,1,1,1,150,30720,0,780,3,Genetic PokÃ©mon,70,1250000,2.0,106,MewtwoãƒŸãƒ¥ã‚¦ãƒ„ãƒ¼,Mewtwo,,150,194,120,140,psychic,,122.0,1,1</t>
  </si>
  <si>
    <t>['Synchronize'],2,2,1,1,1,0.5,1,1,2,1,1,1,1,1,0.5,1,1,1,100,30720,100,600,45,New Species PokÃ©mon,100,1059860,0.4,100,MewãƒŸãƒ¥ã‚¦,Mew,,151,100,100,100,psychic,,4.0,1,1</t>
  </si>
  <si>
    <t>['Overgrow', 'Leaf Guard'],2,1,1,0.5,1,1,2,2,1,0.5,0.5,2,1,2,1,1,1,0.5,49,5120,70,318,45,Leaf PokÃ©mon,65,1059860,0.9,45,Chicoritaãƒã‚³ãƒªãƒ¼ã‚¿,Chikorita,88.1,152,49,65,45,grass,,6.4,2,0</t>
  </si>
  <si>
    <t>['Overgrow', 'Leaf Guard'],2,1,1,0.5,1,1,2,2,1,0.5,0.5,2,1,2,1,1,1,0.5,62,5120,70,405,45,Leaf PokÃ©mon,80,1059860,1.2,60,Bayleafãƒ™ã‚¤ãƒªãƒ¼ãƒ•,Bayleef,88.1,153,63,80,60,grass,,15.8,2,0</t>
  </si>
  <si>
    <t>['Overgrow', 'Leaf Guard'],2,1,1,0.5,1,1,2,2,1,0.5,0.5,2,1,2,1,1,1,0.5,82,5120,70,525,45,Herb PokÃ©mon,100,1059860,1.8,80,Meganiumãƒ¡ã‚¬ãƒ‹ã‚¦ãƒ ,Meganium,88.1,154,83,100,80,grass,,100.5,2,0</t>
  </si>
  <si>
    <t>['Blaze', 'Flash Fire'],0.5,1,1,1,0.5,1,0.5,1,1,0.5,2,0.5,1,1,1,2,0.5,2,52,5120,70,309,45,Fire Mouse PokÃ©mon,43,1059860,0.5,39,Hinoarashiãƒ’ãƒŽã‚¢ãƒ©ã‚·,Cyndaquil,88.1,155,60,50,65,fire,,7.9,2,0</t>
  </si>
  <si>
    <t>['Blaze', 'Flash Fire'],0.5,1,1,1,0.5,1,0.5,1,1,0.5,2,0.5,1,1,1,2,0.5,2,64,5120,70,405,45,Volcano PokÃ©mon,58,1059860,0.9,58,Magmarashiãƒžã‚°ãƒžãƒ©ã‚·,Quilava,88.1,156,80,65,80,fire,,19.0,2,0</t>
  </si>
  <si>
    <t>['Blaze', 'Flash Fire'],0.5,1,1,1,0.5,1,0.5,1,1,0.5,2,0.5,1,1,1,2,0.5,2,84,5120,70,534,45,Volcano PokÃ©mon,78,1059860,1.7,78,Bakphoonãƒã‚¯ãƒ•ãƒ¼ãƒ³,Typhlosion,88.1,157,109,85,100,fire,,79.5,2,0</t>
  </si>
  <si>
    <t>['Torrent', 'Sheer Force'],1,1,1,2,1,1,0.5,1,1,2,1,0.5,1,1,1,1,0.5,0.5,65,5120,70,314,45,Big Jaw PokÃ©mon,64,1059860,0.6,50,Waninokoãƒ¯ãƒ‹ãƒŽã‚³,Totodile,88.1,158,44,48,43,water,,9.5,2,0</t>
  </si>
  <si>
    <t>['Torrent', 'Sheer Force'],1,1,1,2,1,1,0.5,1,1,2,1,0.5,1,1,1,1,0.5,0.5,80,5120,70,405,45,Big Jaw PokÃ©mon,80,1059860,1.1,65,Alligatesã‚¢ãƒªã‚²ã‚¤ãƒ„,Croconaw,88.1,159,59,63,58,water,,25.0,2,0</t>
  </si>
  <si>
    <t>['Torrent', 'Sheer Force'],1,1,1,2,1,1,0.5,1,1,2,1,0.5,1,1,1,1,0.5,0.5,105,5120,70,530,45,Big Jaw PokÃ©mon,100,1059860,2.3,85,Ordileã‚ªãƒ¼ãƒ€ã‚¤ãƒ«,Feraligatr,88.1,160,79,83,78,water,,88.8,2,0</t>
  </si>
  <si>
    <t>['Run Away', 'Keen Eye', 'Frisk'],1,1,1,1,1,2,1,1,0,1,1,1,1,1,1,1,1,1,46,3840,70,215,255,Scout PokÃ©mon,34,1000000,0.8,35,Otachiã‚ªã‚¿ãƒ,Sentret,50,161,35,45,20,normal,,6.0,2,0</t>
  </si>
  <si>
    <t>['Run Away', 'Keen Eye', 'Frisk'],1,1,1,1,1,2,1,1,0,1,1,1,1,1,1,1,1,1,76,3840,70,415,90,Long Body PokÃ©mon,64,1000000,1.8,85,Ootachiã‚ªã‚ªã‚¿ãƒ,Furret,50,162,45,55,90,normal,,32.5,2,0</t>
  </si>
  <si>
    <t>['Insomnia', 'Keen Eye', 'Tinted Lens'],0.5,1,1,2,1,1,1,1,0,0.5,0,2,1,1,1,2,1,1,30,3840,70,262,255,Owl PokÃ©mon,30,1000000,0.7,60,Hohoãƒ›ãƒ¼ãƒ›ãƒ¼,Hoothoot,50,163,36,56,50,normal,flying,21.2,2,0</t>
  </si>
  <si>
    <t>['Insomnia', 'Keen Eye', 'Tinted Lens'],0.5,1,1,2,1,1,1,1,0,0.5,0,2,1,1,1,2,1,1,50,3840,70,452,90,Owl PokÃ©mon,50,1000000,1.6,100,Yorunozukuãƒ¨ãƒ«ãƒŽã‚ºã‚¯,Noctowl,50,164,86,96,70,normal,flying,40.8,2,0</t>
  </si>
  <si>
    <t>['Swarm', 'Early Bird', 'Rattled'],0.5,1,1,2,1,0.25,2,2,1,0.25,0,2,1,1,1,4,1,1,20,3840,70,265,255,Five Star PokÃ©mon,30,800000,1.0,40,Redibaãƒ¬ãƒ‡ã‚£ãƒ,Ledyba,50,165,40,80,55,bug,flying,10.8,2,0</t>
  </si>
  <si>
    <t>['Swarm', 'Early Bird', 'Iron Fist'],0.5,1,1,2,1,0.25,2,2,1,0.25,0,2,1,1,1,4,1,1,35,3840,70,390,90,Five Star PokÃ©mon,50,800000,1.4,55,Redianãƒ¬ãƒ‡ã‚£ã‚¢ãƒ³,Ledian,50,166,55,110,85,bug,flying,35.6,2,0</t>
  </si>
  <si>
    <t>['Swarm', 'Insomnia', 'Sniper'],0.5,1,1,1,0.5,0.25,2,2,1,0.25,1,1,1,0.5,2,2,1,1,60,3840,70,250,255,String Spit PokÃ©mon,40,800000,0.5,40,Itomaruã‚¤ãƒˆãƒžãƒ«,Spinarak,50,167,40,40,30,bug,poison,8.5,2,0</t>
  </si>
  <si>
    <t>['Swarm', 'Insomnia', 'Sniper'],0.5,1,1,1,0.5,0.25,2,2,1,0.25,1,1,1,0.5,2,2,1,1,90,3840,70,400,90,Long Leg PokÃ©mon,70,800000,1.1,70,Ariadosã‚¢ãƒªã‚¢ãƒ‰ã‚¹,Ariados,50,168,60,70,40,bug,poison,33.5,2,0</t>
  </si>
  <si>
    <t>['Inner Focus', 'Infiltrator'],0.25,1,1,2,0.5,0.25,1,1,1,0.25,0,2,1,0.5,2,2,1,1,90,3840,70,535,90,Bat PokÃ©mon,80,1000000,1.8,85,Crobatã‚¯ãƒ­ãƒãƒƒãƒˆ,Crobat,50,169,70,80,130,poison,flying,75.0,2,0</t>
  </si>
  <si>
    <t>['Volt Absorb', 'Illuminate', 'Water Absorb'],1,1,1,1,1,1,0.5,0.5,1,2,2,0.5,1,1,1,1,0.25,0.5,38,5120,70,330,190,Angler PokÃ©mon,38,1250000,0.5,75,Chonchieãƒãƒ§ãƒ³ãƒãƒ¼,Chinchou,50,170,56,56,67,water,electric,12.0,2,0</t>
  </si>
  <si>
    <t>['Volt Absorb', 'Illuminate', 'Water Absorb'],1,1,1,1,1,1,0.5,0.5,1,2,2,0.5,1,1,1,1,0.25,0.5,58,5120,70,460,75,Light PokÃ©mon,58,1250000,1.2,125,Lanternãƒ©ãƒ³ã‚¿ãƒ¼ãƒ³,Lanturn,50,171,76,76,67,water,electric,22.5,2,0</t>
  </si>
  <si>
    <t>['Static', 'Lightningrod'],1,1,1,0.5,1,1,1,0.5,1,1,2,1,1,1,1,1,0.5,1,40,2560,70,205,190,Tiny Mouse PokÃ©mon,15,1000000,0.3,20,Pichuãƒ”ãƒãƒ¥ãƒ¼,Pichu,50,172,35,35,60,electric,,2.0,2,0</t>
  </si>
  <si>
    <t>['Cute Charm', 'Magic Guard', 'Friend Guard'],0.5,0.5,0,1,1,0.5,1,1,1,1,1,1,1,2,1,1,2,1,25,2560,140,218,150,Star Shape PokÃ©mon,28,800000,0.3,50,Pyãƒ”ã‚£,Cleffa,24.6,173,45,55,15,fairy,,3.0,2,0</t>
  </si>
  <si>
    <t>['Cute Charm', 'Competitive', 'Friend Guard'],0.5,0.5,0,1,1,1,1,1,0,1,1,1,1,2,1,1,2,1,30,2560,70,210,170,Balloon PokÃ©mon,15,800000,0.3,90,Pupurinãƒ—ãƒ—ãƒªãƒ³,Igglybuff,24.6,174,40,20,15,normal,fairy,1.0,2,0</t>
  </si>
  <si>
    <t>['Hustle', 'Serene Grace', 'Super Luck'],0.5,0.5,0,1,1,0.5,1,1,1,1,1,1,1,2,1,1,2,1,20,2560,70,245,190,Spike Ball PokÃ©mon,65,800000,0.3,35,Togepyãƒˆã‚²ãƒ”ãƒ¼,Togepi,88.1,175,40,65,20,fairy,,1.5,2,0</t>
  </si>
  <si>
    <t>['Hustle', 'Serene Grace', 'Super Luck'],0.25,0.5,0,2,1,0.25,1,1,1,0.5,0,2,1,2,1,2,2,1,40,2560,70,405,75,Happiness PokÃ©mon,85,800000,0.6,55,Togechickãƒˆã‚²ãƒãƒƒã‚¯,Togetic,88.1,176,80,105,40,fairy,flying,3.2,2,0</t>
  </si>
  <si>
    <t>['Synchronize', 'Early Bird', 'Magic Bounce'],1,2,1,2,1,0.25,1,1,2,0.5,0,2,1,1,0.5,2,1,1,50,5120,70,320,190,Little Bird PokÃ©mon,45,1000000,0.2,40,Natyãƒã‚¤ãƒ†ã‚£,Natu,50,177,70,45,70,psychic,flying,2.0,2,0</t>
  </si>
  <si>
    <t>['Synchronize', 'Early Bird', 'Magic Bounce'],1,2,1,2,1,0.25,1,1,2,0.5,0,2,1,1,0.5,2,1,1,75,5120,70,470,75,Mystic PokÃ©mon,70,1000000,1.5,65,Natioãƒã‚¤ãƒ†ã‚£ã‚ª,Xatu,50,178,95,70,95,psychic,flying,15.0,2,0</t>
  </si>
  <si>
    <t>['Static', 'Plus'],1,1,1,0.5,1,1,1,0.5,1,1,2,1,1,1,1,1,0.5,1,40,5120,70,280,235,Wool PokÃ©mon,40,1059860,0.6,55,Merriepãƒ¡ãƒªãƒ¼ãƒ—,Mareep,50,179,65,45,35,electric,,7.8,2,0</t>
  </si>
  <si>
    <t>['Static', 'Plus'],1,1,1,0.5,1,1,1,0.5,1,1,2,1,1,1,1,1,0.5,1,55,5120,70,365,120,Wool PokÃ©mon,55,1059860,0.8,70,Mokokoãƒ¢ã‚³ã‚³,Flaaffy,50,180,80,60,45,electric,,13.3,2,0</t>
  </si>
  <si>
    <t>['Static', 'Plus'],1,1,1,0.5,1,1,1,0.5,1,1,2,1,1,1,1,1,0.5,1,95,5120,70,610,45,Light PokÃ©mon,105,1059860,1.4,90,Denryuãƒ‡ãƒ³ãƒªãƒ¥ã‚¦,Ampharos,50,181,165,110,45,electric,,61.5,2,0</t>
  </si>
  <si>
    <t>['Chlorophyll', 'Healer'],2,1,1,0.5,1,1,2,2,1,0.5,0.5,2,1,2,1,1,1,0.5,80,5120,70,490,45,Flower PokÃ©mon,95,1059860,0.4,75,Kireihanaã‚­ãƒ¬ã‚¤ãƒãƒŠ,Bellossom,50,182,90,100,50,grass,,5.8,2,0</t>
  </si>
  <si>
    <t>['Thick Fat', 'Huge Power', 'Sap Sipper'],0.5,0.5,0,2,1,0.5,0.5,1,1,2,1,0.5,1,2,1,1,1,0.5,20,2560,70,250,190,Aquamouse PokÃ©mon,50,800000,0.4,70,Marilãƒžãƒªãƒ«,Marill,50,183,20,50,40,water,fairy,8.5,2,0</t>
  </si>
  <si>
    <t>['Thick Fat', 'Huge Power', 'Sap Sipper'],0.5,0.5,0,2,1,0.5,0.5,1,1,2,1,0.5,1,2,1,1,1,0.5,50,2560,70,420,75,Aquarabbit PokÃ©mon,80,800000,0.8,100,Marilliãƒžãƒªãƒ«ãƒª,Azumarill,50,184,60,80,50,water,fairy,28.5,2,0</t>
  </si>
  <si>
    <t>['Sturdy', 'Rock Head', 'Rattled'],1,1,1,1,1,2,0.5,0.5,1,2,2,1,0.5,0.5,1,1,2,2,100,5120,70,410,65,Imitation PokÃ©mon,115,1000000,1.2,70,Usokkieã‚¦ã‚½ãƒƒã‚­ãƒ¼,Sudowoodo,50,185,30,65,30,rock,,38.0,2,0</t>
  </si>
  <si>
    <t>['Water Absorb', 'Damp', 'Drizzle'],1,1,1,2,1,1,0.5,1,1,2,1,0.5,1,1,1,1,0.5,0.5,75,5120,70,500,45,Frog PokÃ©mon,75,1059860,1.1,90,Nyorotonoãƒ‹ãƒ§ãƒ­ãƒˆãƒŽ,Politoed,50,186,90,100,70,water,,33.9,2,0</t>
  </si>
  <si>
    <t>['Chlorophyll', 'Leaf Guard', 'Infiltrator'],1,1,1,1,1,0.5,2,2,1,0.25,0,4,1,2,1,2,1,0.5,35,5120,70,250,255,Cottonweed PokÃ©mon,40,1059860,0.4,35,Haneccoãƒãƒãƒƒã‚³,Hoppip,50,187,35,55,50,grass,flying,0.5,2,0</t>
  </si>
  <si>
    <t>['Chlorophyll', 'Leaf Guard', 'Infiltrator'],1,1,1,1,1,0.5,2,2,1,0.25,0,4,1,2,1,2,1,0.5,45,5120,70,340,120,Cottonweed PokÃ©mon,50,1059860,0.6,55,Popoccoãƒãƒãƒƒã‚³,Skiploom,50,188,45,65,80,grass,flying,1.0,2,0</t>
  </si>
  <si>
    <t>['Chlorophyll', 'Leaf Guard', 'Infiltrator'],1,1,1,1,1,0.5,2,2,1,0.25,0,4,1,2,1,2,1,0.5,55,5120,70,460,45,Cottonweed PokÃ©mon,70,1059860,0.8,75,Wataccoãƒ¯ã‚¿ãƒƒã‚³,Jumpluff,50,189,55,95,110,grass,flying,3.0,2,0</t>
  </si>
  <si>
    <t>['Run Away', 'Pickup', 'Skill Link'],1,1,1,1,1,2,1,1,0,1,1,1,1,1,1,1,1,1,70,5120,70,360,45,Long Tail PokÃ©mon,55,800000,0.8,55,Eipamã‚¨ã‚¤ãƒ‘ãƒ ,Aipom,50,190,40,55,85,normal,,11.5,2,0</t>
  </si>
  <si>
    <t>['Chlorophyll', 'Solar Power', 'Early Bird'],2,1,1,0.5,1,1,2,2,1,0.5,0.5,2,1,2,1,1,1,0.5,30,5120,70,180,235,Seed PokÃ©mon,30,1059860,0.3,30,Himanutsãƒ’ãƒžãƒŠãƒƒãƒ„,Sunkern,50,191,30,30,30,grass,,1.8,2,0</t>
  </si>
  <si>
    <t>['Chlorophyll', 'Solar Power', 'Early Bird'],2,1,1,0.5,1,1,2,2,1,0.5,0.5,2,1,2,1,1,1,0.5,75,5120,70,425,120,Sun PokÃ©mon,55,1059860,0.8,75,Kimawariã‚­ãƒžãƒ¯ãƒª,Sunflora,50,192,105,85,30,grass,,8.5,2,0</t>
  </si>
  <si>
    <t>['Speed Boost', 'Compoundeyes', 'Frisk'],0.5,1,1,2,1,0.25,2,2,1,0.25,0,2,1,1,1,4,1,1,65,5120,70,390,75,Clear Wing PokÃ©mon,45,1000000,1.2,65,Yanyanmaãƒ¤ãƒ³ãƒ¤ãƒ³ãƒž,Yanma,50,193,75,45,95,bug,flying,38.0,2,0</t>
  </si>
  <si>
    <t>['Damp', 'Water Absorb', 'Unaware'],1,1,1,0,1,1,0.5,1,1,4,1,1,1,0.5,1,0.5,0.5,1,45,5120,70,210,255,Water Fish PokÃ©mon,45,1000000,0.4,55,Upahã‚¦ãƒ‘ãƒ¼,Wooper,50,194,25,25,15,water,ground,8.5,2,0</t>
  </si>
  <si>
    <t>['Damp', 'Water Absorb', 'Unaware'],1,1,1,0,1,1,0.5,1,1,4,1,1,1,0.5,1,0.5,0.5,1,85,5120,70,430,90,Water Fish PokÃ©mon,85,1000000,1.4,95,NuohãƒŒã‚ªãƒ¼,Quagsire,50,195,65,65,35,water,ground,75.0,2,0</t>
  </si>
  <si>
    <t>['Synchronize', 'Magic Bounce'],2,2,1,1,1,0.5,1,1,2,1,1,1,1,1,0.5,1,1,1,65,8960,70,525,45,Sun PokÃ©mon,60,1000000,0.9,65,Eifieã‚¨ãƒ¼ãƒ•ã‚£,Espeon,88.1,196,130,95,110,psychic,,26.5,2,0</t>
  </si>
  <si>
    <t>['Synchronize', 'Inner Focus'],2,0.5,1,1,2,2,1,1,0.5,1,1,1,1,1,0,1,1,1,65,8960,35,525,45,Moonlight PokÃ©mon,110,1000000,1.0,95,Blackyãƒ–ãƒ©ãƒƒã‚­ãƒ¼,Umbreon,88.1,197,60,130,65,dark,,27.0,2,0</t>
  </si>
  <si>
    <t>['Insomnia', 'Super Luck', 'Prankster'],1,0.5,1,2,2,1,1,1,0.5,0.5,0,2,1,1,0,2,1,1,85,5120,35,405,30,Darkness PokÃ©mon,42,1059860,0.5,60,Yamikarasuãƒ¤ãƒŸã‚«ãƒ©ã‚¹,Murkrow,50,198,85,42,91,dark,flying,2.1,2,0</t>
  </si>
  <si>
    <t>['Oblivious', 'Own Tempo', 'Regenerator'],2,2,1,2,1,0.5,0.5,1,2,2,1,0.5,1,1,0.5,1,0.5,0.5,75,5120,70,490,70,Royal PokÃ©mon,80,1000000,2.0,95,Yadokingãƒ¤ãƒ‰ã‚­ãƒ³ã‚°,Slowking,50,199,100,110,30,water,psychic,79.5,2,0</t>
  </si>
  <si>
    <t>['Levitate'],0.5,2,1,1,1,0,1,1,2,1,1,1,0,0.5,1,1,1,1,60,6400,35,435,45,Screech PokÃ©mon,60,800000,0.7,60,Mumaãƒ ã‚¦ãƒž,Misdreavus,50,200,85,85,85,ghost,,1.0,2,0</t>
  </si>
  <si>
    <t>['Levitate'],2,2,1,1,1,0.5,1,1,2,1,1,1,1,1,0.5,1,1,1,72,10240,70,336,225,Symbol PokÃ©mon,48,1000000,0.5,48,Unknownã‚¢ãƒ³ãƒŽãƒ¼ãƒ³,Unown,,201,72,48,48,psychic,,5.0,2,0</t>
  </si>
  <si>
    <t>['Shadow Tag', 'Telepathy'],2,2,1,1,1,0.5,1,1,2,1,1,1,1,1,0.5,1,1,1,33,5120,70,405,45,Patient PokÃ©mon,58,1000000,1.3,190,Sonansã‚½ãƒ¼ãƒŠãƒ³ã‚¹,Wobbuffet,50,202,33,58,33,psychic,,28.5,2,0</t>
  </si>
  <si>
    <t>['Inner Focus', 'Early Bird', 'Sap Sipper'],2,2,1,1,1,1,1,1,0,1,1,1,1,1,0.5,1,1,1,80,5120,70,455,60,Long Neck PokÃ©mon,65,1000000,1.5,70,Kirinrikiã‚­ãƒªãƒ³ãƒªã‚­,Girafarig,50,203,90,65,85,normal,psychic,41.5,2,0</t>
  </si>
  <si>
    <t>['Sturdy', 'Overcoat'],1,1,1,1,1,0.5,2,2,1,0.5,0.5,1,1,1,1,2,1,1,65,5120,70,290,190,Bagworm PokÃ©mon,90,1000000,0.6,50,Kunugidamaã‚¯ãƒŒã‚®ãƒ€ãƒž,Pineco,50,204,35,35,15,bug,,7.2,2,0</t>
  </si>
  <si>
    <t>['Sturdy', 'Overcoat'],0.5,1,0.5,1,0.5,1,4,1,1,0.25,1,0.5,0.5,0,0.5,1,0.5,1,90,5120,70,465,75,Bagworm PokÃ©mon,140,1000000,1.2,75,Foretosãƒ•ã‚©ãƒ¬ãƒˆã‚¹,Forretress,50,205,60,60,40,bug,steel,125.8,2,0</t>
  </si>
  <si>
    <t>['Serene Grace', 'Run Away', 'Rattled'],1,1,1,1,1,2,1,1,0,1,1,1,1,1,1,1,1,1,70,5120,70,415,190,Land Snake PokÃ©mon,70,1000000,1.5,100,NokocchiãƒŽã‚³ãƒƒãƒ,Dunsparce,50,206,65,65,45,normal,,14.0,2,0</t>
  </si>
  <si>
    <t>['Hyper Cutter', 'Sand Veil', 'Immunity'],0.5,1,1,0,1,0.5,1,1,1,1,0,4,1,0.5,1,1,1,2,75,5120,70,430,60,Flyscorpion PokÃ©mon,105,1059860,1.1,65,Gligerã‚°ãƒ©ã‚¤ã‚¬ãƒ¼,Gligar,50,207,35,65,85,ground,flying,64.8,2,0</t>
  </si>
  <si>
    <t>['Rock Head', 'Sturdy', 'Sheer Force'],0.5,1,0.5,0,0.5,2,2,0.5,1,1,2,1,0.5,0,0.5,0.25,0.5,2,125,6400,70,610,25,Iron Snake PokÃ©mon,230,1000000,9.2,75,Haganeilãƒã‚¬ãƒãƒ¼ãƒ«,Steelix,50,208,55,95,30,steel,ground,400.0,2,0</t>
  </si>
  <si>
    <t>['Intimidate', 'Run Away', 'Rattled'],0.5,0.5,0,1,1,0.5,1,1,1,1,1,1,1,2,1,1,2,1,80,5120,70,300,190,Fairy PokÃ©mon,50,800000,0.6,60,Buluãƒ–ãƒ«ãƒ¼,Snubbull,24.6,209,40,40,30,fairy,,7.8,2,0</t>
  </si>
  <si>
    <t>['Intimidate', 'Quick Feet', 'Rattled'],0.5,0.5,0,1,1,0.5,1,1,1,1,1,1,1,2,1,1,2,1,120,5120,70,450,75,Fairy PokÃ©mon,75,800000,1.4,90,Granbuluã‚°ãƒ©ãƒ³ãƒ–ãƒ«,Granbull,24.6,210,60,60,45,fairy,,48.7,2,0</t>
  </si>
  <si>
    <t>['Poison Point', 'Swift Swim', 'Intimidate'],0.5,1,1,2,0.5,0.5,0.5,1,1,1,2,0.5,1,0.5,2,1,0.5,0.5,95,5120,70,440,45,Balloon PokÃ©mon,85,1000000,0.5,65,Harysenãƒãƒªãƒ¼ã‚»ãƒ³,Qwilfish,50,211,55,55,85,water,poison,3.9,2,0</t>
  </si>
  <si>
    <t>['Swarm', 'Technician', 'Light Metal'],0.5,1,0.5,1,0.5,1,4,1,1,0.25,1,0.5,0.5,0,0.5,1,0.5,1,150,6400,70,600,25,Pincer PokÃ©mon,140,1000000,1.8,70,Hassamãƒãƒƒã‚µãƒ ,Scizor,50,212,65,100,75,bug,steel,118.0,2,0</t>
  </si>
  <si>
    <t>['Sturdy', 'Gluttony', 'Contrary'],1,1,1,1,1,1,1,1,1,1,1,1,0.5,0.5,1,2,2,2,10,5120,70,505,190,Mold PokÃ©mon,230,1059860,0.6,20,Tsubotsuboãƒ„ãƒœãƒ„ãƒœ,Shuckle,50,213,10,230,5,bug,rock,20.5,2,0</t>
  </si>
  <si>
    <t>['Swarm', 'Guts', 'Moxie'],0.5,0.5,1,1,2,0.5,2,4,1,0.5,0.5,1,1,1,2,1,1,1,185,6400,70,600,45,Singlehorn PokÃ©mon,115,1250000,1.5,80,Heracrosãƒ˜ãƒ©ã‚¯ãƒ­ã‚¹,Heracross,50,214,40,105,75,bug,fighting,54.0,2,0</t>
  </si>
  <si>
    <t>['Inner Focus', 'Keen Eye', 'Pickpocket'],2,0.5,1,1,2,4,2,1,0.5,1,1,0.5,1,1,0,2,2,1,95,5120,35,430,60,Sharp Claw PokÃ©mon,55,1059860,0.9,55,Nyulaãƒ‹ãƒ¥ãƒ¼ãƒ©,Sneasel,50,215,35,75,115,dark,ice,28.0,2,0</t>
  </si>
  <si>
    <t>['Pickup', 'Quick Feet', 'Honey Gather'],1,1,1,1,1,2,1,1,0,1,1,1,1,1,1,1,1,1,80,5120,70,330,120,Little Bear PokÃ©mon,50,1000000,0.6,60,Himegumaãƒ’ãƒ¡ã‚°ãƒž,Teddiursa,50,216,50,50,40,normal,,8.8,2,0</t>
  </si>
  <si>
    <t>['Guts', 'Quick Feet', 'Unnerve'],1,1,1,1,1,2,1,1,0,1,1,1,1,1,1,1,1,1,130,5120,70,500,60,Hibernator PokÃ©mon,75,1000000,1.8,90,Ringumaãƒªãƒ³ã‚°ãƒž,Ursaring,50,217,75,75,55,normal,,125.8,2,0</t>
  </si>
  <si>
    <t>['Magma Armor', 'Flame Body', 'Weak Armor'],0.5,1,1,1,0.5,1,0.5,1,1,0.5,2,0.5,1,1,1,2,0.5,2,40,5120,70,250,190,Lava PokÃ©mon,40,1000000,0.7,40,Magmagãƒžã‚°ãƒžãƒƒã‚°,Slugma,50,218,70,40,20,fire,,35.0,2,0</t>
  </si>
  <si>
    <t>['Magma Armor', 'Flame Body', 'Weak Armor'],0.5,1,1,1,0.5,2,0.25,0.5,1,1,4,0.5,0.5,0.5,1,2,1,4,50,5120,70,430,75,Lava PokÃ©mon,120,1000000,0.8,60,Magcargotãƒžã‚°ã‚«ãƒ«ã‚´,Magcargo,50,219,90,80,30,fire,rock,55.0,2,0</t>
  </si>
  <si>
    <t>['Oblivious', 'Snow Cloak', 'Thick Fat'],1,1,1,0,1,2,2,1,1,2,1,1,1,0.5,1,1,2,2,50,5120,70,250,225,Pig PokÃ©mon,40,1250000,0.4,50,Urimooã‚¦ãƒªãƒ ãƒ¼,Swinub,50,220,30,30,50,ice,ground,6.5,2,0</t>
  </si>
  <si>
    <t>['Oblivious', 'Snow Cloak', 'Thick Fat'],1,1,1,0,1,2,2,1,1,2,1,1,1,0.5,1,1,2,2,100,5120,70,450,75,Swine PokÃ©mon,80,1250000,1.1,100,Inomooã‚¤ãƒŽãƒ ãƒ¼,Piloswine,50,221,60,60,50,ice,ground,55.8,2,0</t>
  </si>
  <si>
    <t>['Hustle', 'Natural Cure', 'Regenerator'],1,1,1,2,1,2,0.25,0.5,1,4,2,0.5,0.5,0.5,1,1,1,1,55,5120,70,410,60,Coral PokÃ©mon,95,800000,0.6,65,Sunnygoã‚µãƒ‹ãƒ¼ã‚´,Corsola,24.6,222,65,95,35,water,rock,5.0,2,0</t>
  </si>
  <si>
    <t>['Hustle', 'Sniper', 'Moody'],1,1,1,2,1,1,0.5,1,1,2,1,0.5,1,1,1,1,0.5,0.5,65,5120,70,300,190,Jet PokÃ©mon,35,1000000,0.6,35,Teppouoãƒ†ãƒƒãƒã‚¦ã‚ª,Remoraid,50,223,65,35,65,water,,12.0,2,0</t>
  </si>
  <si>
    <t>['Suction Cups', 'Sniper', 'Moody'],1,1,1,2,1,1,0.5,1,1,2,1,0.5,1,1,1,1,0.5,0.5,105,5120,70,480,75,Jet PokÃ©mon,75,1000000,0.9,75,Okutankã‚ªã‚¯ã‚¿ãƒ³,Octillery,50,224,105,75,45,water,,28.5,2,0</t>
  </si>
  <si>
    <t>['Vital Spirit', 'Hustle', 'Insomnia'],0.5,1,1,2,1,1,2,1,1,0.5,0,1,1,1,1,4,2,1,55,5120,70,330,45,Delivery PokÃ©mon,45,800000,0.9,45,Delibirdãƒ‡ãƒªãƒãƒ¼ãƒ‰,Delibird,50,225,65,45,75,ice,flying,16.0,2,0</t>
  </si>
  <si>
    <t>['Swift Swim', 'Water Absorb', 'Water Veil'],0.5,1,1,4,1,0.5,0.5,1,1,1,0,1,1,1,1,2,0.5,0.5,40,6400,70,485,25,Kite PokÃ©mon,70,1250000,2.1,85,Mantainãƒžãƒ³ã‚¿ã‚¤ãƒ³,Mantine,50,226,80,140,70,water,flying,220.0,2,0</t>
  </si>
  <si>
    <t>['Keen Eye', 'Sturdy', 'Weak Armor'],0.25,1,0.5,2,0.5,1,2,0.5,1,0.25,0,1,0.5,0,0.5,1,0.5,1,80,6400,70,465,25,Armor Bird PokÃ©mon,140,1250000,1.7,65,Airmdã‚¨ã‚¢ãƒ¼ãƒ ãƒ‰,Skarmory,50,227,40,70,70,steel,flying,50.5,2,0</t>
  </si>
  <si>
    <t>['Early Bird', 'Flash Fire', 'Unnerve'],1,0.5,1,1,1,2,0.5,1,0.5,0.5,2,0.5,1,1,0,2,0.5,2,60,5120,35,330,120,Dark PokÃ©mon,30,1250000,0.6,45,Delvilãƒ‡ãƒ«ãƒ“ãƒ«,Houndour,50,228,80,50,65,dark,fire,10.8,2,0</t>
  </si>
  <si>
    <t>['Early Bird', 'Flash Fire', 'Unnerve'],1,0.5,1,1,1,2,0.5,1,0.5,0.5,2,0.5,1,1,0,2,0.5,2,90,5120,35,600,45,Dark PokÃ©mon,90,1250000,1.4,75,Hellgarãƒ˜ãƒ«ã‚¬ãƒ¼,Houndoom,50,229,140,90,115,dark,fire,35.0,2,0</t>
  </si>
  <si>
    <t>['Swift Swim', 'Sniper', 'Damp'],1,1,2,1,2,1,0.25,1,1,1,1,1,1,1,1,1,0.5,0.25,95,5120,70,540,45,Dragon PokÃ©mon,95,1000000,1.8,75,Kingdraã‚­ãƒ³ã‚°ãƒ‰ãƒ©,Kingdra,50,230,95,95,85,water,dragon,152.0,2,0</t>
  </si>
  <si>
    <t>['Pickup', 'Sand Veil'],1,1,1,0,1,1,1,1,1,2,1,2,1,0.5,1,0.5,1,2,60,5120,70,330,120,Long Nose PokÃ©mon,60,1000000,0.5,90,Gomazouã‚´ãƒžã‚¾ã‚¦,Phanpy,50,231,40,40,40,ground,,33.5,2,0</t>
  </si>
  <si>
    <t>['Sturdy', 'Sand Veil'],1,1,1,0,1,1,1,1,1,2,1,2,1,0.5,1,0.5,1,2,120,5120,70,500,60,Armor PokÃ©mon,120,1000000,1.1,90,Donfanãƒ‰ãƒ³ãƒ•ã‚¡ãƒ³,Donphan,50,232,60,60,50,ground,,120.0,2,0</t>
  </si>
  <si>
    <t>['Trace', 'Download', 'Analytic'],1,1,1,1,1,2,1,1,0,1,1,1,1,1,1,1,1,1,80,5120,70,515,45,Virtual PokÃ©mon,90,1000000,0.6,85,Porygon2ãƒãƒªã‚´ãƒ³ï¼’,Porygon2,,233,105,95,60,normal,,32.5,2,0</t>
  </si>
  <si>
    <t>['Intimidate', 'Frisk', 'Sap Sipper'],1,1,1,1,1,2,1,1,0,1,1,1,1,1,1,1,1,1,95,5120,70,465,45,Big Horn PokÃ©mon,62,1250000,1.4,73,Odoshishiã‚ªãƒ‰ã‚·ã‚·,Stantler,50,234,85,65,85,normal,,71.2,2,0</t>
  </si>
  <si>
    <t>['Own Tempo', 'Technician', 'Moody'],1,1,1,1,1,2,1,1,0,1,1,1,1,1,1,1,1,1,20,5120,70,250,45,Painter PokÃ©mon,35,800000,1.2,55,Dobleãƒ‰ãƒ¼ãƒ–ãƒ«,Smeargle,50,235,20,45,75,normal,,58.0,2,0</t>
  </si>
  <si>
    <t>['Guts', 'Steadfast', 'Vital Spirit'],0.5,0.5,1,1,2,1,1,2,1,1,1,1,1,1,2,0.5,1,1,35,6400,70,210,75,Scuffle PokÃ©mon,35,1000000,0.7,35,Balkieãƒãƒ«ã‚­ãƒ¼,Tyrogue,100,236,35,35,35,fighting,,21.0,2,0</t>
  </si>
  <si>
    <t>['Intimidate', 'Technician', 'Steadfast'],0.5,0.5,1,1,2,1,1,2,1,1,1,1,1,1,2,0.5,1,1,95,6400,70,455,45,Handstand PokÃ©mon,95,1000000,1.4,50,Kapoererã‚«ãƒã‚¨ãƒ©ãƒ¼,Hitmontop,100,237,35,110,70,fighting,,48.0,2,0</t>
  </si>
  <si>
    <t>['Oblivious', 'Forewarn', 'Hydration'],2,2,1,1,1,1,2,1,2,1,1,0.5,1,1,0.5,2,2,1,30,6400,70,305,45,Kiss PokÃ©mon,15,1000000,0.4,45,Muchulãƒ ãƒãƒ¥ãƒ¼ãƒ«,Smoochum,0,238,85,65,65,ice,psychic,6.0,2,0</t>
  </si>
  <si>
    <t>['Static', 'Vital Spirit'],1,1,1,0.5,1,1,1,0.5,1,1,2,1,1,1,1,1,0.5,1,63,6400,70,360,45,Electric PokÃ©mon,37,1000000,0.6,45,Elekidã‚¨ãƒ¬ã‚­ãƒƒãƒ‰,Elekid,75.4,239,65,55,95,electric,,23.5,2,0</t>
  </si>
  <si>
    <t>['Flame Body', 'Vital Spirit'],0.5,1,1,1,0.5,1,0.5,1,1,0.5,2,0.5,1,1,1,2,0.5,2,75,6400,70,365,45,Live Coal PokÃ©mon,37,1000000,0.7,45,Bubyãƒ–ãƒ“ã‚£,Magby,75.4,240,70,55,83,fire,,21.4,2,0</t>
  </si>
  <si>
    <t>['Thick Fat', 'Scrappy', 'Sap Sipper'],1,1,1,1,1,2,1,1,0,1,1,1,1,1,1,1,1,1,80,5120,70,490,45,Milk Cow PokÃ©mon,105,1250000,1.2,95,MiltankãƒŸãƒ«ã‚¿ãƒ³ã‚¯,Miltank,0,241,40,70,100,normal,,75.5,2,0</t>
  </si>
  <si>
    <t>['Natural Cure', 'Serene Grace', 'Healer'],1,1,1,1,1,2,1,1,0,1,1,1,1,1,1,1,1,1,10,10240,140,540,30,Happiness PokÃ©mon,10,800000,1.5,255,Happinasãƒãƒ”ãƒŠã‚¹,Blissey,0,242,75,135,55,normal,,46.8,2,0</t>
  </si>
  <si>
    <t>['Pressure', 'Inner Focus'],1,1,1,0.5,1,1,1,0.5,1,1,2,1,1,1,1,1,0.5,1,85,20480,35,580,3,Thunder PokÃ©mon,75,1250000,1.9,90,Raikouãƒ©ã‚¤ã‚³ã‚¦,Raikou,,243,115,100,115,electric,,178.0,2,1</t>
  </si>
  <si>
    <t>['Pressure', 'Inner Focus'],0.5,1,1,1,0.5,1,0.5,1,1,0.5,2,0.5,1,1,1,2,0.5,2,115,20480,35,580,3,Volcano PokÃ©mon,85,1250000,2.1,115,Enteiã‚¨ãƒ³ãƒ†ã‚¤,Entei,,244,90,75,100,fire,,198.0,2,1</t>
  </si>
  <si>
    <t>['Pressure', 'Inner Focus'],1,1,1,2,1,1,0.5,1,1,2,1,0.5,1,1,1,1,0.5,0.5,75,20480,35,580,3,Aurora PokÃ©mon,115,1250000,2.0,100,Suicuneã‚¹ã‚¤ã‚¯ãƒ³,Suicune,,245,90,115,85,water,,187.0,2,1</t>
  </si>
  <si>
    <t>['Guts', 'Sand Veil'],1,1,1,0,1,2,0.5,0.5,1,4,2,2,0.5,0.25,1,0.5,2,4,64,10240,35,300,45,Rock Skin PokÃ©mon,50,1250000,0.6,50,Yogirasãƒ¨ãƒ¼ã‚®ãƒ©ã‚¹,Larvitar,50,246,45,50,41,rock,ground,72.0,2,0</t>
  </si>
  <si>
    <t>['Shed Skin'],1,1,1,0,1,2,0.5,0.5,1,4,2,2,0.5,0.25,1,0.5,2,4,84,10240,35,410,45,Hard Shell PokÃ©mon,70,1250000,1.2,70,Sanagirasã‚µãƒŠã‚®ãƒ©ã‚¹,Pupitar,50,247,65,70,51,rock,ground,152.0,2,0</t>
  </si>
  <si>
    <t>['Sand Stream', 'Unnerve'],2,0.5,1,1,2,4,0.5,0.5,0.5,2,2,1,0.5,0.5,0,1,2,2,164,10240,35,700,45,Armor PokÃ©mon,150,1250000,2.0,100,Bangirasãƒãƒ³ã‚®ãƒ©ã‚¹,Tyranitar,50,248,95,120,71,rock,dark,202.0,2,0</t>
  </si>
  <si>
    <t>['Pressure', 'Multiscale'],1,2,1,2,1,0.25,1,1,2,0.5,0,2,1,1,0.5,2,1,1,90,30720,0,680,3,Diving PokÃ©mon,130,1250000,5.2,106,Lugiaãƒ«ã‚®ã‚¢,Lugia,,249,90,154,110,psychic,flying,216.0,2,1</t>
  </si>
  <si>
    <t>['Pressure', 'Regenerator'],0.25,1,1,2,0.5,0.5,0.5,1,1,0.25,0,1,1,1,1,4,0.5,2,130,30720,0,680,3,Rainbow PokÃ©mon,90,1250000,3.8,106,Hououãƒ›ã‚¦ã‚ªã‚¦,Ho-Oh,,250,110,154,90,fire,flying,199.0,2,1</t>
  </si>
  <si>
    <t>['Natural Cure'],4,2,1,0.5,1,0.5,2,2,2,0.5,0.5,2,1,2,0.5,1,1,0.5,100,30720,100,600,45,Time Travel PokÃ©mon,100,1059860,0.6,100,Celebiã‚»ãƒ¬ãƒ“ã‚£,Celebi,,251,100,100,100,psychic,grass,5.0,2,1</t>
  </si>
  <si>
    <t>['Overgrow', 'Unburden'],2,1,1,0.5,1,1,2,2,1,0.5,0.5,2,1,2,1,1,1,0.5,45,5120,70,310,45,Wood Gecko PokÃ©mon,35,1059860,0.5,40,Kimoriã‚­ãƒ¢ãƒª,Treecko,88.1,252,65,55,70,grass,,5.0,3,0</t>
  </si>
  <si>
    <t>['Overgrow', 'Unburden'],2,1,1,0.5,1,1,2,2,1,0.5,0.5,2,1,2,1,1,1,0.5,65,5120,70,405,45,Wood Gecko PokÃ©mon,45,1059860,0.9,50,Juptileã‚¸ãƒ¥ãƒ—ãƒˆãƒ«,Grovyle,88.1,253,85,65,95,grass,,21.6,3,0</t>
  </si>
  <si>
    <t>['Overgrow', 'Unburden'],2,1,1,0.5,1,1,2,2,1,0.5,0.5,2,1,2,1,1,1,0.5,110,5120,70,630,45,Forest PokÃ©mon,75,1059860,1.7,70,Jukainã‚¸ãƒ¥ã‚«ã‚¤ãƒ³,Sceptile,88.1,254,145,85,145,grass,,52.2,3,0</t>
  </si>
  <si>
    <t>['Blaze', 'Speed Boost'],0.5,1,1,1,0.5,1,0.5,1,1,0.5,2,0.5,1,1,1,2,0.5,2,60,5120,70,310,45,Chick PokÃ©mon,40,1059860,0.4,45,Achamoã‚¢ãƒãƒ£ãƒ¢,Torchic,88.1,255,70,50,45,fire,,2.5,3,0</t>
  </si>
  <si>
    <t>['Blaze', 'Speed Boost'],0.25,0.5,1,1,1,1,0.5,2,1,0.5,2,0.5,1,1,2,1,0.5,2,85,5120,70,405,45,Young Fowl PokÃ©mon,60,1059860,0.9,60,Wakasyamoãƒ¯ã‚«ã‚·ãƒ£ãƒ¢,Combusken,88.1,256,85,60,55,fire,fighting,19.5,3,0</t>
  </si>
  <si>
    <t>['Blaze', 'Speed Boost'],0.25,0.5,1,1,1,1,0.5,2,1,0.5,2,0.5,1,1,2,1,0.5,2,160,5120,70,630,45,Blaze PokÃ©mon,80,1059860,1.9,80,Bursyamoãƒã‚·ãƒ£ãƒ¼ãƒ¢,Blaziken,88.1,257,130,80,100,fire,fighting,52.0,3,0</t>
  </si>
  <si>
    <t>['Torrent', 'Damp'],1,1,1,2,1,1,0.5,1,1,2,1,0.5,1,1,1,1,0.5,0.5,70,5120,70,310,45,Mud Fish PokÃ©mon,50,1059860,0.4,50,MizugorouãƒŸã‚ºã‚´ãƒ­ã‚¦,Mudkip,88.1,258,50,50,40,water,,7.6,3,0</t>
  </si>
  <si>
    <t>['Torrent', 'Damp'],1,1,1,0,1,1,0.5,1,1,4,1,1,1,0.5,1,0.5,0.5,1,85,5120,70,405,45,Mud Fish PokÃ©mon,70,1059860,0.7,70,NumacrawãƒŒãƒžã‚¯ãƒ­ãƒ¼,Marshtomp,88.1,259,60,70,50,water,ground,28.0,3,0</t>
  </si>
  <si>
    <t>['Torrent', 'Damp'],1,1,1,0,1,1,0.5,1,1,4,1,1,1,0.5,1,0.5,0.5,1,150,5120,70,635,45,Mud Fish PokÃ©mon,110,1059860,1.5,100,Laglargeãƒ©ã‚°ãƒ©ãƒ¼ã‚¸,Swampert,88.1,260,95,110,70,water,ground,81.9,3,0</t>
  </si>
  <si>
    <t>['Run Away', 'Quick Feet', 'Rattled'],2,0.5,1,1,2,2,1,1,0.5,1,1,1,1,1,0,1,1,1,55,3840,70,220,255,Bite PokÃ©mon,35,1000000,0.5,35,Pochienaãƒãƒã‚¨ãƒŠ,Poochyena,50,261,30,30,35,dark,,13.6,3,0</t>
  </si>
  <si>
    <t>['Intimidate', 'Quick Feet', 'Moxie'],2,0.5,1,1,2,2,1,1,0.5,1,1,1,1,1,0,1,1,1,90,3840,70,420,127,Bite PokÃ©mon,70,1000000,1.0,70,Graenaã‚°ãƒ©ã‚¨ãƒŠ,Mightyena,50,262,60,60,70,dark,,37.0,3,0</t>
  </si>
  <si>
    <t>['Pickup', 'Gluttony', 'Quick Feet'],1,1,1,1,1,2,1,1,0,1,1,1,1,1,1,1,1,1,30,3840,70,240,255,Tiny Racoon PokÃ©mon,41,1000000,0.4,38,Jiguzagumaã‚¸ã‚°ã‚¶ã‚°ãƒž,Zigzagoon,50,263,30,41,60,normal,,17.5,3,0</t>
  </si>
  <si>
    <t>['Pickup', 'Gluttony', 'Quick Feet'],1,1,1,1,1,2,1,1,0,1,1,1,1,1,1,1,1,1,70,3840,70,420,90,Rush PokÃ©mon,61,1000000,0.5,78,Massugumaãƒžãƒƒã‚¹ã‚°ãƒž,Linoone,50,264,50,61,100,normal,,32.5,3,0</t>
  </si>
  <si>
    <t>['Shield Dust', 'Run Away'],1,1,1,1,1,0.5,2,2,1,0.5,0.5,1,1,1,1,2,1,1,45,3840,70,195,255,Worm PokÃ©mon,35,1000000,0.3,45,Kemussoã‚±ãƒ ãƒƒã‚½,Wurmple,50,265,20,30,20,bug,,3.6,3,0</t>
  </si>
  <si>
    <t>['Shed Skin'],1,1,1,1,1,0.5,2,2,1,0.5,0.5,1,1,1,1,2,1,1,35,3840,70,205,120,Cocoon PokÃ©mon,55,1000000,0.6,50,Karasalisã‚«ãƒ©ã‚µãƒªã‚¹,Silcoon,50,266,25,25,15,bug,,10.0,3,0</t>
  </si>
  <si>
    <t>['Swarm', 'Rivalry'],0.5,1,1,2,1,0.25,2,2,1,0.25,0,2,1,1,1,4,1,1,70,3840,70,395,45,Butterfly PokÃ©mon,50,1000000,1.0,60,Agehuntã‚¢ã‚²ãƒãƒ³ãƒˆ,Beautifly,50,267,100,50,65,bug,flying,28.4,3,0</t>
  </si>
  <si>
    <t>['Shed Skin'],1,1,1,1,1,0.5,2,2,1,0.5,0.5,1,1,1,1,2,1,1,35,3840,70,205,120,Cocoon PokÃ©mon,55,1000000,0.7,50,Mayuldãƒžãƒ¦ãƒ«ãƒ‰,Cascoon,50,268,25,25,15,bug,,11.5,3,0</t>
  </si>
  <si>
    <t>['Shield Dust', 'Compoundeyes'],0.5,1,1,1,0.5,0.25,2,2,1,0.25,1,1,1,0.5,2,2,1,1,50,3840,70,385,45,Poison Moth PokÃ©mon,70,1000000,1.2,60,Dokucaleãƒ‰ã‚¯ã‚±ã‚¤ãƒ«,Dustox,50,269,50,90,65,bug,poison,31.6,3,0</t>
  </si>
  <si>
    <t>['Swift Swim', 'Rain Dish', 'Own Tempo'],2,1,1,1,1,1,1,2,1,1,0.5,1,1,2,1,1,0.5,0.25,30,3840,70,220,255,Water Weed PokÃ©mon,30,1059860,0.5,40,Hassbohãƒã‚¹ãƒœãƒ¼,Lotad,50,270,40,50,30,water,grass,2.6,3,0</t>
  </si>
  <si>
    <t>['Swift Swim', 'Rain Dish', 'Own Tempo'],2,1,1,1,1,1,1,2,1,1,0.5,1,1,2,1,1,0.5,0.25,50,3840,70,340,120,Jolly PokÃ©mon,50,1059860,1.2,60,Hasubreroãƒã‚¹ãƒ–ãƒ¬ãƒ­,Lombre,50,271,60,70,50,water,grass,32.5,3,0</t>
  </si>
  <si>
    <t>['Swift Swim', 'Rain Dish', 'Own Tempo'],2,1,1,1,1,1,1,2,1,1,0.5,1,1,2,1,1,0.5,0.25,70,3840,70,480,45,Carefree PokÃ©mon,70,1059860,1.5,80,Runpappaãƒ«ãƒ³ãƒ‘ãƒƒãƒ‘,Ludicolo,50,272,90,100,70,water,grass,55.0,3,0</t>
  </si>
  <si>
    <t>['Chlorophyll', 'Early Bird', 'Pickpocket'],2,1,1,0.5,1,1,2,2,1,0.5,0.5,2,1,2,1,1,1,0.5,40,3840,70,220,255,Acorn PokÃ©mon,50,1059860,0.5,40,Tanebohã‚¿ãƒãƒœãƒ¼,Seedot,50,273,30,30,30,grass,,4.0,3,0</t>
  </si>
  <si>
    <t>['Chlorophyll', 'Early Bird', 'Pickpocket'],4,0.5,1,0.5,2,2,2,2,0.5,0.5,0.5,2,1,2,0,1,1,0.5,70,3840,70,340,120,Wily PokÃ©mon,40,1059860,1.0,70,Konohanaã‚³ãƒŽãƒãƒŠ,Nuzleaf,50,274,60,40,60,grass,dark,28.0,3,0</t>
  </si>
  <si>
    <t>['Chlorophyll', 'Early Bird', 'Pickpocket'],4,0.5,1,0.5,2,2,2,2,0.5,0.5,0.5,2,1,2,0,1,1,0.5,100,3840,70,480,45,Wickid PokÃ©mon,60,1059860,1.3,90,Dirtengãƒ€ãƒ¼ãƒ†ãƒ³ã‚°,Shiftry,50,275,90,60,80,grass,dark,59.6,3,0</t>
  </si>
  <si>
    <t>['Guts', 'Scrappy'],0.5,1,1,2,1,1,1,1,0,0.5,0,2,1,1,1,2,1,1,55,3840,70,270,200,TinySwallow PokÃ©mon,30,1059860,0.3,40,Subameã‚¹ãƒãƒ¡,Taillow,50,276,30,30,85,normal,flying,2.3,3,0</t>
  </si>
  <si>
    <t>['Guts', 'Scrappy'],0.5,1,1,2,1,1,1,1,0,0.5,0,2,1,1,1,2,1,1,85,3840,70,455,45,Swallow PokÃ©mon,60,1059860,0.7,60,Ohsubameã‚ªã‚ªã‚¹ãƒãƒ¡,Swellow,50,277,75,50,125,normal,flying,19.8,3,0</t>
  </si>
  <si>
    <t>['Keen Eye', 'Hydration', 'Rain Dish'],0.5,1,1,4,1,0.5,0.5,1,1,1,0,1,1,1,1,2,0.5,0.5,30,5120,70,270,190,Seagull PokÃ©mon,30,1000000,0.6,40,Camomeã‚­ãƒ£ãƒ¢ãƒ¡,Wingull,50,278,55,30,85,water,flying,9.5,3,0</t>
  </si>
  <si>
    <t>['Keen Eye', 'Drizzle', 'Rain Dish'],0.5,1,1,4,1,0.5,0.5,1,1,1,0,1,1,1,1,2,0.5,0.5,50,5120,70,440,45,Water Bird PokÃ©mon,100,1000000,1.2,60,Pelipperãƒšãƒªãƒƒãƒ‘ãƒ¼,Pelipper,50,279,95,70,65,water,flying,28.0,3,0</t>
  </si>
  <si>
    <t>['Synchronize', 'Trace', 'Telepathy'],1,1,0,1,1,0.25,1,1,2,1,1,1,1,2,0.5,1,2,1,25,5120,35,198,235,Feeling PokÃ©mon,25,1250000,0.4,28,Raltsãƒ©ãƒ«ãƒˆã‚¹,Ralts,50,280,45,35,40,psychic,fairy,6.6,3,0</t>
  </si>
  <si>
    <t>['Synchronize', 'Trace', 'Telepathy'],1,1,0,1,1,0.25,1,1,2,1,1,1,1,2,0.5,1,2,1,35,5120,35,278,120,Emotion PokÃ©mon,35,1250000,0.8,38,Kirliaã‚­ãƒ«ãƒªã‚¢,Kirlia,50,281,65,55,50,psychic,fairy,20.2,3,0</t>
  </si>
  <si>
    <t>['Synchronize', 'Trace', 'Telepathy'],1,1,0,1,1,0.25,1,1,2,1,1,1,1,2,0.5,1,2,1,85,5120,35,618,45,Embrace PokÃ©mon,65,1250000,1.6,68,Sirnightã‚µãƒ¼ãƒŠã‚¤ãƒˆ,Gardevoir,50,282,165,135,100,psychic,fairy,48.4,3,0</t>
  </si>
  <si>
    <t>['Swift Swim', 'Rain Dish'],1,1,1,2,1,0.5,1,2,1,1,0.5,0.5,1,1,1,2,0.5,0.5,30,3840,70,269,200,Pond Skater PokÃ©mon,32,1000000,0.5,40,Ametamaã‚¢ãƒ¡ã‚¿ãƒž,Surskit,50,283,50,52,65,bug,water,1.7,3,0</t>
  </si>
  <si>
    <t>['Intimidate', 'Unnerve'],0.5,1,1,2,1,0.25,2,2,1,0.25,0,2,1,1,1,4,1,1,60,3840,70,454,75,Eyeball PokÃ©mon,62,1000000,0.8,70,Amemothã‚¢ãƒ¡ãƒ¢ãƒ¼ã‚¹,Masquerain,50,284,100,82,80,bug,flying,3.6,3,0</t>
  </si>
  <si>
    <t>['Effect Spore', 'Poison Heal', 'Quick Feet'],2,1,1,0.5,1,1,2,2,1,0.5,0.5,2,1,2,1,1,1,0.5,40,3840,70,295,255,Mushroom PokÃ©mon,60,1640000,0.4,60,Kinococoã‚­ãƒŽã‚³ã‚³,Shroomish,50,285,40,60,35,grass,,4.5,3,0</t>
  </si>
  <si>
    <t>['Effect Spore', 'Poison Heal', 'Technician'],1,0.5,1,0.5,2,1,2,4,1,0.5,0.5,2,1,2,2,0.5,1,0.5,130,3840,70,460,90,Mushroom PokÃ©mon,80,1640000,1.2,60,Kinogassaã‚­ãƒŽã‚¬ãƒƒã‚µ,Breloom,50,286,60,60,70,grass,fighting,39.2,3,0</t>
  </si>
  <si>
    <t>['Truant'],1,1,1,1,1,2,1,1,0,1,1,1,1,1,1,1,1,1,60,3840,70,280,255,Slacker PokÃ©mon,60,1250000,0.8,60,NamakeroãƒŠãƒžã‚±ãƒ­,Slakoth,50,287,35,35,30,normal,,24.0,3,0</t>
  </si>
  <si>
    <t>['Vital Spirit'],1,1,1,1,1,2,1,1,0,1,1,1,1,1,1,1,1,1,80,3840,70,440,120,Wild Monkey PokÃ©mon,80,1250000,1.4,80,Yarukimonoãƒ¤ãƒ«ã‚­ãƒ¢ãƒŽ,Vigoroth,50,288,55,55,90,normal,,46.5,3,0</t>
  </si>
  <si>
    <t>['Truant'],1,1,1,1,1,2,1,1,0,1,1,1,1,1,1,1,1,1,160,3840,70,670,45,Lazy PokÃ©mon,100,1250000,2.0,150,Kekkingã‚±ãƒƒã‚­ãƒ³ã‚°,Slaking,50,289,95,65,100,normal,,130.5,3,0</t>
  </si>
  <si>
    <t>['Compoundeyes', 'Run Away'],1,1,1,0,1,0.5,2,2,1,1,0.5,2,1,0.5,1,1,1,2,45,3840,70,266,255,Trainee PokÃ©mon,90,600000,0.5,31,Tutininãƒ„ãƒãƒ‹ãƒ³,Nincada,50,290,30,30,40,bug,ground,5.5,3,0</t>
  </si>
  <si>
    <t>['Speed Boost', 'Infiltrator'],0.5,1,1,2,1,0.25,2,2,1,0.25,0,2,1,1,1,4,1,1,90,3840,70,456,120,Ninja PokÃ©mon,45,600000,0.8,61,Tekkaninãƒ†ãƒƒã‚«ãƒ‹ãƒ³,Ninjask,50,291,50,50,160,bug,flying,12.0,3,0</t>
  </si>
  <si>
    <t>['Wonder Guard'],0.5,2,1,1,1,0,2,2,2,0.5,0.5,1,0,0.5,1,2,1,1,90,3840,70,236,45,Shed PokÃ©mon,45,600000,0.8,1,NukeninãƒŒã‚±ãƒ‹ãƒ³,Shedinja,,292,30,30,40,bug,ghost,1.2,3,0</t>
  </si>
  <si>
    <t>['Soundproof', 'Rattled'],1,1,1,1,1,2,1,1,0,1,1,1,1,1,1,1,1,1,51,5120,70,240,190,Whisper PokÃ©mon,23,1059860,0.6,64,Gonyonyoã‚´ãƒ‹ãƒ§ãƒ‹ãƒ§,Whismur,50,293,51,23,28,normal,,16.3,3,0</t>
  </si>
  <si>
    <t>['Soundproof', 'Scrappy'],1,1,1,1,1,2,1,1,0,1,1,1,1,1,1,1,1,1,71,5120,70,360,120,Big Voice PokÃ©mon,43,1059860,1.0,84,Dogohmbãƒ‰ã‚´ãƒ¼ãƒ ,Loudred,50,294,71,43,48,normal,,40.5,3,0</t>
  </si>
  <si>
    <t>['Soundproof', 'Scrappy'],1,1,1,1,1,2,1,1,0,1,1,1,1,1,1,1,1,1,91,5120,70,490,45,Loud Noise PokÃ©mon,63,1059860,1.5,104,Bakuongãƒã‚¯ã‚ªãƒ³ã‚°,Exploud,50,295,91,73,68,normal,,84.0,3,0</t>
  </si>
  <si>
    <t>['Thick Fat', 'Guts', 'Sheer Force'],0.5,0.5,1,1,2,1,1,2,1,1,1,1,1,1,2,0.5,1,1,60,5120,70,237,180,Guts PokÃ©mon,30,1640000,1.0,72,Makunoshitaãƒžã‚¯ãƒŽã‚·ã‚¿,Makuhita,75.4,296,20,30,25,fighting,,86.4,3,0</t>
  </si>
  <si>
    <t>['Thick Fat', 'Guts', 'Sheer Force'],0.5,0.5,1,1,2,1,1,2,1,1,1,1,1,1,2,0.5,1,1,120,5120,70,474,200,Arm Thrust PokÃ©mon,60,1640000,2.3,144,Hariteyamaãƒãƒªãƒ†ãƒ¤ãƒž,Hariyama,75.4,297,40,60,50,fighting,,253.8,3,0</t>
  </si>
  <si>
    <t>['Thick Fat', 'Huge Power', 'Sap Sipper'],0.5,0.5,0,1,1,1,1,1,0,1,1,1,1,2,1,1,2,1,20,2560,70,190,150,Polka Dot PokÃ©mon,40,800000,0.2,50,Ruririãƒ«ãƒªãƒª,Azurill,24.6,298,20,40,20,normal,fairy,2.0,3,0</t>
  </si>
  <si>
    <t>['Sturdy', 'Magnet Pull', 'Sand Force'],1,1,1,1,1,2,0.5,0.5,1,2,2,1,0.5,0.5,1,1,2,2,45,5120,70,375,255,Compass PokÃ©mon,135,1000000,1.0,30,NosepassãƒŽã‚ºãƒ‘ã‚¹,Nosepass,50,299,45,90,30,rock,,97.0,3,0</t>
  </si>
  <si>
    <t>['Cute Charm', 'Normalize', 'Wonder Skin '],1,1,1,1,1,2,1,1,0,1,1,1,1,1,1,1,1,1,45,3840,70,260,255,Kitten PokÃ©mon,45,800000,0.6,50,Enecoã‚¨ãƒã‚³,Skitty,24.6,300,35,35,50,normal,,11.0,3,0</t>
  </si>
  <si>
    <t>['Cute Charm', 'Normalize', 'Wonder Skin '],1,1,1,1,1,2,1,1,0,1,1,1,1,1,1,1,1,1,65,3840,70,400,60,Prim PokÃ©mon,65,800000,1.1,70,Enekororoã‚¨ãƒã‚³ãƒ­ãƒ­,Delcatty,24.6,301,55,55,90,normal,,32.6,3,0</t>
  </si>
  <si>
    <t>['Keen Eye', 'Stall', 'Prankster'],1,1,1,1,2,0,1,1,1,1,1,1,0,0.5,0,1,1,1,85,6400,35,480,45,Darkness PokÃ©mon,125,1059860,0.5,50,Yamiramiãƒ¤ãƒŸãƒ©ãƒŸ,Sableye,50,302,85,115,20,dark,ghost,11.0,3,0</t>
  </si>
  <si>
    <t>['Hyper Cutter', 'Intimidate', 'Sheer Force'],0.25,0.5,0,1,0.5,1,2,0.5,1,0.5,2,0.5,0.5,0,0.5,0.5,1,1,105,5120,70,480,45,Deceiver PokÃ©mon,125,800000,0.6,50,Kucheatã‚¯ãƒãƒ¼ãƒˆ,Mawile,50,303,55,95,50,steel,fairy,11.5,3,0</t>
  </si>
  <si>
    <t>['Sturdy', 'Rock Head', 'Heavy Metal'],0.5,1,0.5,1,0.5,4,1,0.25,1,1,4,0.5,0.25,0,0.5,0.5,1,2,70,8960,35,330,180,Iron Armor PokÃ©mon,100,1250000,0.4,50,Cokodoraã‚³ã‚³ãƒ‰ãƒ©,Aron,50,304,40,40,30,steel,rock,60.0,3,0</t>
  </si>
  <si>
    <t>['Sturdy', 'Rock Head', 'Heavy Metal'],0.5,1,0.5,1,0.5,4,1,0.25,1,1,4,0.5,0.25,0,0.5,0.5,1,2,90,8960,35,430,90,Iron Armor PokÃ©mon,140,1250000,0.9,60,Kodoraã‚³ãƒ‰ãƒ©,Lairon,50,305,50,50,40,steel,rock,120.0,3,0</t>
  </si>
  <si>
    <t>['Sturdy', 'Rock Head', 'Heavy Metal'],0.5,1,0.5,1,0.5,4,1,0.25,1,1,4,0.5,0.25,0,0.5,0.5,1,2,140,8960,35,630,45,Iron Armor PokÃ©mon,230,1250000,2.1,70,Bossgodoraãƒœã‚¹ã‚´ãƒ‰ãƒ©,Aggron,50,306,60,80,50,steel,rock,360.0,3,0</t>
  </si>
  <si>
    <t>['Pure Power', 'Telepathy'],1,1,1,1,2,0.5,1,2,2,1,1,1,1,1,1,0.5,1,1,40,5120,70,280,180,Meditate PokÃ©mon,55,1000000,0.6,30,Asananã‚¢ã‚µãƒŠãƒ³,Meditite,50,307,40,55,60,fighting,psychic,11.2,3,0</t>
  </si>
  <si>
    <t>['Pure Power', 'Telepathy'],1,1,1,1,2,0.5,1,2,2,1,1,1,1,1,1,0.5,1,1,100,5120,70,510,90,Meditate PokÃ©mon,85,1000000,1.3,60,Charemãƒãƒ£ãƒ¼ãƒ¬ãƒ ,Medicham,50,308,80,85,100,fighting,psychic,31.5,3,0</t>
  </si>
  <si>
    <t>['Static', 'Lightningrod', 'Minus'],1,1,1,0.5,1,1,1,0.5,1,1,2,1,1,1,1,1,0.5,1,45,5120,70,295,120,Lightning PokÃ©mon,40,1250000,0.6,40,Rakuraiãƒ©ã‚¯ãƒ©ã‚¤,Electrike,50,309,65,40,65,electric,,15.2,3,0</t>
  </si>
  <si>
    <t>['Static', 'Lightningrod', 'Minus'],1,1,1,0.5,1,1,1,0.5,1,1,2,1,1,1,1,1,0.5,1,75,5120,70,575,45,Discharge PokÃ©mon,80,1250000,1.5,70,Livoltãƒ©ã‚¤ãƒœãƒ«ãƒˆ,Manectric,50,310,135,80,135,electric,,40.2,3,0</t>
  </si>
  <si>
    <t>['Plus', 'Lightningrod'],1,1,1,0.5,1,1,1,0.5,1,1,2,1,1,1,1,1,0.5,1,50,5120,70,405,200,Cheering PokÃ©mon,40,1000000,0.4,60,Prasleãƒ—ãƒ©ã‚¹ãƒ«,Plusle,50,311,85,75,95,electric,,4.2,3,0</t>
  </si>
  <si>
    <t>['Minus', 'Volt Absorb'],1,1,1,0.5,1,1,1,0.5,1,1,2,1,1,1,1,1,0.5,1,40,5120,70,405,200,Cheering PokÃ©mon,50,1000000,0.4,60,Minunãƒžã‚¤ãƒŠãƒ³,Minun,50,312,75,85,95,electric,,4.2,3,0</t>
  </si>
  <si>
    <t>['Illuminate', 'Swarm', 'Prankster'],1,1,1,1,1,0.5,2,2,1,0.5,0.5,1,1,1,1,2,1,1,73,3840,70,430,150,Firefly PokÃ©mon,75,600000,0.7,65,Barubeatãƒãƒ«ãƒ“ãƒ¼ãƒˆ,Volbeat,100,313,47,85,85,bug,,17.7,3,0</t>
  </si>
  <si>
    <t>['Oblivious', 'Tinted Lens', 'Prankster'],1,1,1,1,1,0.5,2,2,1,0.5,0.5,1,1,1,1,2,1,1,47,3840,70,430,150,Firefly PokÃ©mon,75,1640000,0.6,65,Illumiseã‚¤ãƒ«ãƒŸãƒ¼ã‚¼,Illumise,0,314,73,85,85,bug,,17.7,3,0</t>
  </si>
  <si>
    <t>['Natural Cure', 'Poison Point', 'Leaf Guard'],1,1,1,0.5,0.5,0.5,2,2,1,0.25,1,2,1,1,2,1,1,0.5,60,5120,70,400,150,Thorn PokÃ©mon,45,1059860,0.3,50,Roseliaãƒ­ã‚¼ãƒªã‚¢,Roselia,50,315,100,80,65,grass,poison,2.0,3,0</t>
  </si>
  <si>
    <t>['Liquid Ooze', 'Sticky Hold', 'Gluttony'],0.5,1,1,1,0.5,0.5,1,1,1,0.5,2,1,1,0.5,2,1,1,1,43,5120,70,302,225,Stomach PokÃ©mon,53,1640000,0.4,70,Gokulinã‚´ã‚¯ãƒªãƒ³,Gulpin,50,316,43,53,40,poison,,10.3,3,0</t>
  </si>
  <si>
    <t>['Liquid Ooze', 'Sticky Hold', 'Gluttony'],0.5,1,1,1,0.5,0.5,1,1,1,0.5,2,1,1,0.5,2,1,1,1,73,5120,70,467,75,Poison Bag PokÃ©mon,83,1640000,1.7,100,Marunoomãƒžãƒ«ãƒŽãƒ¼ãƒ ,Swalot,50,317,73,83,55,poison,,80.0,3,0</t>
  </si>
  <si>
    <t>['Rough Skin', 'Speed Boost'],2,0.5,1,2,2,2,0.5,1,0.5,2,1,0.5,1,1,0,1,0.5,0.5,90,5120,35,305,225,Savage PokÃ©mon,20,1250000,0.8,45,Kibanhaã‚­ãƒãƒ‹ã‚¢,Carvanha,50,318,65,20,65,water,dark,20.8,3,0</t>
  </si>
  <si>
    <t>['Rough Skin', 'Speed Boost'],2,0.5,1,2,2,2,0.5,1,0.5,2,1,0.5,1,1,0,1,0.5,0.5,140,5120,35,560,60,Brutal PokÃ©mon,70,1250000,1.8,70,Samehaderã‚µãƒ¡ãƒãƒ€ãƒ¼,Sharpedo,50,319,110,65,105,water,dark,88.8,3,0</t>
  </si>
  <si>
    <t>['Water Veil', 'Oblivious', 'Pressure'],1,1,1,2,1,1,0.5,1,1,2,1,0.5,1,1,1,1,0.5,0.5,70,10240,70,400,125,Ball Whale PokÃ©mon,35,1640000,2.0,130,Hoerukoãƒ›ã‚¨ãƒ«ã‚³,Wailmer,50,320,70,35,60,water,,130.0,3,0</t>
  </si>
  <si>
    <t>['Water Veil', 'Oblivious', 'Pressure'],1,1,1,2,1,1,0.5,1,1,2,1,0.5,1,1,1,1,0.5,0.5,90,10240,70,500,60,Float Whale PokÃ©mon,45,1640000,14.5,170,Whalohãƒ›ã‚¨ãƒ«ã‚ªãƒ¼,Wailord,50,321,90,45,60,water,,398.0,3,0</t>
  </si>
  <si>
    <t>['Oblivious', 'Simple', 'Own Tempo'],0.5,1,1,0,0.5,1,0.5,1,1,1,2,1,1,0.5,1,1,0.5,4,60,5120,70,305,255,Numb PokÃ©mon,40,1000000,0.7,60,Donmelãƒ‰ãƒ³ãƒ¡ãƒ«,Numel,50,322,65,45,35,fire,ground,24.0,3,0</t>
  </si>
  <si>
    <t>['Magma Armor', 'Solid Rock', 'Anger Point'],0.5,1,1,0,0.5,1,0.5,1,1,1,2,1,1,0.5,1,1,0.5,4,120,5120,70,560,150,Eruption PokÃ©mon,100,1000000,1.9,70,Bakuudaãƒã‚¯ãƒ¼ãƒ€,Camerupt,50,323,145,105,20,fire,ground,220.0,3,0</t>
  </si>
  <si>
    <t>['White Smoke', 'Drought', 'Shell Armor'],0.5,1,1,1,0.5,1,0.5,1,1,0.5,2,0.5,1,1,1,2,0.5,2,85,5120,70,470,90,Coal PokÃ©mon,140,1000000,0.5,70,Cotoiseã‚³ãƒ¼ã‚¿ã‚¹,Torkoal,50,324,85,70,20,fire,,80.4,3,0</t>
  </si>
  <si>
    <t>['Thick Fat', 'Own Tempo', 'Gluttony'],2,2,1,1,1,0.5,1,1,2,1,1,1,1,1,0.5,1,1,1,25,5120,70,330,255,Bounce PokÃ©mon,35,800000,0.7,60,Banebooãƒãƒãƒ–ãƒ¼,Spoink,50,325,70,80,60,psychic,,30.6,3,0</t>
  </si>
  <si>
    <t>['Thick Fat', 'Own Tempo', 'Gluttony'],2,2,1,1,1,0.5,1,1,2,1,1,1,1,1,0.5,1,1,1,45,5120,70,470,60,Manipulate PokÃ©mon,65,800000,0.9,80,Boopigãƒ–ãƒ¼ãƒ”ãƒƒã‚°,Grumpig,50,326,90,110,80,psychic,,71.5,3,0</t>
  </si>
  <si>
    <t>['Own Tempo', 'Tangled Feet', 'Contrary'],1,1,1,1,1,2,1,1,0,1,1,1,1,1,1,1,1,1,60,3840,70,360,255,Spot Panda PokÃ©mon,60,800000,1.1,60,Patcheelãƒ‘ãƒƒãƒãƒ¼ãƒ«,Spinda,50,327,60,60,60,normal,,5.0,3,0</t>
  </si>
  <si>
    <t>['Hyper Cutter', 'Arena Trap', 'Sheer Force'],1,1,1,0,1,1,1,1,1,2,1,2,1,0.5,1,0.5,1,2,100,5120,70,290,255,Ant Pit PokÃ©mon,45,1059860,0.7,45,NuckrarãƒŠãƒƒã‚¯ãƒ©ãƒ¼,Trapinch,50,328,45,45,10,ground,,15.0,3,0</t>
  </si>
  <si>
    <t>['Levitate'],1,1,2,0,2,1,0.5,1,1,1,1,4,1,0.5,1,0.5,1,1,70,5120,70,340,120,Vibration PokÃ©mon,50,1059860,1.1,50,Vibravaãƒ“ãƒ–ãƒ©ãƒ¼ãƒ,Vibrava,50,329,50,50,70,ground,dragon,15.3,3,0</t>
  </si>
  <si>
    <t>['Levitate'],1,1,2,0,2,1,0.5,1,1,1,1,4,1,0.5,1,0.5,1,1,100,5120,70,520,45,Mystic PokÃ©mon,80,1059860,2.0,80,Flygonãƒ•ãƒ©ã‚¤ã‚´ãƒ³,Flygon,50,330,80,80,100,ground,dragon,82.0,3,0</t>
  </si>
  <si>
    <t>['Sand Veil', 'Water Absorb'],2,1,1,0.5,1,1,2,2,1,0.5,0.5,2,1,2,1,1,1,0.5,85,5120,35,335,190,Cactus PokÃ©mon,40,1059860,0.4,50,Saboneaã‚µãƒœãƒã‚¢,Cacnea,50,331,85,40,35,grass,,51.3,3,0</t>
  </si>
  <si>
    <t>['Sand Veil', 'Water Absorb'],4,0.5,1,0.5,2,2,2,2,0.5,0.5,0.5,2,1,2,0,1,1,0.5,115,5120,35,475,60,Scarecrow PokÃ©mon,60,1059860,1.3,70,NoctusãƒŽã‚¯ã‚¿ã‚¹,Cacturne,50,332,115,60,55,grass,dark,77.4,3,0</t>
  </si>
  <si>
    <t>['Natural Cure', 'Cloud Nine'],0.5,1,1,2,1,1,1,1,0,0.5,0,2,1,1,1,2,1,1,40,5120,70,310,255,Cotton Bird PokÃ©mon,60,600000,0.4,45,Tylttoãƒãƒ«ãƒƒãƒˆ,Swablu,50,333,40,75,50,normal,flying,1.2,3,0</t>
  </si>
  <si>
    <t>['Natural Cure', 'Cloud Nine'],0.5,1,2,1,2,0.5,0.5,1,1,0.25,0,4,1,1,1,2,1,0.5,110,5120,70,590,45,Humming PokÃ©mon,110,600000,1.1,75,Tyltalisãƒãƒ«ã‚¿ãƒªã‚¹,Altaria,50,334,110,105,80,dragon,flying,20.6,3,0</t>
  </si>
  <si>
    <t>['Immunity', 'Toxic Boost'],1,1,1,1,1,2,1,1,0,1,1,1,1,1,1,1,1,1,115,5120,70,458,90,Cat Ferret PokÃ©mon,60,600000,1.3,73,Zangooseã‚¶ãƒ³ã‚°ãƒ¼ã‚¹,Zangoose,50,335,60,60,90,normal,,40.3,3,0</t>
  </si>
  <si>
    <t>['Shed Skin', 'Infiltrator'],0.5,1,1,1,0.5,0.5,1,1,1,0.5,2,1,1,0.5,2,1,1,1,100,5120,70,458,90,Fang Snake PokÃ©mon,60,1640000,2.7,73,Habunakeãƒãƒ–ãƒãƒ¼ã‚¯,Seviper,50,336,100,60,65,poison,,52.5,3,0</t>
  </si>
  <si>
    <t>['Levitate'],2,2,1,1,1,1,0.5,0.5,2,2,2,1,0.5,0.5,0.5,1,2,2,55,6400,70,460,45,Meteorite PokÃ©mon,65,800000,1.0,90,Lunatoneãƒ«ãƒŠãƒˆãƒ¼ãƒ³,Lunatone,,337,95,85,70,rock,psychic,168.0,3,0</t>
  </si>
  <si>
    <t>['Levitate'],2,2,1,1,1,1,0.5,0.5,2,2,2,1,0.5,0.5,0.5,1,2,2,95,6400,70,460,45,Meteorite PokÃ©mon,85,800000,1.2,90,Solrockã‚½ãƒ«ãƒ­ãƒƒã‚¯,Solrock,,338,55,65,70,rock,psychic,154.0,3,0</t>
  </si>
  <si>
    <t>['Oblivious', 'Anticipation', 'Hydration'],1,1,1,0,1,1,0.5,1,1,4,1,1,1,0.5,1,0.5,0.5,1,48,5120,70,288,190,Whiskers PokÃ©mon,43,1000000,0.4,50,Dojoachãƒ‰ã‚¸ãƒ§ãƒƒãƒ,Barboach,50,339,46,41,60,water,ground,1.9,3,0</t>
  </si>
  <si>
    <t>['Oblivious', 'Anticipation', 'Hydration'],1,1,1,0,1,1,0.5,1,1,4,1,1,1,0.5,1,0.5,0.5,1,78,5120,70,468,75,Whiskers PokÃ©mon,73,1000000,0.9,110,NamazunãƒŠãƒžã‚ºãƒ³,Whiscash,50,340,76,71,60,water,ground,23.6,3,0</t>
  </si>
  <si>
    <t>['Hyper Cutter', 'Shell Armor', 'Adaptability'],1,1,1,2,1,1,0.5,1,1,2,1,0.5,1,1,1,1,0.5,0.5,80,3840,70,308,205,Ruffian PokÃ©mon,65,1640000,0.6,43,Heiganiãƒ˜ã‚¤ã‚¬ãƒ‹,Corphish,50,341,50,35,35,water,,11.5,3,0</t>
  </si>
  <si>
    <t>['Hyper Cutter', 'Shell Armor', 'Adaptability'],2,0.5,1,2,2,2,0.5,1,0.5,2,1,0.5,1,1,0,1,0.5,0.5,120,3840,70,468,155,Rogue PokÃ©mon,85,1640000,1.1,63,Shizarigerã‚·ã‚¶ãƒªã‚¬ãƒ¼,Crawdaunt,50,342,90,55,55,water,dark,32.8,3,0</t>
  </si>
  <si>
    <t>['Levitate'],2,2,1,0,1,0.5,1,1,2,2,1,2,1,0.5,0.5,0.5,1,2,40,5120,70,300,255,Clay Doll PokÃ©mon,55,1000000,0.5,40,Yajilonãƒ¤ã‚¸ãƒ­ãƒ³,Baltoy,,343,40,70,55,ground,psychic,21.5,3,0</t>
  </si>
  <si>
    <t>['Levitate'],2,2,1,0,1,0.5,1,1,2,2,1,2,1,0.5,0.5,0.5,1,2,70,5120,70,500,90,Clay Doll PokÃ©mon,105,1000000,1.5,60,Nendollãƒãƒ³ãƒ‰ãƒ¼ãƒ«,Claydol,,344,70,120,75,ground,psychic,108.0,3,0</t>
  </si>
  <si>
    <t>['Suction Cups', 'Storm Drain'],2,1,1,0.5,1,2,1,1,1,1,1,2,0.5,1,1,1,2,1,41,7680,70,355,45,Sea Lily PokÃ©mon,77,600000,1.0,66,Lilylaãƒªãƒªãƒ¼ãƒ©,Lileep,88.1,345,61,87,23,rock,grass,23.8,3,0</t>
  </si>
  <si>
    <t>['Suction Cups', 'Storm Drain'],2,1,1,0.5,1,2,1,1,1,1,1,2,0.5,1,1,1,2,1,81,7680,70,495,45,Barnacle PokÃ©mon,97,600000,1.5,86,Yuradleãƒ¦ãƒ¬ã‚¤ãƒ‰ãƒ«,Cradily,88.1,346,81,107,43,rock,grass,60.4,3,0</t>
  </si>
  <si>
    <t>['Battle Armor', 'Swift Swim'],1,1,1,1,1,1,1,1,1,1,1,1,0.5,0.5,1,2,2,2,95,7680,70,355,45,Old Shrimp PokÃ©mon,50,600000,0.7,45,Anopthã‚¢ãƒŽãƒ—ã‚¹,Anorith,88.1,347,40,50,75,rock,bug,12.5,3,0</t>
  </si>
  <si>
    <t>['Battle Armor', 'Swift Swim'],1,1,1,1,1,1,1,1,1,1,1,1,0.5,0.5,1,2,2,2,125,7680,70,495,45,Plate PokÃ©mon,100,600000,1.5,75,Armaldoã‚¢ãƒ¼ãƒžãƒ«ãƒ‰,Armaldo,88.1,348,70,80,45,rock,bug,68.2,3,0</t>
  </si>
  <si>
    <t>['Swift Swim', 'Oblivious', 'Adaptability'],1,1,1,2,1,1,0.5,1,1,2,1,0.5,1,1,1,1,0.5,0.5,15,5120,70,200,255,Fish PokÃ©mon,20,600000,0.6,20,Hinbassãƒ’ãƒ³ãƒã‚¹,Feebas,50,349,10,55,80,water,,7.4,3,0</t>
  </si>
  <si>
    <t>['Marvel Scale', 'Competitive', 'Cute Charm'],1,1,1,2,1,1,0.5,1,1,2,1,0.5,1,1,1,1,0.5,0.5,60,5120,70,540,60,Tender PokÃ©mon,79,600000,6.2,95,MilokarossãƒŸãƒ­ã‚«ãƒ­ã‚¹,Milotic,50,350,100,125,81,water,,162.0,3,0</t>
  </si>
  <si>
    <t>['Forecast'],1,1,1,1,1,2,1,1,0,1,1,1,1,1,1,1,1,1,70,6400,70,420,45,Weather PokÃ©mon,70,1000000,0.3,70,Powalenãƒãƒ¯ãƒ«ãƒ³,Castform,50,351,70,70,70,normal,,0.8,3,0</t>
  </si>
  <si>
    <t>['Color Change', 'Protean'],1,1,1,1,1,2,1,1,0,1,1,1,1,1,1,1,1,1,90,5120,70,440,200,Color Swap PokÃ©mon,70,1059860,1.0,60,Kakureonã‚«ã‚¯ãƒ¬ã‚ªãƒ³,Kecleon,50,352,60,120,40,normal,,22.0,3,0</t>
  </si>
  <si>
    <t>['Insomnia', 'Frisk', 'Cursed Body'],0.5,2,1,1,1,0,1,1,2,1,1,1,0,0.5,1,1,1,1,75,6400,35,295,225,Puppet PokÃ©mon,35,800000,0.6,44,Kagebouzuã‚«ã‚²ãƒœã‚¦ã‚º,Shuppet,50,353,63,33,45,ghost,,2.3,3,0</t>
  </si>
  <si>
    <t>['Insomnia', 'Frisk', 'Cursed Body'],0.5,2,1,1,1,0,1,1,2,1,1,1,0,0.5,1,1,1,1,165,6400,35,555,45,Marionette PokÃ©mon,75,800000,1.1,64,Juppetaã‚¸ãƒ¥ãƒšãƒƒã‚¿,Banette,50,354,93,83,75,ghost,,12.5,3,0</t>
  </si>
  <si>
    <t>['Levitate', 'Frisk'],0.5,2,1,1,1,0,1,1,2,1,1,1,0,0.5,1,1,1,1,40,6400,35,295,190,Requiem PokÃ©mon,90,800000,0.8,20,Yomawaruãƒ¨ãƒžãƒ¯ãƒ«,Duskull,50,355,30,90,25,ghost,,15.0,3,0</t>
  </si>
  <si>
    <t>['Pressure', 'Frisk'],0.5,2,1,1,1,0,1,1,2,1,1,1,0,0.5,1,1,1,1,70,6400,35,455,90,Beckon PokÃ©mon,130,800000,1.6,40,Samayouruã‚µãƒžãƒ¨ãƒ¼ãƒ«,Dusclops,50,356,60,130,25,ghost,,30.6,3,0</t>
  </si>
  <si>
    <t>['Chlorophyll', 'Solar Power', 'Harvest'],1,1,1,1,1,0.5,2,2,1,0.25,0,4,1,2,1,2,1,0.5,68,6400,70,460,200,Fruit PokÃ©mon,83,1250000,2.0,99,Tropiusãƒˆãƒ­ãƒ”ã‚¦ã‚¹,Tropius,50,357,72,87,51,grass,flying,100.0,3,0</t>
  </si>
  <si>
    <t>['Levitate'],2,2,1,1,1,0.5,1,1,2,1,1,1,1,1,0.5,1,1,1,50,6400,70,455,45,Wind Chime PokÃ©mon,80,800000,0.6,75,Chireanãƒãƒªãƒ¼ãƒ³,Chimecho,50,358,95,90,65,psychic,,1.0,3,0</t>
  </si>
  <si>
    <t>['Pressure', 'Super Luck', 'Justified'],2,0.5,1,1,2,2,1,1,0.5,1,1,1,1,1,0,1,1,1,150,6400,35,565,30,Disaster PokÃ©mon,60,1059860,1.2,65,Absolã‚¢ãƒ–ã‚½ãƒ«,Absol,50,359,115,60,115,dark,,47.0,3,0</t>
  </si>
  <si>
    <t>['Shadow Tag', 'Telepathy'],2,2,1,1,1,0.5,1,1,2,1,1,1,1,1,0.5,1,1,1,23,5120,70,260,125,Bright PokÃ©mon,48,1000000,0.6,95,Sohnanoã‚½ãƒ¼ãƒŠãƒŽ,Wynaut,50,360,23,48,23,psychic,,14.0,3,0</t>
  </si>
  <si>
    <t>['Inner Focus', 'Ice Body', 'Moody'],1,1,1,1,1,2,2,1,1,1,1,0.5,1,1,1,2,2,1,50,5120,70,300,190,Snow Hat PokÃ©mon,50,1000000,0.7,50,Yukiwarashiãƒ¦ã‚­ãƒ¯ãƒ©ã‚·,Snorunt,50,361,50,50,50,ice,,16.8,3,0</t>
  </si>
  <si>
    <t>['Inner Focus', 'Ice Body', 'Moody'],1,1,1,1,1,2,2,1,1,1,1,0.5,1,1,1,2,2,1,120,5120,70,580,75,Face PokÃ©mon,80,1000000,1.5,80,Onigohriã‚ªãƒ‹ã‚´ãƒ¼ãƒª,Glalie,50,362,120,80,100,ice,,256.5,3,0</t>
  </si>
  <si>
    <t>['Thick Fat', 'Ice Body', 'Oblivious'],1,1,1,2,1,2,1,1,1,2,1,0.25,1,1,1,2,1,0.5,40,5120,70,290,255,Clap PokÃ©mon,50,1059860,0.8,70,Tamazarashiã‚¿ãƒžã‚¶ãƒ©ã‚·,Spheal,50,363,55,50,25,ice,water,39.5,3,0</t>
  </si>
  <si>
    <t>['Thick Fat', 'Ice Body', 'Oblivious'],1,1,1,2,1,2,1,1,1,2,1,0.25,1,1,1,2,1,0.5,60,5120,70,410,120,Ball Roll PokÃ©mon,70,1059860,1.1,90,Todogglerãƒˆãƒ‰ã‚°ãƒ©ãƒ¼,Sealeo,50,364,75,70,45,ice,water,87.6,3,0</t>
  </si>
  <si>
    <t>['Thick Fat', 'Ice Body', 'Oblivious'],1,1,1,2,1,2,1,1,1,2,1,0.25,1,1,1,2,1,0.5,80,5120,70,530,45,Ice Break PokÃ©mon,90,1059860,1.4,110,Todoserugaãƒˆãƒ‰ã‚¼ãƒ«ã‚¬,Walrein,50,365,95,90,65,ice,water,150.6,3,0</t>
  </si>
  <si>
    <t>['Shell Armor', 'Rattled'],1,1,1,2,1,1,0.5,1,1,2,1,0.5,1,1,1,1,0.5,0.5,64,5120,70,345,255,Bivalve PokÃ©mon,85,600000,0.4,35,Pearluluãƒ‘ãƒ¼ãƒ«ãƒ«,Clamperl,50,366,74,55,32,water,,52.5,3,0</t>
  </si>
  <si>
    <t>['Swift Swim', 'Water Veil'],1,1,1,2,1,1,0.5,1,1,2,1,0.5,1,1,1,1,0.5,0.5,104,5120,70,485,60,Deep Sea PokÃ©mon,105,600000,1.7,55,Huntailãƒãƒ³ãƒ†ãƒ¼ãƒ«,Huntail,50,367,94,75,52,water,,27.0,3,0</t>
  </si>
  <si>
    <t>['Swift Swim', 'Hydration'],1,1,1,2,1,1,0.5,1,1,2,1,0.5,1,1,1,1,0.5,0.5,84,5120,70,485,60,South Sea PokÃ©mon,105,600000,1.8,55,Sakurabyssã‚µã‚¯ãƒ©ãƒ“ã‚¹,Gorebyss,50,368,114,75,52,water,,22.6,3,0</t>
  </si>
  <si>
    <t>['Swift Swim', 'Rock Head', 'Sturdy'],1,1,1,2,1,2,0.25,0.5,1,4,2,0.5,0.5,0.5,1,1,1,1,90,10240,70,485,25,Longevity PokÃ©mon,130,1250000,1.0,100,Glanthã‚¸ãƒ¼ãƒ©ãƒ³ã‚¹,Relicanth,88.1,369,45,65,55,water,rock,23.4,3,0</t>
  </si>
  <si>
    <t>['Swift Swim', 'Hydration'],1,1,1,2,1,1,0.5,1,1,2,1,0.5,1,1,1,1,0.5,0.5,30,5120,70,330,225,Rendezvous PokÃ©mon,55,800000,0.6,43,Lovecusãƒ©ãƒ–ã‚«ã‚¹,Luvdisc,24.6,370,40,65,97,water,,8.7,3,0</t>
  </si>
  <si>
    <t>['Rock Head', 'Sheer Force'],1,1,2,0.5,2,1,0.5,1,1,0.5,1,2,1,1,1,1,1,0.5,75,10240,35,300,45,Rock Head PokÃ©mon,60,1250000,0.6,45,Tatsubayã‚¿ãƒ„ãƒ™ã‚¤,Bagon,50,371,40,30,50,dragon,,42.1,3,0</t>
  </si>
  <si>
    <t>['Rock Head', 'Overcoat'],1,1,2,0.5,2,1,0.5,1,1,0.5,1,2,1,1,1,1,1,0.5,95,10240,35,420,45,Endurance PokÃ©mon,100,1250000,1.1,65,Komoruuã‚³ãƒ¢ãƒ«ãƒ¼,Shelgon,50,372,60,50,50,dragon,,110.5,3,0</t>
  </si>
  <si>
    <t>['Intimidate', 'Moxie'],0.5,1,2,1,2,0.5,0.5,1,1,0.25,0,4,1,1,1,2,1,0.5,145,10240,35,700,45,Dragon PokÃ©mon,130,1250000,1.5,95,Bohmanderãƒœãƒ¼ãƒžãƒ³ãƒ€,Salamence,50,373,120,90,120,dragon,flying,102.6,3,0</t>
  </si>
  <si>
    <t>['Clear Body', 'Light Metal'],1,2,0.5,1,0.5,1,2,0.5,2,0.5,2,0.5,0.5,0,0.25,0.5,0.5,1,55,10240,35,300,3,Iron Ball PokÃ©mon,80,1250000,0.6,40,Dumbberãƒ€ãƒ³ãƒãƒ«,Beldum,,374,35,60,30,steel,psychic,95.2,3,0</t>
  </si>
  <si>
    <t>['Clear Body', 'Light Metal'],1,2,0.5,1,0.5,1,2,0.5,2,0.5,2,0.5,0.5,0,0.25,0.5,0.5,1,75,10240,35,420,3,Iron Claw PokÃ©mon,100,1250000,1.2,60,Metangãƒ¡ã‚¿ãƒ³ã‚°,Metang,,375,55,80,50,steel,psychic,202.5,3,0</t>
  </si>
  <si>
    <t>['Clear Body', 'Light Metal'],1,2,0.5,1,0.5,1,2,0.5,2,0.5,2,0.5,0.5,0,0.25,0.5,0.5,1,145,10240,35,700,3,Iron Leg PokÃ©mon,150,1250000,1.6,80,Metagrossãƒ¡ã‚¿ã‚°ãƒ­ã‚¹,Metagross,,376,105,110,110,steel,psychic,550.0,3,0</t>
  </si>
  <si>
    <t>['Clear Body', 'Sturdy'],1,1,1,1,1,2,0.5,0.5,1,2,2,1,0.5,0.5,1,1,2,2,100,20480,35,580,3,Rock Peak PokÃ©mon,200,1250000,1.7,80,Regirockãƒ¬ã‚¸ãƒ­ãƒƒã‚¯,Regirock,,377,50,100,50,rock,,230.0,3,1</t>
  </si>
  <si>
    <t>['Clear Body', 'Ice Body'],1,1,1,1,1,2,2,1,1,1,1,0.5,1,1,1,2,2,1,50,20480,35,580,3,Iceberg PokÃ©mon,100,1250000,1.8,80,Regiceãƒ¬ã‚¸ã‚¢ã‚¤ã‚¹,Regice,,378,100,200,50,ice,,175.0,3,1</t>
  </si>
  <si>
    <t>['Clear Body', 'Light Metal'],0.5,1,0.5,1,0.5,2,2,0.5,1,0.5,2,0.5,0.5,0,0.5,0.5,0.5,1,75,20480,35,580,3,Iron PokÃ©mon,150,1250000,1.9,80,Registeelãƒ¬ã‚¸ã‚¹ãƒãƒ«,Registeel,,379,75,150,50,steel,,205.0,3,1</t>
  </si>
  <si>
    <t>['Levitate'],2,2,2,0.5,2,0.5,0.5,1,2,0.5,1,2,1,1,0.5,1,1,0.5,100,30720,90,700,3,Eon PokÃ©mon,120,1250000,1.4,80,Latiasãƒ©ãƒ†ã‚£ã‚¢ã‚¹,Latias,0,380,140,150,110,dragon,psychic,40.0,3,1</t>
  </si>
  <si>
    <t>['Levitate'],2,2,2,0.5,2,0.5,0.5,1,2,0.5,1,2,1,1,0.5,1,1,0.5,130,30720,90,700,3,Eon PokÃ©mon,100,1250000,2.0,80,Latiosãƒ©ãƒ†ã‚£ã‚ªã‚¹,Latios,100,381,160,120,110,dragon,psychic,60.0,3,1</t>
  </si>
  <si>
    <t>['Drizzle'],1,1,1,2,1,1,0.5,1,1,2,1,0.5,1,1,1,1,0.5,0.5,150,30720,0,770,3,Sea Basin PokÃ©mon,90,1250000,4.5,100,Kyogreã‚«ã‚¤ã‚ªãƒ¼ã‚¬,Kyogre,,382,180,160,90,water,,352.0,3,1</t>
  </si>
  <si>
    <t>['Drought'],1,1,1,0,1,1,1,1,1,2,1,2,1,0.5,1,0.5,1,2,180,30720,0,770,3,Continent PokÃ©mon,160,1250000,3.5,100,Groudonã‚°ãƒ©ãƒ¼ãƒ‰ãƒ³,Groudon,,383,150,90,90,ground,,950.0,3,1</t>
  </si>
  <si>
    <t>['Air Lock'],0.5,1,2,1,2,0.5,0.5,1,1,0.25,0,4,1,1,1,2,1,0.5,180,30720,0,780,45,Sky High PokÃ©mon,100,1250000,7.0,105,Rayquazaãƒ¬ãƒƒã‚¯ã‚¦ã‚¶,Rayquaza,,384,180,100,115,dragon,flying,206.5,3,1</t>
  </si>
  <si>
    <t>['Serene Grace'],1,2,0.5,1,0.5,1,2,0.5,2,0.5,2,0.5,0.5,0,0.25,0.5,0.5,1,100,30720,100,600,3,Wish PokÃ©mon,100,1250000,0.3,100,Jirachiã‚¸ãƒ©ãƒ¼ãƒ,Jirachi,,385,100,100,100,steel,psychic,1.1,3,1</t>
  </si>
  <si>
    <t>['Pressure'],2,2,1,1,1,0.5,1,1,2,1,1,1,1,1,0.5,1,1,1,95,30720,0,600,3,DNA PokÃ©mon,90,1250000,1.7,50,Deoxysãƒ‡ã‚ªã‚­ã‚·ã‚¹,Deoxys,,386,95,90,180,psychic,,60.8,3,1</t>
  </si>
  <si>
    <t>['Overgrow', 'Shell Armor'],2,1,1,0.5,1,1,2,2,1,0.5,0.5,2,1,2,1,1,1,0.5,68,5120,70,318,45,Tiny Leaf PokÃ©mon,64,1059860,0.4,55,NaetleãƒŠã‚¨ãƒˆãƒ«,Turtwig,88.1,387,45,55,31,grass,,10.2,4,0</t>
  </si>
  <si>
    <t>['Overgrow', 'Shell Armor'],2,1,1,0.5,1,1,2,2,1,0.5,0.5,2,1,2,1,1,1,0.5,89,5120,70,405,45,Grove PokÃ©mon,85,1059860,1.1,75,Hayashigameãƒãƒ¤ã‚·ã‚¬ãƒ¡,Grotle,88.1,388,55,65,36,grass,,97.0,4,0</t>
  </si>
  <si>
    <t>['Overgrow', 'Shell Armor'],2,1,1,0,1,1,2,2,1,1,0.5,4,1,1,1,0.5,1,1,109,5120,70,525,45,Continent PokÃ©mon,105,1059860,2.2,95,Dodaitoseãƒ‰ãƒ€ã‚¤ãƒˆã‚¹,Torterra,88.1,389,75,85,56,grass,ground,310.0,4,0</t>
  </si>
  <si>
    <t>['Blaze', 'Iron Fist'],0.5,1,1,1,0.5,1,0.5,1,1,0.5,2,0.5,1,1,1,2,0.5,2,58,5120,70,309,45,Chimp PokÃ©mon,44,1059860,0.5,44,Hikozaruãƒ’ã‚³ã‚¶ãƒ«,Chimchar,88.1,390,58,44,61,fire,,6.2,4,0</t>
  </si>
  <si>
    <t>['Blaze', 'Iron Fist'],0.25,0.5,1,1,1,1,0.5,2,1,0.5,2,0.5,1,1,2,1,0.5,2,78,5120,70,405,45,Playful PokÃ©mon,52,1059860,0.9,64,Moukazaruãƒ¢ã‚¦ã‚«ã‚¶ãƒ«,Monferno,88.1,391,78,52,81,fire,fighting,22.0,4,0</t>
  </si>
  <si>
    <t>['Blaze', 'Iron Fist'],0.25,0.5,1,1,1,1,0.5,2,1,0.5,2,0.5,1,1,2,1,0.5,2,104,5120,70,534,45,Flame PokÃ©mon,71,1059860,1.2,76,Goukazaruã‚´ã‚¦ã‚«ã‚¶ãƒ«,Infernape,88.1,392,104,71,108,fire,fighting,55.0,4,0</t>
  </si>
  <si>
    <t>['Torrent', 'Defiant'],1,1,1,2,1,1,0.5,1,1,2,1,0.5,1,1,1,1,0.5,0.5,51,5120,70,314,45,Penguin PokÃ©mon,53,1059860,0.4,53,Pochamaãƒãƒƒãƒãƒ£ãƒž,Piplup,88.1,393,61,56,40,water,,5.2,4,0</t>
  </si>
  <si>
    <t>['Torrent', 'Defiant'],1,1,1,2,1,1,0.5,1,1,2,1,0.5,1,1,1,1,0.5,0.5,66,5120,70,405,45,Penguin PokÃ©mon,68,1059860,0.8,64,Pottaishiãƒãƒƒã‚¿ã‚¤ã‚·,Prinplup,88.1,394,81,76,50,water,,23.0,4,0</t>
  </si>
  <si>
    <t>['Torrent', 'Defiant'],0.5,1,0.5,2,0.5,2,1,0.5,1,1,2,0.25,0.5,0,0.5,0.5,0.25,0.5,86,5120,70,530,45,Emperor PokÃ©mon,88,1059860,1.7,84,Emperteã‚¨ãƒ³ãƒšãƒ«ãƒˆ,Empoleon,88.1,395,111,101,60,water,steel,84.5,4,0</t>
  </si>
  <si>
    <t>['Keen Eye', 'Reckless'],0.5,1,1,2,1,1,1,1,0,0.5,0,2,1,1,1,2,1,1,55,3840,70,245,255,Starling PokÃ©mon,30,1059860,0.3,40,Mukkuruãƒ ãƒƒã‚¯ãƒ«,Starly,50,396,30,30,60,normal,flying,2.0,4,0</t>
  </si>
  <si>
    <t>['Intimidate', 'Reckless'],0.5,1,1,2,1,1,1,1,0,0.5,0,2,1,1,1,2,1,1,75,3840,70,340,120,Starling PokÃ©mon,50,1059860,0.6,55,Mukubirdãƒ ã‚¯ãƒãƒ¼ãƒ‰,Staravia,50,397,40,40,80,normal,flying,15.5,4,0</t>
  </si>
  <si>
    <t>['Intimidate', 'Reckless'],0.5,1,1,2,1,1,1,1,0,0.5,0,2,1,1,1,2,1,1,120,3840,70,485,45,Predator PokÃ©mon,70,1059860,1.2,85,Mukuhawkãƒ ã‚¯ãƒ›ãƒ¼ã‚¯,Staraptor,50,398,50,60,100,normal,flying,24.9,4,0</t>
  </si>
  <si>
    <t>['Simple', 'Unaware', 'Moody'],1,1,1,1,1,2,1,1,0,1,1,1,1,1,1,1,1,1,45,3840,70,250,255,Plump Mouse PokÃ©mon,40,1000000,0.5,59,Bippaãƒ“ãƒƒãƒ‘,Bidoof,50,399,35,40,31,normal,,20.0,4,0</t>
  </si>
  <si>
    <t>['Simple', 'Unaware', 'Moody'],1,1,1,2,1,2,0.5,1,0,2,1,0.5,1,1,1,1,0.5,0.5,85,3840,70,410,127,Beaver PokÃ©mon,60,1000000,1.0,79,Beadaruãƒ“ãƒ¼ãƒ€ãƒ«,Bibarel,50,400,55,60,71,normal,water,31.5,4,0</t>
  </si>
  <si>
    <t>['Shed Skin', 'Run Away'],1,1,1,1,1,0.5,2,2,1,0.5,0.5,1,1,1,1,2,1,1,25,3840,70,194,255,Cricket PokÃ©mon,41,1059860,0.3,37,Korobohshiã‚³ãƒ­ãƒœãƒ¼ã‚·,Kricketot,50,401,25,41,25,bug,,2.2,4,0</t>
  </si>
  <si>
    <t>['Swarm', 'Technician'],1,1,1,1,1,0.5,2,2,1,0.5,0.5,1,1,1,1,2,1,1,85,3840,70,384,45,Cricket PokÃ©mon,51,1059860,1.0,77,Korotockã‚³ãƒ­ãƒˆãƒƒã‚¯,Kricketune,50,402,55,51,65,bug,,25.5,4,0</t>
  </si>
  <si>
    <t>['Rivalry', 'Intimidate', 'Guts'],1,1,1,0.5,1,1,1,0.5,1,1,2,1,1,1,1,1,0.5,1,65,5120,70,263,235,Flash PokÃ©mon,34,1059860,0.5,45,Kolinkã‚³ãƒªãƒ³ã‚¯,Shinx,50,403,40,34,45,electric,,9.5,4,0</t>
  </si>
  <si>
    <t>['Rivalry', 'Intimidate', 'Guts'],1,1,1,0.5,1,1,1,0.5,1,1,2,1,1,1,1,1,0.5,1,85,5120,100,363,120,Spark PokÃ©mon,49,1059860,0.9,60,Luxioãƒ«ã‚¯ã‚·ã‚ª,Luxio,50,404,60,49,60,electric,,30.5,4,0</t>
  </si>
  <si>
    <t>['Rivalry', 'Intimidate', 'Guts'],1,1,1,0.5,1,1,1,0.5,1,1,2,1,1,1,1,1,0.5,1,120,5120,70,523,45,Gleam Eyes PokÃ©mon,79,1059860,1.4,80,Rentorarãƒ¬ãƒ³ãƒˆãƒ©ãƒ¼,Luxray,50,405,95,79,70,electric,,42.0,4,0</t>
  </si>
  <si>
    <t>['Natural Cure', 'Poison Point', 'Leaf Guard'],1,1,1,0.5,0.5,0.5,2,2,1,0.25,1,2,1,1,2,1,1,0.5,30,5120,70,280,255,Bud PokÃ©mon,35,1059860,0.2,40,Subomieã‚¹ãƒœãƒŸãƒ¼,Budew,50,406,50,70,55,grass,poison,1.2,4,0</t>
  </si>
  <si>
    <t>['Natural Cure', 'Poison Point', 'Technician'],1,1,1,0.5,0.5,0.5,2,2,1,0.25,1,2,1,1,2,1,1,0.5,70,5120,70,515,75,Bouquet PokÃ©mon,65,1059860,0.9,60,Roseradeãƒ­ã‚ºãƒ¬ã‚¤ãƒ‰,Roserade,50,407,125,105,90,grass,poison,14.5,4,0</t>
  </si>
  <si>
    <t>['Mold Breaker', 'Sheer Force'],1,1,1,1,1,2,0.5,0.5,1,2,2,1,0.5,0.5,1,1,2,2,125,7680,70,350,45,Head Butt PokÃ©mon,40,600000,0.9,67,Zugaidosã‚ºã‚¬ã‚¤ãƒ‰ã‚¹,Cranidos,88.1,408,30,30,58,rock,,31.5,4,0</t>
  </si>
  <si>
    <t>['Mold Breaker', 'Sheer Force'],1,1,1,1,1,2,0.5,0.5,1,2,2,1,0.5,0.5,1,1,2,2,165,7680,70,495,45,Head Butt PokÃ©mon,60,600000,1.6,97,Rampaldãƒ©ãƒ ãƒ‘ãƒ«ãƒ‰,Rampardos,88.1,409,65,50,58,rock,,102.5,4,0</t>
  </si>
  <si>
    <t>['Sturdy', 'Soundproof'],0.5,1,0.5,1,0.5,4,1,0.25,1,1,4,0.5,0.25,0,0.5,0.5,1,2,42,7680,70,350,45,Shield PokÃ©mon,118,600000,0.5,30,Tatetopsã‚¿ãƒ†ãƒˆãƒ—ã‚¹,Shieldon,88.1,410,42,88,30,rock,steel,57.0,4,0</t>
  </si>
  <si>
    <t>['Sturdy', 'Soundproof'],0.5,1,0.5,1,0.5,4,1,0.25,1,1,4,0.5,0.25,0,0.5,0.5,1,2,52,7680,70,495,45,Shield PokÃ©mon,168,600000,1.3,60,Toridepsãƒˆãƒªãƒ‡ãƒ—ã‚¹,Bastiodon,88.1,411,47,138,30,rock,steel,149.5,4,0</t>
  </si>
  <si>
    <t>['Shed Skin', 'Overcoat'],1,1,1,1,1,0.5,2,2,1,0.5,0.5,1,1,1,1,2,1,1,29,3840,70,224,120,Bagworm PokÃ©mon,45,1000000,0.2,40,MinomucchiãƒŸãƒŽãƒ ãƒƒãƒ,Burmy,50,412,29,45,36,bug,,3.4,4,0</t>
  </si>
  <si>
    <t>['Anticipation', 'Overcoat'],2,1,1,0.5,1,0.5,4,4,1,0.25,0.25,2,1,2,1,2,1,0.5,69,3840,70,424,45,Bagworm PokÃ©mon,95,1000000,0.5,60,Minomadam (kusaki No Mino)ãƒŸãƒŽãƒžãƒ€ãƒ ,Wormadam,0,413,69,95,36,bug,grass,6.5,4,0</t>
  </si>
  <si>
    <t>['Swarm', 'Tinted Lens'],0.5,1,1,2,1,0.25,2,2,1,0.25,0,2,1,1,1,4,1,1,94,3840,70,424,45,Moth PokÃ©mon,50,1000000,0.9,70,Gamaleã‚¬ãƒ¼ãƒ¡ã‚¤ãƒ«,Mothim,100,414,94,50,66,bug,flying,23.3,4,0</t>
  </si>
  <si>
    <t>['Honey Gather', 'Hustle'],0.5,1,1,2,1,0.25,2,2,1,0.25,0,2,1,1,1,4,1,1,30,3840,70,244,120,Tiny Bee PokÃ©mon,42,1059860,0.3,30,MitsuhoneyãƒŸãƒ„ãƒãƒ‹ãƒ¼,Combee,88.1,415,30,42,70,bug,flying,5.5,4,0</t>
  </si>
  <si>
    <t>['Pressure', 'Unnerve'],0.5,1,1,2,1,0.25,2,2,1,0.25,0,2,1,1,1,4,1,1,80,3840,70,474,45,Beehive PokÃ©mon,102,1059860,1.2,70,Beequenãƒ“ãƒ¼ã‚¯ã‚¤ãƒ³,Vespiquen,0,416,80,102,40,bug,flying,38.5,4,0</t>
  </si>
  <si>
    <t>['Run Away', 'Pickup', 'Volt Absorb'],1,1,1,0.5,1,1,1,0.5,1,1,2,1,1,1,1,1,0.5,1,45,2560,100,405,200,EleSquirrel PokÃ©mon,70,1000000,0.4,60,Pachirisuãƒ‘ãƒãƒªã‚¹,Pachirisu,50,417,45,90,95,electric,,3.9,4,0</t>
  </si>
  <si>
    <t>['Swift Swim', 'Water Veil'],1,1,1,2,1,1,0.5,1,1,2,1,0.5,1,1,1,1,0.5,0.5,65,5120,70,330,190,Sea Weasel PokÃ©mon,35,1000000,0.7,55,Buoyselãƒ–ã‚¤ã‚¼ãƒ«,Buizel,50,418,60,30,85,water,,29.5,4,0</t>
  </si>
  <si>
    <t>['Swift Swim', 'Water Veil'],1,1,1,2,1,1,0.5,1,1,2,1,0.5,1,1,1,1,0.5,0.5,105,5120,70,495,75,Sea Weasel PokÃ©mon,55,1000000,1.1,85,Floazelãƒ•ãƒ­ãƒ¼ã‚¼ãƒ«,Floatzel,50,419,85,50,115,water,,33.5,4,0</t>
  </si>
  <si>
    <t>['Chlorophyll'],2,1,1,0.5,1,1,2,2,1,0.5,0.5,2,1,2,1,1,1,0.5,35,5120,70,275,190,Cherry PokÃ©mon,45,1000000,0.4,45,Cherinboãƒã‚§ãƒªãƒ³ãƒœ,Cherubi,50,420,62,53,35,grass,,3.3,4,0</t>
  </si>
  <si>
    <t>['Flower Gift'],2,1,1,0.5,1,1,2,2,1,0.5,0.5,2,1,2,1,1,1,0.5,60,5120,70,450,75,Blossom PokÃ©mon,70,1000000,0.5,70,Cherrimãƒã‚§ãƒªãƒ ,Cherrim,50,421,87,78,85,grass,,9.3,4,0</t>
  </si>
  <si>
    <t>['Sticky Hold', 'Storm Drain', 'Sand Force'],1,1,1,2,1,1,0.5,1,1,2,1,0.5,1,1,1,1,0.5,0.5,48,5120,70,325,190,Sea Slug PokÃ©mon,48,1000000,0.3,76,Karanakushiã‚«ãƒ©ãƒŠã‚¯ã‚·,Shellos,50,422,57,62,34,water,,6.3,4,0</t>
  </si>
  <si>
    <t>['Sticky Hold', 'Storm Drain', 'Sand Force'],1,1,1,0,1,1,0.5,1,1,4,1,1,1,0.5,1,0.5,0.5,1,83,5120,70,475,75,Sea Slug PokÃ©mon,68,1000000,0.9,111,Tritodonãƒˆãƒªãƒˆãƒ‰ãƒ³,Gastrodon,50,423,92,82,39,water,ground,29.9,4,0</t>
  </si>
  <si>
    <t>['Technician', 'Pickup', 'Skill Link'],1,1,1,1,1,2,1,1,0,1,1,1,1,1,1,1,1,1,100,5120,100,482,45,Long Tail PokÃ©mon,66,800000,1.2,75,Etebothã‚¨ãƒ†ãƒœãƒ¼ã‚¹,Ambipom,50,424,60,66,115,normal,,20.3,4,0</t>
  </si>
  <si>
    <t>['Aftermath', 'Unburden', 'Flare Boost'],0.25,2,1,2,1,0,1,1,2,0.5,0,2,0,0.5,1,2,1,1,50,7680,70,348,125,Balloon PokÃ©mon,34,1640000,0.4,90,Fuwanteãƒ•ãƒ¯ãƒ³ãƒ†,Drifloon,50,425,60,44,70,ghost,flying,1.2,4,0</t>
  </si>
  <si>
    <t>['Aftermath', 'Unburden', 'Flare Boost'],0.25,2,1,2,1,0,1,1,2,0.5,0,2,0,0.5,1,2,1,1,80,7680,70,498,60,Blimp PokÃ©mon,44,1640000,1.2,150,Fuwarideãƒ•ãƒ¯ãƒ©ã‚¤ãƒ‰,Drifblim,50,426,90,54,80,ghost,flying,15.0,4,0</t>
  </si>
  <si>
    <t>['Run Away', 'Klutz', 'Limber'],1,1,1,1,1,2,1,1,0,1,1,1,1,1,1,1,1,1,66,5120,0,350,190,Rabbit PokÃ©mon,44,1000000,0.4,55,MimirolãƒŸãƒŸãƒ­ãƒ«,Buneary,50,427,44,56,85,normal,,5.5,4,0</t>
  </si>
  <si>
    <t>['Cute Charm', 'Klutz', 'Limber'],1,1,1,1,1,2,1,1,0,1,1,1,1,1,1,1,1,1,136,5120,140,580,60,Rabbit PokÃ©mon,94,1000000,1.2,65,MimilopãƒŸãƒŸãƒ­ãƒƒãƒ—,Lopunny,50,428,54,96,135,normal,,33.3,4,0</t>
  </si>
  <si>
    <t>['Levitate'],0.5,2,1,1,1,0,1,1,2,1,1,1,0,0.5,1,1,1,1,60,6400,35,495,45,Magical PokÃ©mon,60,800000,0.9,60,Mumargiãƒ ã‚¦ãƒžãƒ¼ã‚¸,Mismagius,50,429,105,105,105,ghost,,4.4,4,0</t>
  </si>
  <si>
    <t>['Insomnia', 'Super Luck', 'Moxie'],1,0.5,1,2,2,1,1,1,0.5,0.5,0,2,1,1,0,2,1,1,125,5120,35,505,30,Big Boss PokÃ©mon,52,1059860,0.9,100,Dongkarasuãƒ‰ãƒ³ã‚«ãƒ©ã‚¹,Honchkrow,50,430,105,52,71,dark,flying,27.3,4,0</t>
  </si>
  <si>
    <t>['Limber', 'Own Tempo', 'Keen Eye'],1,1,1,1,1,2,1,1,0,1,1,1,1,1,1,1,1,1,55,5120,70,310,190,Catty PokÃ©mon,42,800000,0.5,49,Nyarmarãƒ‹ãƒ£ãƒ«ãƒžãƒ¼,Glameow,24.6,431,42,37,85,normal,,3.9,4,0</t>
  </si>
  <si>
    <t>['Thick Fat', 'Own Tempo', 'Defiant'],1,1,1,1,1,2,1,1,0,1,1,1,1,1,1,1,1,1,82,5120,70,452,75,Tiger Cat PokÃ©mon,64,800000,1.0,71,Bunyattoãƒ–ãƒ‹ãƒ£ãƒƒãƒˆ,Purugly,24.6,432,64,59,112,normal,,43.8,4,0</t>
  </si>
  <si>
    <t>['Levitate'],2,2,1,1,1,0.5,1,1,2,1,1,1,1,1,0.5,1,1,1,30,6400,70,285,120,Bell PokÃ©mon,50,800000,0.2,45,Lisyanãƒªãƒ¼ã‚·ãƒ£ãƒ³,Chingling,50,433,65,50,45,psychic,,0.6,4,0</t>
  </si>
  <si>
    <t>['Stench', 'Aftermath', 'Keen Eye'],1,0.5,1,1,1,1,1,1,0.5,0.5,2,1,1,0.5,0,1,1,1,63,5120,70,329,225,Skunk PokÃ©mon,47,1000000,0.4,63,Skunpuuã‚¹ã‚«ãƒ³ãƒ—ãƒ¼,Stunky,50,434,41,41,74,poison,dark,19.2,4,0</t>
  </si>
  <si>
    <t>['Stench', 'Aftermath', 'Keen Eye'],1,0.5,1,1,1,1,1,1,0.5,0.5,2,1,1,0.5,0,1,1,1,93,5120,70,479,60,Skunk PokÃ©mon,67,1000000,1.0,103,Skutankã‚¹ã‚«ã‚¿ãƒ³ã‚¯,Skuntank,50,435,71,61,84,poison,dark,38.0,4,0</t>
  </si>
  <si>
    <t>['Levitate', 'Heatproof', 'Heavy Metal'],1,2,0.5,1,0.5,1,2,0.5,2,0.5,2,0.5,0.5,0,0.25,0.5,0.5,1,24,5120,70,300,255,Bronze PokÃ©mon,86,1000000,0.5,57,Dohmirrorãƒ‰ãƒ¼ãƒŸãƒ©ãƒ¼,Bronzor,,436,24,86,23,steel,psychic,60.5,4,0</t>
  </si>
  <si>
    <t>['Levitate', 'Heatproof', 'Heavy Metal'],1,2,0.5,1,0.5,1,2,0.5,2,0.5,2,0.5,0.5,0,0.25,0.5,0.5,1,89,5120,70,500,90,Bronze Bell PokÃ©mon,116,1000000,1.3,67,Dohtakunãƒ‰ãƒ¼ã‚¿ã‚¯ãƒ³,Bronzong,,437,79,116,33,steel,psychic,187.0,4,0</t>
  </si>
  <si>
    <t>['Sturdy', 'Rock Head', 'Rattled'],1,1,1,1,1,2,0.5,0.5,1,2,2,1,0.5,0.5,1,1,2,2,80,5120,70,290,255,Bonsai PokÃ©mon,95,1000000,0.5,50,Usohachiã‚¦ã‚½ãƒãƒ,Bonsly,50,438,10,45,10,rock,,15.0,4,0</t>
  </si>
  <si>
    <t>['Soundproof', 'Filter', 'Technician'],1,1,0,1,1,0.25,1,1,2,1,1,1,1,2,0.5,1,2,1,25,6400,70,310,145,Mime PokÃ©mon,45,1000000,0.6,20,Maneneãƒžãƒãƒ,Mime Jr.,50,439,70,90,60,psychic,fairy,13.0,4,0</t>
  </si>
  <si>
    <t>['Natural Cure', 'Serene Grace', 'Friend Guard'],1,1,1,1,1,2,1,1,0,1,1,1,1,1,1,1,1,1,5,10240,140,220,130,Playhouse PokÃ©mon,5,800000,0.6,100,Pinpukuãƒ”ãƒ³ãƒ—ã‚¯,Happiny,0,440,15,65,30,normal,,24.4,4,0</t>
  </si>
  <si>
    <t>['Keen Eye', 'Tangled Feet', 'Big Pecks'],0.5,1,1,2,1,1,1,1,0,0.5,0,2,1,1,1,2,1,1,65,5120,35,411,30,Music Note PokÃ©mon,45,1059860,0.5,76,Perapãƒšãƒ©ãƒƒãƒ—,Chatot,50,441,92,42,91,normal,flying,1.9,4,0</t>
  </si>
  <si>
    <t>['Pressure', 'Infiltrator'],1,1,1,1,2,0,1,1,1,1,1,1,0,0.5,0,1,1,1,92,7680,70,485,100,Forbidden PokÃ©mon,108,1000000,1.0,50,MikarugeãƒŸã‚«ãƒ«ã‚²,Spiritomb,50,442,92,108,35,ghost,dark,108.0,4,0</t>
  </si>
  <si>
    <t>['Sand Veil', 'Rough Skin'],1,1,2,0,2,1,0.5,1,1,1,1,4,1,0.5,1,0.5,1,1,70,10240,70,300,45,Land Shark PokÃ©mon,45,1250000,0.7,58,Fukamaruãƒ•ã‚«ãƒžãƒ«,Gible,50,443,40,45,42,dragon,ground,20.5,4,0</t>
  </si>
  <si>
    <t>['Sand Veil', 'Rough Skin'],1,1,2,0,2,1,0.5,1,1,1,1,4,1,0.5,1,0.5,1,1,90,10240,70,410,45,Cave PokÃ©mon,65,1250000,1.4,68,Gabiteã‚¬ãƒã‚¤ãƒˆ,Gabite,50,444,50,55,82,dragon,ground,56.0,4,0</t>
  </si>
  <si>
    <t>['Sand Veil', 'Rough Skin'],1,1,2,0,2,1,0.5,1,1,1,1,4,1,0.5,1,0.5,1,1,170,10240,70,700,45,Mach PokÃ©mon,115,1250000,1.9,108,Gaburiasã‚¬ãƒ–ãƒªã‚¢ã‚¹,Garchomp,50,445,120,95,92,dragon,ground,95.0,4,0</t>
  </si>
  <si>
    <t>['Pickup', 'Thick Fat', 'Gluttony'],1,1,1,1,1,2,1,1,0,1,1,1,1,1,1,1,1,1,85,10240,70,390,50,Big Eater PokÃ©mon,40,1250000,0.6,135,Gonbeã‚´ãƒ³ãƒ™,Munchlax,88.1,446,40,85,5,normal,,105.0,4,0</t>
  </si>
  <si>
    <t>['Steadfast', 'Inner Focus', 'Prankster'],0.5,0.5,1,1,2,1,1,2,1,1,1,1,1,1,2,0.5,1,1,70,6400,70,285,75,Emanation PokÃ©mon,40,1059860,0.7,40,Rioluãƒªã‚ªãƒ«,Riolu,88.1,447,35,40,60,fighting,,20.2,4,0</t>
  </si>
  <si>
    <t>['Steadfast', 'Inner Focus', 'Justified'],0.25,0.5,0.5,1,1,2,2,1,1,0.5,2,0.5,0.5,0,1,0.25,0.5,1,145,6400,70,625,45,Aura PokÃ©mon,88,1059860,1.2,70,Lucarioãƒ«ã‚«ãƒªã‚ª,Lucario,88.1,448,140,70,112,fighting,steel,54.0,4,0</t>
  </si>
  <si>
    <t>['Sand Stream', 'Sand Force'],1,1,1,0,1,1,1,1,1,2,1,2,1,0.5,1,0.5,1,2,72,7680,70,330,140,Hippo PokÃ©mon,78,1250000,0.8,68,Hippopotasãƒ’ãƒãƒã‚¿ã‚¹,Hippopotas,50,449,38,42,32,ground,,49.5,4,0</t>
  </si>
  <si>
    <t>['Sand Stream', 'Sand Force'],1,1,1,0,1,1,1,1,1,2,1,2,1,0.5,1,0.5,1,2,112,7680,70,525,60,Heavyweight PokÃ©mon,118,1250000,2.0,108,Kabaldonã‚«ãƒãƒ«ãƒ‰ãƒ³,Hippowdon,50,450,68,72,47,ground,,300.0,4,0</t>
  </si>
  <si>
    <t>['Battle Armor', 'Sniper', 'Keen Eye'],0.5,1,1,1,0.5,0.25,2,2,1,0.25,1,1,1,0.5,2,2,1,1,50,5120,70,330,120,Scorpion PokÃ©mon,90,1250000,0.8,40,Scorupiã‚¹ã‚³ãƒ«ãƒ”,Skorupi,50,451,30,55,65,poison,bug,12.0,4,0</t>
  </si>
  <si>
    <t>['Battle Armor', 'Sniper', 'Keen Eye'],1,0.5,1,1,1,1,1,1,0.5,0.5,2,1,1,0.5,0,1,1,1,90,5120,70,500,45,Ogre Scorp PokÃ©mon,110,1250000,1.3,70,Dorapionãƒ‰ãƒ©ãƒ”ã‚ªãƒ³,Drapion,50,452,60,75,95,poison,dark,61.5,4,0</t>
  </si>
  <si>
    <t>['Anticipation', 'Dry Skin', 'Poison Touch'],0.25,0.5,1,1,1,0.5,1,2,1,0.5,2,1,1,0.5,4,0.5,1,1,61,2560,100,300,140,Toxic Mouth PokÃ©mon,40,1000000,0.7,48,Gureggruã‚°ãƒ¬ãƒƒã‚°ãƒ«,Croagunk,50,453,61,40,50,poison,fighting,23.0,4,0</t>
  </si>
  <si>
    <t>['Anticipation', 'Dry Skin', 'Poison Touch'],0.25,0.5,1,1,1,0.5,1,2,1,0.5,2,1,1,0.5,4,0.5,1,1,106,5120,70,490,75,Toxic Mouth PokÃ©mon,65,1000000,1.3,83,Dokurogãƒ‰ã‚¯ãƒ­ãƒƒã‚°,Toxicroak,50,454,86,65,85,poison,fighting,44.4,4,0</t>
  </si>
  <si>
    <t>['Levitate'],2,1,1,0.5,1,1,2,2,1,0.5,0.5,2,1,2,1,1,1,0.5,100,6400,70,454,200,Bug Catcher PokÃ©mon,72,1250000,1.4,74,Muskippaãƒžã‚¹ã‚­ãƒƒãƒ‘,Carnivine,50,455,90,72,46,grass,,27.0,4,0</t>
  </si>
  <si>
    <t>['Swift Swim', 'Storm Drain', 'Water Veil'],1,1,1,2,1,1,0.5,1,1,2,1,0.5,1,1,1,1,0.5,0.5,49,5120,70,330,190,Wing Fish PokÃ©mon,56,600000,0.4,49,Keikouoã‚±ã‚¤ã‚³ã‚¦ã‚ª,Finneon,50,456,49,61,66,water,,7.0,4,0</t>
  </si>
  <si>
    <t>['Swift Swim', 'Storm Drain', 'Water Veil'],1,1,1,2,1,1,0.5,1,1,2,1,0.5,1,1,1,1,0.5,0.5,69,5120,70,460,75,Neon PokÃ©mon,76,600000,1.2,69,Neolantãƒã‚ªãƒ©ãƒ³ãƒˆ,Lumineon,50,457,69,86,91,water,,24.0,4,0</t>
  </si>
  <si>
    <t>['Swift Swim', 'Water Absorb', 'Water Veil'],0.5,1,1,4,1,0.5,0.5,1,1,1,0,1,1,1,1,2,0.5,0.5,20,6400,70,345,25,Kite PokÃ©mon,50,1250000,1.0,45,Tamantaã‚¿ãƒžãƒ³ã‚¿,Mantyke,50,458,60,120,50,water,flying,65.0,4,0</t>
  </si>
  <si>
    <t>['Snow Warning', 'Soundproof'],2,1,1,0.5,1,2,4,2,1,0.5,0.5,1,1,2,1,2,2,0.5,62,5120,70,334,120,Frosted Tree PokÃ©mon,50,1250000,1.0,60,Yukikaburiãƒ¦ã‚­ã‚«ãƒ–ãƒª,Snover,50,459,62,60,40,grass,ice,50.5,4,0</t>
  </si>
  <si>
    <t>['Snow Warning', 'Soundproof'],2,1,1,0.5,1,2,4,2,1,0.5,0.5,1,1,2,1,2,2,0.5,132,5120,70,594,60,Frosted Tree PokÃ©mon,105,1250000,2.2,90,Yukinoohãƒ¦ã‚­ãƒŽã‚ªãƒ¼,Abomasnow,50,460,132,105,30,grass,ice,135.5,4,0</t>
  </si>
  <si>
    <t>['Pressure', 'Pickpocket'],2,0.5,1,1,2,4,2,1,0.5,1,1,0.5,1,1,0,2,2,1,120,5120,35,510,45,Sharp Claw PokÃ©mon,65,1059860,1.1,70,Manyulaãƒžãƒ‹ãƒ¥ãƒ¼ãƒ©,Weavile,50,461,45,85,125,dark,ice,34.0,4,0</t>
  </si>
  <si>
    <t>['Magnet Pull', 'Sturdy', 'Analytic'],0.5,1,0.5,0.5,0.5,2,2,0.25,1,0.5,4,0.5,0.5,0,0.5,0.5,0.25,1,70,5120,70,535,30,Magnet Area PokÃ©mon,115,1000000,1.2,70,Jibacoilã‚¸ãƒã‚³ã‚¤ãƒ«,Magnezone,,462,130,90,60,electric,steel,180.0,4,0</t>
  </si>
  <si>
    <t>['Own Tempo', 'Oblivious', 'Cloud Nine'],1,1,1,1,1,2,1,1,0,1,1,1,1,1,1,1,1,1,85,5120,70,515,30,Licking PokÃ©mon,95,1000000,1.7,110,Berobeltãƒ™ãƒ­ãƒ™ãƒ«ãƒˆ,Lickilicky,50,463,80,95,50,normal,,140.0,4,0</t>
  </si>
  <si>
    <t>['Lightningrod', 'Solid Rock', 'Reckless'],1,1,1,0,1,2,0.5,0.5,1,4,2,2,0.5,0.25,1,0.5,2,4,140,5120,70,535,30,Drill PokÃ©mon,130,1250000,2.4,115,Dosidonãƒ‰ã‚µã‚¤ãƒ‰ãƒ³,Rhyperior,50,464,55,55,40,ground,rock,282.8,4,0</t>
  </si>
  <si>
    <t>['Chlorophyll', 'Leaf Guard', 'Regenerator'],2,1,1,0.5,1,1,2,2,1,0.5,0.5,2,1,2,1,1,1,0.5,100,5120,70,535,30,Vine PokÃ©mon,125,1000000,2.0,100,Mojumboãƒ¢ã‚¸ãƒ£ãƒ³ãƒœ,Tangrowth,50,465,110,50,50,grass,,128.6,4,0</t>
  </si>
  <si>
    <t>['Motor Drive', 'Vital Spirit'],1,1,1,0.5,1,1,1,0.5,1,1,2,1,1,1,1,1,0.5,1,123,6400,70,540,30,Thunderbolt PokÃ©mon,67,1000000,1.8,75,Elekibleã‚¨ãƒ¬ã‚­ãƒ–ãƒ«,Electivire,75.4,466,95,85,95,electric,,138.6,4,0</t>
  </si>
  <si>
    <t>['Flame Body', 'Vital Spirit'],0.5,1,1,1,0.5,1,0.5,1,1,0.5,2,0.5,1,1,1,2,0.5,2,95,6400,70,540,30,Blast PokÃ©mon,67,1000000,1.6,75,Booburnãƒ–ãƒ¼ãƒãƒ¼ãƒ³,Magmortar,75.4,467,125,95,83,fire,,68.0,4,0</t>
  </si>
  <si>
    <t>['Hustle', 'Serene Grace', 'Super Luck'],0.25,0.5,0,2,1,0.25,1,1,1,0.5,0,2,1,2,1,2,2,1,50,2560,70,545,30,Jubilee PokÃ©mon,95,800000,1.5,85,Togekissãƒˆã‚²ã‚­ãƒƒã‚¹,Togekiss,88.1,468,120,115,80,fairy,flying,38.0,4,0</t>
  </si>
  <si>
    <t>['Speed Boost', 'Tinted Lens', 'Frisk'],0.5,1,1,2,1,0.25,2,2,1,0.25,0,2,1,1,1,4,1,1,76,5120,70,515,30,Ogre Darner PokÃ©mon,86,1000000,1.9,86,Megayanmaãƒ¡ã‚¬ãƒ¤ãƒ³ãƒž,Yanmega,50,469,116,56,95,bug,flying,51.5,4,0</t>
  </si>
  <si>
    <t>['Leaf Guard', 'Chlorophyll'],2,1,1,0.5,1,1,2,2,1,0.5,0.5,2,1,2,1,1,1,0.5,110,8960,35,525,45,Verdant PokÃ©mon,130,1000000,1.0,65,Leafiaãƒªãƒ¼ãƒ•ã‚£ã‚¢,Leafeon,88.1,470,60,65,95,grass,,25.5,4,0</t>
  </si>
  <si>
    <t>['Snow Cloak', 'Ice Body'],1,1,1,1,1,2,2,1,1,1,1,0.5,1,1,1,2,2,1,60,8960,35,525,45,Fresh Snow PokÃ©mon,110,1000000,0.8,65,Glaciaã‚°ãƒ¬ã‚¤ã‚·ã‚¢,Glaceon,88.1,471,130,95,65,ice,,25.9,4,0</t>
  </si>
  <si>
    <t>['Hyper Cutter', 'Sand Veil', 'Poison Heal'],0.5,1,1,0,1,0.5,1,1,1,1,0,4,1,0.5,1,1,1,2,95,5120,70,510,30,Fang Scorp PokÃ©mon,125,1059860,2.0,75,Glionã‚°ãƒ©ã‚¤ã‚ªãƒ³,Gliscor,50,472,45,75,95,ground,flying,42.5,4,0</t>
  </si>
  <si>
    <t>['Oblivious', 'Snow Cloak', 'Thick Fat'],1,1,1,0,1,2,2,1,1,2,1,1,1,0.5,1,1,2,2,130,5120,70,530,50,Twin Tusk PokÃ©mon,80,1250000,2.5,110,Mammooãƒžãƒ³ãƒ ãƒ¼,Mamoswine,50,473,70,60,80,ice,ground,291.0,4,0</t>
  </si>
  <si>
    <t>['Adaptability', 'Download', 'Analytic'],1,1,1,1,1,2,1,1,0,1,1,1,1,1,1,1,1,1,80,5120,70,535,30,Virtual PokÃ©mon,70,1000000,0.9,85,Porygon-zãƒãƒªã‚´ãƒ³ï¼º,Porygon-Z,,474,135,75,90,normal,,34.0,4,0</t>
  </si>
  <si>
    <t>['Steadfast', 'Justified'],1,1,1,1,2,0.5,1,2,2,1,1,1,1,1,1,0.5,1,1,165,5120,35,618,45,Blade PokÃ©mon,95,1250000,1.6,68,Erureidoã‚¨ãƒ«ãƒ¬ã‚¤ãƒ‰,Gallade,100,475,65,115,110,psychic,fighting,52.0,4,0</t>
  </si>
  <si>
    <t>['Sturdy', 'Magnet Pull', 'Sand Force'],0.5,1,0.5,1,0.5,4,1,0.25,1,1,4,0.5,0.25,0,0.5,0.5,1,2,55,5120,70,525,60,Compass PokÃ©mon,145,1000000,1.4,60,Dainoseãƒ€ã‚¤ãƒŽãƒ¼ã‚º,Probopass,50,476,75,150,40,rock,steel,340.0,4,0</t>
  </si>
  <si>
    <t>['Pressure', 'Frisk'],0.5,2,1,1,1,0,1,1,2,1,1,1,0,0.5,1,1,1,1,100,6400,35,525,45,Gripper PokÃ©mon,135,800000,2.2,45,Yonoirãƒ¨ãƒŽãƒ¯ãƒ¼ãƒ«,Dusknoir,50,477,65,135,45,ghost,,106.6,4,0</t>
  </si>
  <si>
    <t>['Snow Cloak', 'Cursed Body'],0.5,2,1,1,1,0,2,1,2,1,1,0.5,0,0.5,1,2,2,1,80,5120,70,480,75,Snow Land PokÃ©mon,70,1000000,1.3,70,Yukimenokoãƒ¦ã‚­ãƒ¡ãƒŽã‚³,Froslass,0,478,80,70,110,ice,ghost,26.6,4,0</t>
  </si>
  <si>
    <t>['Levitate'],0.5,2,1,0.5,1,0,1,0.5,2,1,2,1,0,0.5,1,1,0.5,1,65,5120,70,520,45,Plasma PokÃ©mon,107,1000000,0.3,50,Rotomãƒ­ãƒˆãƒ ,Rotom,,479,105,107,86,electric,ghost,0.3,4,0</t>
  </si>
  <si>
    <t>['Levitate'],2,2,1,1,1,0.5,1,1,2,1,1,1,1,1,0.5,1,1,1,75,20480,140,580,3,Knowledge PokÃ©mon,130,1250000,0.3,75,Yuxieãƒ¦ã‚¯ã‚·ãƒ¼,Uxie,,480,75,130,95,psychic,,0.3,4,1</t>
  </si>
  <si>
    <t>['Levitate'],2,2,1,1,1,0.5,1,1,2,1,1,1,1,1,0.5,1,1,1,105,20480,140,580,3,Emotion PokÃ©mon,105,1250000,0.3,80,Emritã‚¨ãƒ ãƒªãƒƒãƒˆ,Mesprit,,481,105,105,80,psychic,,0.3,4,1</t>
  </si>
  <si>
    <t>['Levitate'],2,2,1,1,1,0.5,1,1,2,1,1,1,1,1,0.5,1,1,1,125,20480,140,580,3,Willpower PokÃ©mon,70,1250000,0.3,75,Agnomeã‚¢ã‚°ãƒŽãƒ ,Azelf,,482,125,70,115,psychic,,0.3,4,1</t>
  </si>
  <si>
    <t>['Pressure', 'Telepathy'],0.5,1,1,0.5,1,2,1,0.5,1,0.25,2,1,0.5,0,0.5,0.5,0.5,0.5,120,30720,0,680,3,Temporal PokÃ©mon,120,1250000,5.4,100,Dialgaãƒ‡ã‚£ã‚¢ãƒ«ã‚¬,Dialga,,483,150,100,90,steel,dragon,683.0,4,1</t>
  </si>
  <si>
    <t>['Pressure', 'Telepathy'],1,1,2,1,2,1,0.25,1,1,1,1,1,1,1,1,1,0.5,0.25,120,30720,0,680,3,Spatial PokÃ©mon,100,1250000,4.2,90,Palkiaãƒ‘ãƒ«ã‚­ã‚¢,Palkia,,484,150,120,100,water,dragon,336.0,4,1</t>
  </si>
  <si>
    <t>['Flash Fire', 'Flame Body'],0.25,1,0.5,1,0.25,2,1,0.5,1,0.25,4,0.25,0.5,0,0.5,1,0.25,2,90,2560,100,600,3,Lava Dome PokÃ©mon,106,1250000,1.7,91,Heatranãƒ’ãƒ¼ãƒ‰ãƒ©ãƒ³,Heatran,50,485,130,106,77,fire,steel,430.0,4,1</t>
  </si>
  <si>
    <t>['Slow Start'],1,1,1,1,1,2,1,1,0,1,1,1,1,1,1,1,1,1,160,30720,0,670,3,Colossal PokÃ©mon,110,1250000,3.7,110,Regigigasãƒ¬ã‚¸ã‚®ã‚¬ã‚¹,Regigigas,,486,80,110,100,normal,,420.0,4,1</t>
  </si>
  <si>
    <t>['Pressure', 'Telepathy', 'Levitate'],0.5,2,2,0.5,2,0,0.5,1,2,0.5,1,2,0,0.5,1,1,1,0.5,120,30720,0,680,3,Renegade PokÃ©mon,100,1250000,4.5,150,Giratina (another Forme)ã‚®ãƒ©ãƒ†ã‚£ãƒŠ,Giratina,,487,120,100,90,ghost,dragon,750.0,4,1</t>
  </si>
  <si>
    <t>['Levitate'],2,2,1,1,1,0.5,1,1,2,1,1,1,1,1,0.5,1,1,1,70,30720,100,600,3,Lunar PokÃ©mon,120,1250000,1.5,120,Cresseliaã‚¯ãƒ¬ã‚»ãƒªã‚¢,Cresselia,0,488,75,130,85,psychic,,85.6,4,1</t>
  </si>
  <si>
    <t>['Hydration'],1,1,1,2,1,1,0.5,1,1,2,1,0.5,1,1,1,1,0.5,0.5,80,10240,70,480,30,Sea Drifter PokÃ©mon,80,1250000,0.4,80,Phioneãƒ•ã‚£ã‚ªãƒ,Phione,,489,80,80,80,water,,3.1,4,0</t>
  </si>
  <si>
    <t>['Hydration'],1,1,1,2,1,1,0.5,1,1,2,1,0.5,1,1,1,1,0.5,0.5,100,2560,70,600,3,Seafaring PokÃ©mon,100,1250000,0.3,100,ManaphyãƒžãƒŠãƒ•ã‚£,Manaphy,,490,100,100,100,water,,1.4,4,1</t>
  </si>
  <si>
    <t>['Bad Dreams'],2,0.5,1,1,2,2,1,1,0.5,1,1,1,1,1,0,1,1,1,90,30720,0,600,3,Pitch-Black PokÃ©mon,90,1250000,1.5,70,Darkraiãƒ€ãƒ¼ã‚¯ãƒ©ã‚¤,Darkrai,,491,135,90,125,dark,,50.5,4,1</t>
  </si>
  <si>
    <t>['Natural Cure', 'Serene Grace'],2,1,1,0.5,1,1,2,2,1,0.5,0.5,2,1,2,1,1,1,0.5,103,30720,100,600,45,Gratitude PokÃ©mon,75,1059860,0.2,100,Shaymin (sky Forme)ã‚·ã‚§ã‚¤ãƒŸ,Shaymin,,492,120,75,127,grass,grass,2.1,4,1</t>
  </si>
  <si>
    <t>['Multitype'],1,1,1,1,1,2,1,1,0,1,1,1,1,1,1,1,1,1,120,30720,0,720,3,Alpha PokÃ©mon,120,1250000,3.2,120,Arceusã‚¢ãƒ«ã‚»ã‚¦ã‚¹,Arceus,,493,120,120,120,normal,,320.0,4,1</t>
  </si>
  <si>
    <t>['Victory Star'],1,2,1,1,0.5,0.5,0.5,1,2,0.5,2,0.5,1,1,0.5,2,0.5,2,100,30720,100,600,3,Victory PokÃ©mon,100,1250000,0.4,100,Victiniãƒ“ã‚¯ãƒ†ã‚£ãƒ‹,Victini,,494,100,100,100,psychic,fire,4.0,5,1</t>
  </si>
  <si>
    <t>['Overgrow', 'Contrary'],2,1,1,0.5,1,1,2,2,1,0.5,0.5,2,1,2,1,1,1,0.5,45,5120,70,308,45,Grass Snake PokÃ©mon,55,1059860,0.6,45,Tsutarjaãƒ„ã‚¿ãƒ¼ã‚¸ãƒ£,Snivy,88.1,495,45,55,63,grass,,8.1,5,0</t>
  </si>
  <si>
    <t>['Overgrow', 'Contrary'],2,1,1,0.5,1,1,2,2,1,0.5,0.5,2,1,2,1,1,1,0.5,60,5120,70,413,45,Grass Snake PokÃ©mon,75,1059860,0.8,60,Janovyã‚¸ãƒ£ãƒŽãƒ“ãƒ¼,Servine,88.1,496,60,75,83,grass,,16.0,5,0</t>
  </si>
  <si>
    <t>['Overgrow', 'Contrary'],2,1,1,0.5,1,1,2,2,1,0.5,0.5,2,1,2,1,1,1,0.5,75,5120,70,528,45,Regal PokÃ©mon,95,1059860,3.3,75,Jalordaã‚¸ãƒ£ãƒ­ãƒ¼ãƒ€,Serperior,88.1,497,75,95,113,grass,,63.0,5,0</t>
  </si>
  <si>
    <t>['Blaze', 'Thick Fat'],0.5,1,1,1,0.5,1,0.5,1,1,0.5,2,0.5,1,1,1,2,0.5,2,63,5120,70,308,45,Fire Pig PokÃ©mon,45,1059860,0.5,65,Pokabuãƒã‚«ãƒ–,Tepig,88.1,498,45,45,45,fire,,9.9,5,0</t>
  </si>
  <si>
    <t>['Blaze', 'Thick Fat'],0.25,0.5,1,1,1,1,0.5,2,1,0.5,2,0.5,1,1,2,1,0.5,2,93,5120,70,418,45,Fire Pig PokÃ©mon,55,1059860,1.0,90,Chaobooãƒãƒ£ã‚ªãƒ–ãƒ¼,Pignite,88.1,499,70,55,55,fire,fighting,55.5,5,0</t>
  </si>
  <si>
    <t>['Blaze', 'Reckless'],0.25,0.5,1,1,1,1,0.5,2,1,0.5,2,0.5,1,1,2,1,0.5,2,123,5120,70,528,45,Mega Fire Pig PokÃ©mon,65,1059860,1.6,110,Enbuohã‚¨ãƒ³ãƒ–ã‚ªãƒ¼,Emboar,88.1,500,100,65,65,fire,fighting,150.0,5,0</t>
  </si>
  <si>
    <t>['Torrent', 'Shell Armor'],1,1,1,2,1,1,0.5,1,1,2,1,0.5,1,1,1,1,0.5,0.5,55,5120,70,308,45,Sea Otter PokÃ©mon,45,1059860,0.5,55,MijumaruãƒŸã‚¸ãƒ¥ãƒžãƒ«,Oshawott,88.1,501,63,45,45,water,,5.9,5,0</t>
  </si>
  <si>
    <t>['Torrent', 'Shell Armor'],1,1,1,2,1,1,0.5,1,1,2,1,0.5,1,1,1,1,0.5,0.5,75,5120,70,413,45,Discipline PokÃ©mon,60,1059860,0.8,75,Futachimaruãƒ•ã‚¿ãƒãƒžãƒ«,Dewott,88.1,502,83,60,60,water,,24.5,5,0</t>
  </si>
  <si>
    <t>['Torrent', 'Shell Armor'],1,1,1,2,1,1,0.5,1,1,2,1,0.5,1,1,1,1,0.5,0.5,100,5120,70,528,45,Formidable PokÃ©mon,85,1059860,1.5,95,Daikenkiãƒ€ã‚¤ã‚±ãƒ³ã‚­,Samurott,88.1,503,108,70,70,water,,94.6,5,0</t>
  </si>
  <si>
    <t>['Run Away', 'Keen Eye', 'Analytic'],1,1,1,1,1,2,1,1,0,1,1,1,1,1,1,1,1,1,55,3840,70,255,255,Scout PokÃ©mon,39,1000000,0.5,45,MinezumiãƒŸãƒã‚ºãƒŸ,Patrat,50,504,35,39,42,normal,,11.6,5,0</t>
  </si>
  <si>
    <t>['Illuminate', 'Keen Eye', 'Analytic'],1,1,1,1,1,2,1,1,0,1,1,1,1,1,1,1,1,1,85,5120,70,420,255,Lookout PokÃ©mon,69,1000000,1.1,60,MiruhogãƒŸãƒ«ãƒ›ãƒƒã‚°,Watchog,50,505,60,69,77,normal,,27.0,5,0</t>
  </si>
  <si>
    <t>['Vital Spirit', 'Pickup', 'Run Away'],1,1,1,1,1,2,1,1,0,1,1,1,1,1,1,1,1,1,60,3840,70,275,255,Puppy PokÃ©mon,45,1059860,0.4,45,Yorterrieãƒ¨ãƒ¼ãƒ†ãƒªãƒ¼,Lillipup,50,506,25,45,55,normal,,4.1,5,0</t>
  </si>
  <si>
    <t>['Intimidate', 'Sand Rush', 'Scrappy'],1,1,1,1,1,2,1,1,0,1,1,1,1,1,1,1,1,1,80,3840,70,370,120,Loyal Dog PokÃ©mon,65,1059860,0.9,65,Herderrieãƒãƒ¼ãƒ‡ãƒªã‚¢,Herdier,50,507,35,65,60,normal,,14.7,5,0</t>
  </si>
  <si>
    <t>['Intimidate', 'Sand Rush', 'Scrappy'],1,1,1,1,1,2,1,1,0,1,1,1,1,1,1,1,1,1,110,3840,70,500,45,Big-Hearted PokÃ©mon,90,1059860,1.2,85,Moolandãƒ ãƒ¼ãƒ©ãƒ³ãƒ‰,Stoutland,50,508,45,90,80,normal,,61.0,5,0</t>
  </si>
  <si>
    <t>['Limber', 'Unburden', 'Prankster'],2,0.5,1,1,2,2,1,1,0.5,1,1,1,1,1,0,1,1,1,50,5120,70,281,255,Devious PokÃ©mon,37,1000000,0.4,41,Choronekoãƒãƒ§ãƒ­ãƒã‚³,Purrloin,50,509,50,37,66,dark,,10.1,5,0</t>
  </si>
  <si>
    <t>['Limber', 'Unburden', 'Prankster'],2,0.5,1,1,2,2,1,1,0.5,1,1,1,1,1,0,1,1,1,88,5120,70,446,90,Cruel PokÃ©mon,50,1000000,1.1,64,Lepardasãƒ¬ãƒ‘ãƒ«ãƒ€ã‚¹,Liepard,50,510,88,50,106,dark,,37.5,5,0</t>
  </si>
  <si>
    <t>['Gluttony', 'Overgrow'],2,1,1,0.5,1,1,2,2,1,0.5,0.5,2,1,2,1,1,1,0.5,53,5120,70,316,190,Grass Monkey PokÃ©mon,48,1000000,0.6,50,Yanappuãƒ¤ãƒŠãƒƒãƒ—,Pansage,88.1,511,53,48,64,grass,,10.5,5,0</t>
  </si>
  <si>
    <t>['Gluttony', 'Overgrow'],2,1,1,0.5,1,1,2,2,1,0.5,0.5,2,1,2,1,1,1,0.5,98,5120,70,498,75,Thorn Monkey PokÃ©mon,63,1000000,1.1,75,Yanakkieãƒ¤ãƒŠãƒƒã‚­ãƒ¼,Simisage,88.1,512,98,63,101,grass,,30.5,5,0</t>
  </si>
  <si>
    <t>['Gluttony', 'Blaze'],0.5,1,1,1,0.5,1,0.5,1,1,0.5,2,0.5,1,1,1,2,0.5,2,53,5120,70,316,190,High Temp PokÃ©mon,48,1000000,0.6,50,Baoppuãƒã‚ªãƒƒãƒ—,Pansear,88.1,513,53,48,64,fire,,11.0,5,0</t>
  </si>
  <si>
    <t>['Gluttony', 'Blaze'],0.5,1,1,1,0.5,1,0.5,1,1,0.5,2,0.5,1,1,1,2,0.5,2,98,5120,70,498,75,Ember PokÃ©mon,63,1000000,1.0,75,Baokkieãƒã‚ªãƒƒã‚­ãƒ¼,Simisear,88.1,514,98,63,101,fire,,28.0,5,0</t>
  </si>
  <si>
    <t>['Gluttony', 'Torrent'],1,1,1,2,1,1,0.5,1,1,2,1,0.5,1,1,1,1,0.5,0.5,53,5120,70,316,190,Spray PokÃ©mon,48,1000000,0.6,50,Hiyappuãƒ’ãƒ¤ãƒƒãƒ—,Panpour,88.1,515,53,48,64,water,,13.5,5,0</t>
  </si>
  <si>
    <t>['Gluttony', 'Torrent'],1,1,1,2,1,1,0.5,1,1,2,1,0.5,1,1,1,1,0.5,0.5,98,5120,70,498,75,Geyser PokÃ©mon,63,1000000,1.0,75,Hiyakkieãƒ’ãƒ¤ãƒƒã‚­ãƒ¼,Simipour,88.1,516,98,63,101,water,,29.0,5,0</t>
  </si>
  <si>
    <t>['Forewarn', 'Synchronize', 'Telepathy'],2,2,1,1,1,0.5,1,1,2,1,1,1,1,1,0.5,1,1,1,25,2560,70,292,190,Dream Eater PokÃ©mon,45,800000,0.6,76,Munnaãƒ ãƒ³ãƒŠ,Munna,50,517,67,55,24,psychic,,23.3,5,0</t>
  </si>
  <si>
    <t>['Forewarn', 'Synchronize', 'Telepathy'],2,2,1,1,1,0.5,1,1,2,1,1,1,1,1,0.5,1,1,1,55,2560,70,487,75,Drowsing PokÃ©mon,85,800000,1.1,116,Musharnaãƒ ã‚·ãƒ£ãƒ¼ãƒŠ,Musharna,50,518,107,95,29,psychic,,60.5,5,0</t>
  </si>
  <si>
    <t>['Big Pecks', 'Super Luck', 'Rivalry'],0.5,1,1,2,1,1,1,1,0,0.5,0,2,1,1,1,2,1,1,55,3840,70,264,255,Tiny Pigeon PokÃ©mon,50,1059860,0.3,50,Mamepatoãƒžãƒ¡ãƒ‘ãƒˆ,Pidove,50,519,36,30,43,normal,flying,2.1,5,0</t>
  </si>
  <si>
    <t>['Big Pecks', 'Super Luck', 'Rivalry'],0.5,1,1,2,1,1,1,1,0,0.5,0,2,1,1,1,2,1,1,77,3840,70,358,120,Wild Pigeon PokÃ©mon,62,1059860,0.6,62,Hatobohãƒãƒˆãƒ¼ãƒœãƒ¼,Tranquill,50,520,50,42,65,normal,flying,15.0,5,0</t>
  </si>
  <si>
    <t>['Big Pecks', 'Super Luck', 'Rivalry'],0.5,1,1,2,1,1,1,1,0,0.5,0,2,1,1,1,2,1,1,115,3840,70,488,45,Proud PokÃ©mon,80,1059860,1.2,80,Kenhallowã‚±ãƒ³ãƒ›ãƒ­ã‚¦,Unfezant,50,521,65,55,93,normal,flying,29.0,5,0</t>
  </si>
  <si>
    <t>['Lightningrod', 'Motor Drive', 'Sap Sipper'],1,1,1,0.5,1,1,1,0.5,1,1,2,1,1,1,1,1,0.5,1,60,5120,70,295,190,Electrified PokÃ©mon,32,1000000,0.8,45,Shimamaã‚·ãƒžãƒž,Blitzle,50,522,50,32,76,electric,,29.8,5,0</t>
  </si>
  <si>
    <t>['Lightningrod', 'Motor Drive', 'Sap Sipper'],1,1,1,0.5,1,1,1,0.5,1,1,2,1,1,1,1,1,0.5,1,100,5120,70,497,75,Thunderbolt PokÃ©mon,63,1000000,1.6,75,Zebraikaã‚¼ãƒ–ãƒ©ã‚¤ã‚«,Zebstrika,50,523,80,63,116,electric,,79.5,5,0</t>
  </si>
  <si>
    <t>['Sturdy', 'Weak Armor', 'Sand Force'],1,1,1,1,1,2,0.5,0.5,1,2,2,1,0.5,0.5,1,1,2,2,75,3840,70,280,255,Mantle PokÃ©mon,85,1059860,0.4,55,Dangoroãƒ€ãƒ³ã‚´ãƒ­,Roggenrola,50,524,25,25,15,rock,,18.0,5,0</t>
  </si>
  <si>
    <t>['Sturdy', 'Weak Armor', 'Sand Force'],1,1,1,1,1,2,0.5,0.5,1,2,2,1,0.5,0.5,1,1,2,2,105,3840,70,390,120,Ore PokÃ©mon,105,1059860,0.9,70,Gantleã‚¬ãƒ³ãƒˆãƒ«,Boldore,50,525,50,40,20,rock,,102.0,5,0</t>
  </si>
  <si>
    <t>['Sturdy', 'Sand Stream', 'Sand Force'],1,1,1,1,1,2,0.5,0.5,1,2,2,1,0.5,0.5,1,1,2,2,135,3840,70,515,45,Compressed PokÃ©mon,130,1059860,1.7,85,Gigaiathã‚®ã‚¬ã‚¤ã‚¢ã‚¹,Gigalith,50,526,60,80,25,rock,,260.0,5,0</t>
  </si>
  <si>
    <t>['Unaware', 'Klutz', 'Simple'],1,2,1,2,1,0.25,1,1,2,0.5,0,2,1,1,0.5,2,1,1,45,3840,70,323,190,Bat PokÃ©mon,43,1000000,0.4,65,Koromoriã‚³ãƒ­ãƒ¢ãƒª,Woobat,50,527,55,43,72,psychic,flying,2.1,5,0</t>
  </si>
  <si>
    <t>['Unaware', 'Klutz', 'Simple'],1,2,1,2,1,0.25,1,1,2,0.5,0,2,1,1,0.5,2,1,1,57,3840,70,425,45,Courting PokÃ©mon,55,1000000,0.9,67,Kokoromoriã‚³ã‚³ãƒ­ãƒ¢ãƒª,Swoobat,50,528,77,55,114,psychic,flying,10.5,5,0</t>
  </si>
  <si>
    <t>['Sand Rush', 'Sand Force', 'Mold Breaker'],1,1,1,0,1,1,1,1,1,2,1,2,1,0.5,1,0.5,1,2,85,5120,70,328,120,Mole PokÃ©mon,40,1000000,0.3,60,Mogurewãƒ¢ã‚°ãƒªãƒ¥ãƒ¼,Drilbur,50,529,30,45,68,ground,,8.5,5,0</t>
  </si>
  <si>
    <t>['Sand Rush', 'Sand Force', 'Mold Breaker'],0.5,1,0.5,0,0.5,2,2,0.5,1,1,2,1,0.5,0,0.5,0.25,0.5,2,135,5120,70,508,60,Subterrene PokÃ©mon,60,1000000,0.7,110,Doryuzuãƒ‰ãƒªãƒ¥ã‚¦ã‚º,Excadrill,50,530,50,65,88,ground,steel,40.4,5,0</t>
  </si>
  <si>
    <t>['Healer', 'Regenerator', 'Klutz'],1,1,1,1,1,2,1,1,0,1,1,1,1,1,1,1,1,1,60,5120,70,545,255,Hearing PokÃ©mon,126,800000,1.1,103,Tabunneã‚¿ãƒ–ãƒ³ãƒ,Audino,50,531,80,126,50,normal,,31.0,5,0</t>
  </si>
  <si>
    <t>['Guts', 'Sheer Force', 'Iron Fist'],0.5,0.5,1,1,2,1,1,2,1,1,1,1,1,1,2,0.5,1,1,80,5120,70,305,180,Muscular PokÃ©mon,55,1059860,0.6,75,Dokkorerãƒ‰ãƒƒã‚³ãƒ©ãƒ¼,Timburr,75.4,532,25,35,35,fighting,,12.5,5,0</t>
  </si>
  <si>
    <t>['Guts', 'Sheer Force', 'Iron Fist'],0.5,0.5,1,1,2,1,1,2,1,1,1,1,1,1,2,0.5,1,1,105,5120,70,405,90,Muscular PokÃ©mon,85,1059860,1.2,85,Dotekkotsuãƒ‰ãƒ†ãƒƒã‚³ãƒ„,Gurdurr,75.4,533,40,50,40,fighting,,40.0,5,0</t>
  </si>
  <si>
    <t>['Guts', 'Sheer Force', 'Iron Fist'],0.5,0.5,1,1,2,1,1,2,1,1,1,1,1,1,2,0.5,1,1,140,5120,70,505,45,Muscular PokÃ©mon,95,1059860,1.4,105,Roubushinãƒ­ãƒ¼ãƒ–ã‚·ãƒ³,Conkeldurr,75.4,534,55,65,45,fighting,,87.0,5,0</t>
  </si>
  <si>
    <t>['Swift Swim', 'Hydration', 'Water Absorb'],1,1,1,2,1,1,0.5,1,1,2,1,0.5,1,1,1,1,0.5,0.5,50,5120,70,294,255,Tadpole PokÃ©mon,40,1059860,0.5,50,Otamaroã‚ªã‚¿ãƒžãƒ­,Tympole,50,535,50,40,64,water,,4.5,5,0</t>
  </si>
  <si>
    <t>['Swift Swim', 'Hydration', 'Water Absorb'],1,1,1,0,1,1,0.5,1,1,4,1,1,1,0.5,1,0.5,0.5,1,65,5120,70,384,120,Vibration PokÃ©mon,55,1059860,0.8,75,Gamagaruã‚¬ãƒžã‚¬ãƒ«,Palpitoad,50,536,65,55,69,water,ground,17.0,5,0</t>
  </si>
  <si>
    <t>['Swift Swim', 'Poison Touch', 'Water Absorb'],1,1,1,0,1,1,0.5,1,1,4,1,1,1,0.5,1,0.5,0.5,1,95,5120,70,509,45,Vibration PokÃ©mon,75,1059860,1.5,105,Gamagerogeã‚¬ãƒžã‚²ãƒ­ã‚²,Seismitoad,50,537,85,75,74,water,ground,62.0,5,0</t>
  </si>
  <si>
    <t>['Guts', 'Inner Focus', 'Mold Breaker'],0.5,0.5,1,1,2,1,1,2,1,1,1,1,1,1,2,0.5,1,1,100,5120,70,465,45,Judo PokÃ©mon,85,1000000,1.3,120,NagekiãƒŠã‚²ã‚­,Throh,100,538,30,85,45,fighting,,55.5,5,0</t>
  </si>
  <si>
    <t>['Sturdy', 'Inner Focus', 'Mold Breaker'],0.5,0.5,1,1,2,1,1,2,1,1,1,1,1,1,2,0.5,1,1,125,5120,70,465,45,Karate PokÃ©mon,75,1000000,1.4,75,Dagekiãƒ€ã‚²ã‚­,Sawk,100,539,30,75,85,fighting,,51.0,5,0</t>
  </si>
  <si>
    <t>['Swarm', 'Chlorophyll', 'Overcoat'],2,1,1,0.5,1,0.5,4,4,1,0.25,0.25,2,1,2,1,2,1,0.5,53,3840,70,310,255,Sewing PokÃ©mon,70,1059860,0.3,45,Kurumiruã‚¯ãƒ«ãƒŸãƒ«,Sewaddle,50,540,40,60,42,bug,grass,2.5,5,0</t>
  </si>
  <si>
    <t>['Leaf Guard', 'Chlorophyll', 'Overcoat'],2,1,1,0.5,1,0.5,4,4,1,0.25,0.25,2,1,2,1,2,1,0.5,63,3840,70,380,120,Leaf-Wrapped PokÃ©mon,90,1059860,0.5,55,Kurumayuã‚¯ãƒ«ãƒžãƒ¦,Swadloon,50,541,50,80,42,bug,grass,7.3,5,0</t>
  </si>
  <si>
    <t>['Swarm', 'Chlorophyll', 'Overcoat'],2,1,1,0.5,1,0.5,4,4,1,0.25,0.25,2,1,2,1,2,1,0.5,103,3840,70,500,45,Nurturing PokÃ©mon,80,1059860,1.2,75,Hahakomoriãƒãƒã‚³ãƒ¢ãƒª,Leavanny,50,542,70,80,92,bug,grass,20.5,5,0</t>
  </si>
  <si>
    <t>['Poison Point', 'Swarm', 'Speed Boost'],0.5,1,1,1,0.5,0.25,2,2,1,0.25,1,1,1,0.5,2,2,1,1,45,3840,70,260,255,Centipede PokÃ©mon,59,1059860,0.4,30,Fushideãƒ•ã‚·ãƒ‡,Venipede,50,543,30,39,57,bug,poison,5.3,5,0</t>
  </si>
  <si>
    <t>['Poison Point', 'Swarm', 'Speed Boost'],0.5,1,1,1,0.5,0.25,2,2,1,0.25,1,1,1,0.5,2,2,1,1,55,3840,70,360,120,Curlipede PokÃ©mon,99,1059860,1.2,40,Wheegaãƒ›ã‚¤ãƒ¼ã‚¬,Whirlipede,50,544,40,79,47,bug,poison,58.5,5,0</t>
  </si>
  <si>
    <t>['Poison Point', 'Swarm', 'Speed Boost'],0.5,1,1,1,0.5,0.25,2,2,1,0.25,1,1,1,0.5,2,2,1,1,100,5120,70,485,45,Megapede PokÃ©mon,89,1059860,2.5,60,Pendrorãƒšãƒ³ãƒ‰ãƒ©ãƒ¼,Scolipede,50,545,55,69,112,bug,poison,200.5,5,0</t>
  </si>
  <si>
    <t>['Prankster', 'Infiltrator', 'Chlorophyll'],1,0.5,0,0.5,1,0.5,2,2,1,0.5,0.5,2,1,4,1,1,2,0.5,27,5120,70,280,190,Cotton Puff PokÃ©mon,60,1000000,0.3,40,Monmenãƒ¢ãƒ³ãƒ¡ãƒ³,Cottonee,50,546,37,50,66,grass,fairy,0.6,5,0</t>
  </si>
  <si>
    <t>['Prankster', 'Infiltrator', 'Chlorophyll'],1,0.5,0,0.5,1,0.5,2,2,1,0.5,0.5,2,1,4,1,1,2,0.5,67,5120,70,480,75,Windveiled PokÃ©mon,85,1000000,0.7,60,Elfuunã‚¨ãƒ«ãƒ•ãƒ¼ãƒ³,Whimsicott,50,547,77,75,116,grass,fairy,6.6,5,0</t>
  </si>
  <si>
    <t>['Chlorophyll', 'Own Tempo', 'Leaf Guard'],2,1,1,0.5,1,1,2,2,1,0.5,0.5,2,1,2,1,1,1,0.5,35,5120,70,280,190,Bulb PokÃ©mon,50,1000000,0.5,45,Churineãƒãƒ¥ãƒªãƒ,Petilil,0,548,70,50,30,grass,,6.6,5,0</t>
  </si>
  <si>
    <t>['Chlorophyll', 'Own Tempo', 'Leaf Guard'],2,1,1,0.5,1,1,2,2,1,0.5,0.5,2,1,2,1,1,1,0.5,60,5120,70,480,75,Flowering PokÃ©mon,75,1000000,1.1,70,Dredearãƒ‰ãƒ¬ãƒ‡ã‚£ã‚¢,Lilligant,0,549,110,75,90,grass,,16.3,5,0</t>
  </si>
  <si>
    <t>['Reckless', 'Rock Head', 'Adaptability', 'Mold Breaker'],1,1,1,2,1,1,0.5,1,1,2,1,0.5,1,1,1,1,0.5,0.5,92,10240,70,460,25,Hostile PokÃ©mon,65,1000000,1.0,70,Bassraoãƒã‚¹ãƒ©ã‚ª,Basculin,50,550,80,55,98,water,,18.0,5,0</t>
  </si>
  <si>
    <t>['Intimidate', 'Moxie', 'Anger Point'],2,0.5,1,0,2,2,1,1,0.5,2,1,2,1,0.5,0,0.5,1,2,72,5120,70,292,180,Desert Croc PokÃ©mon,35,1059860,0.7,50,Megurocoãƒ¡ã‚°ãƒ­ã‚³,Sandile,50,551,35,35,65,ground,dark,15.2,5,0</t>
  </si>
  <si>
    <t>['Intimidate', 'Moxie', 'Anger Point'],2,0.5,1,0,2,2,1,1,0.5,2,1,2,1,0.5,0,0.5,1,2,82,5120,70,351,90,Desert Croc PokÃ©mon,45,1059860,1.0,60,Waruvileãƒ¯ãƒ«ãƒ“ãƒ«,Krokorok,50,552,45,45,74,ground,dark,33.4,5,0</t>
  </si>
  <si>
    <t>['Intimidate', 'Moxie', 'Anger Point'],2,0.5,1,0,2,2,1,1,0.5,2,1,2,1,0.5,0,0.5,1,2,117,5120,70,519,45,Intimidation PokÃ©mon,80,1059860,1.5,95,Waruvialãƒ¯ãƒ«ãƒ“ã‚¢ãƒ«,Krookodile,50,553,65,70,92,ground,dark,96.3,5,0</t>
  </si>
  <si>
    <t>['Hustle', 'Inner Focus'],0.5,1,1,1,0.5,1,0.5,1,1,0.5,2,0.5,1,1,1,2,0.5,2,90,5120,70,315,120,Zen Charm PokÃ©mon,45,1059860,0.6,70,Darumakkaãƒ€ãƒ«ãƒžãƒƒã‚«,Darumaka,50,554,15,45,50,fire,,37.5,5,0</t>
  </si>
  <si>
    <t>['Sheer Force', 'Zen Mode'],0.5,1,1,1,0.5,1,0.5,1,1,0.5,2,0.5,1,1,1,2,0.5,2,30,5120,70,540,60,Blazing PokÃ©mon,105,1059860,1.3,105,Hihidarumaãƒ’ãƒ’ãƒ€ãƒ«ãƒž,Darmanitan,50,555,140,105,55,fire,fire,92.9,5,0</t>
  </si>
  <si>
    <t>['Water Absorb', 'Chlorophyll', 'Storm Drain'],2,1,1,0.5,1,1,2,2,1,0.5,0.5,2,1,2,1,1,1,0.5,86,5120,70,461,255,Cactus PokÃ©mon,67,1000000,1.0,75,Maracacchiãƒžãƒ©ã‚«ãƒƒãƒ,Maractus,50,556,106,67,60,grass,,28.0,5,0</t>
  </si>
  <si>
    <t>['Sturdy', 'Shell Armor', 'Weak Armor'],1,1,1,1,1,1,1,1,1,1,1,1,0.5,0.5,1,2,2,2,65,5120,70,325,190,Rock Inn PokÃ©mon,85,1000000,0.3,50,Ishizumaiã‚¤ã‚·ã‚ºãƒžã‚¤,Dwebble,50,557,35,35,55,bug,rock,14.5,5,0</t>
  </si>
  <si>
    <t>['Sturdy', 'Shell Armor', 'Weak Armor'],1,1,1,1,1,1,1,1,1,1,1,1,0.5,0.5,1,2,2,2,105,5120,70,485,75,Stone Home PokÃ©mon,125,1000000,1.4,70,Iwapalaceã‚¤ãƒ¯ãƒ‘ãƒ¬ã‚¹,Crustle,50,558,65,75,45,bug,rock,200.0,5,0</t>
  </si>
  <si>
    <t>['Shed Skin', 'Moxie', 'Intimidate'],1,0.25,1,1,4,2,1,2,0.5,1,1,1,1,1,0,0.5,1,1,75,3840,35,348,180,Shedding PokÃ©mon,70,1000000,0.6,50,Zurugguã‚ºãƒ«ãƒƒã‚°,Scraggy,50,559,35,70,48,dark,fighting,11.8,5,0</t>
  </si>
  <si>
    <t>['Shed Skin', 'Moxie', 'Intimidate'],1,0.25,1,1,4,2,1,2,0.5,1,1,1,1,1,0,0.5,1,1,90,3840,70,488,90,Hoodlum PokÃ©mon,115,1000000,1.1,65,Zuruzukinã‚ºãƒ«ã‚ºã‚­ãƒ³,Scrafty,50,560,45,115,58,dark,fighting,30.0,5,0</t>
  </si>
  <si>
    <t>['Wonder Skin ', 'Magic Guard', 'Tinted Lens'],1,2,1,2,1,0.25,1,1,2,0.5,0,2,1,1,0.5,2,1,1,58,5120,70,490,45,Avianoid PokÃ©mon,80,1000000,1.4,72,Symbolerã‚·ãƒ³ãƒœãƒ©ãƒ¼,Sigilyph,50,561,103,80,97,psychic,flying,14.0,5,0</t>
  </si>
  <si>
    <t>['Mummy'],0.5,2,1,1,1,0,1,1,2,1,1,1,0,0.5,1,1,1,1,30,6400,70,303,190,Spirit PokÃ©mon,85,1000000,0.5,38,Desumasuãƒ‡ã‚¹ãƒžã‚¹,Yamask,50,562,55,65,30,ghost,,1.5,5,0</t>
  </si>
  <si>
    <t>['Mummy'],0.5,2,1,1,1,0,1,1,2,1,1,1,0,0.5,1,1,1,1,50,6400,70,483,90,Coffin PokÃ©mon,145,1000000,1.7,58,Desukarnãƒ‡ã‚¹ã‚«ãƒ¼ãƒ³,Cofagrigus,50,563,95,105,30,ghost,,76.5,5,0</t>
  </si>
  <si>
    <t>['Solid Rock', 'Sturdy', 'Swift Swim'],1,1,1,2,1,2,0.25,0.5,1,4,2,0.5,0.5,0.5,1,1,1,1,78,7680,70,355,45,Prototurtle PokÃ©mon,103,1000000,0.7,54,Protogaãƒ—ãƒ­ãƒˆãƒ¼ã‚¬,Tirtouga,88.1,564,53,45,22,water,rock,16.5,5,0</t>
  </si>
  <si>
    <t>['Solid Rock', 'Sturdy', 'Swift Swim'],1,1,1,2,1,2,0.25,0.5,1,4,2,0.5,0.5,0.5,1,1,1,1,108,7680,70,495,45,Prototurtle PokÃ©mon,133,1000000,1.2,74,Abagouraã‚¢ãƒã‚´ãƒ¼ãƒ©,Carracosta,88.1,565,83,65,32,water,rock,81.0,5,0</t>
  </si>
  <si>
    <t>['Defeatist'],0.5,1,1,2,1,1,0.5,0.5,1,1,0,2,0.5,0.5,1,2,2,2,112,7680,70,401,45,First Bird PokÃ©mon,45,1000000,0.5,55,Archenã‚¢ãƒ¼ã‚±ãƒ³,Archen,88.1,566,74,45,70,rock,flying,9.5,5,0</t>
  </si>
  <si>
    <t>['Defeatist'],0.5,1,1,2,1,1,0.5,0.5,1,1,0,2,0.5,0.5,1,2,2,2,140,7680,70,567,45,First Bird PokÃ©mon,65,1000000,1.4,75,Archeosã‚¢ãƒ¼ã‚±ã‚ªã‚¹,Archeops,88.1,567,112,65,110,rock,flying,32.0,5,0</t>
  </si>
  <si>
    <t>['Stench', 'Sticky Hold', 'Aftermath'],0.5,1,1,1,0.5,0.5,1,1,1,0.5,2,1,1,0.5,2,1,1,1,50,5120,70,329,190,Trash Bag PokÃ©mon,62,1000000,0.6,50,Yabukuronãƒ¤ãƒ–ã‚¯ãƒ­ãƒ³,Trubbish,50,568,40,62,65,poison,,31.0,5,0</t>
  </si>
  <si>
    <t>['Stench', 'Weak Armor', 'Aftermath'],0.5,1,1,1,0.5,0.5,1,1,1,0.5,2,1,1,0.5,2,1,1,1,95,5120,70,474,60,Trash Heap PokÃ©mon,82,1000000,1.9,80,Dustdasãƒ€ã‚¹ãƒˆãƒ€ã‚¹,Garbodor,50,569,60,82,75,poison,,107.3,5,0</t>
  </si>
  <si>
    <t>['Illusion'],2,0.5,1,1,2,2,1,1,0.5,1,1,1,1,1,0,1,1,1,65,6400,70,330,75,Tricky Fox PokÃ©mon,40,1059860,0.7,40,Zoruaã‚¾ãƒ­ã‚¢,Zorua,88.1,570,80,40,65,dark,,12.5,5,0</t>
  </si>
  <si>
    <t>['Illusion'],2,0.5,1,1,2,2,1,1,0.5,1,1,1,1,1,0,1,1,1,105,5120,70,510,45,Illusion Fox PokÃ©mon,60,1059860,1.6,60,Zoroarkã‚¾ãƒ­ã‚¢ãƒ¼ã‚¯,Zoroark,88.1,571,120,60,105,dark,,81.1,5,0</t>
  </si>
  <si>
    <t>['Cute Charm', 'Technician', 'Skill Link'],1,1,1,1,1,2,1,1,0,1,1,1,1,1,1,1,1,1,50,3840,70,300,255,Chinchilla PokÃ©mon,40,800000,0.4,55,Chillarmyãƒãƒ©ãƒ¼ãƒŸã‚£,Minccino,24.6,572,40,40,75,normal,,5.8,5,0</t>
  </si>
  <si>
    <t>['Cute Charm', 'Technician', 'Skill Link'],1,1,1,1,1,2,1,1,0,1,1,1,1,1,1,1,1,1,95,3840,70,470,60,Scarf PokÃ©mon,60,800000,0.5,75,Chillaccinoãƒãƒ©ãƒãƒ¼ãƒŽ,Cinccino,24.6,573,65,60,115,normal,,7.5,5,0</t>
  </si>
  <si>
    <t>['Frisk', 'Competitive', 'Shadow Tag'],2,2,1,1,1,0.5,1,1,2,1,1,1,1,1,0.5,1,1,1,30,5120,70,290,200,Fixation PokÃ©mon,50,1059860,0.4,45,Gothimuã‚´ãƒãƒ ,Gothita,24.6,574,55,65,45,psychic,,5.8,5,0</t>
  </si>
  <si>
    <t>['Frisk', 'Competitive', 'Shadow Tag'],2,2,1,1,1,0.5,1,1,2,1,1,1,1,1,0.5,1,1,1,45,5120,70,390,100,Manipulate PokÃ©mon,70,1059860,0.7,60,Gothimiruã‚´ãƒãƒŸãƒ«,Gothorita,24.6,575,75,85,55,psychic,,18.0,5,0</t>
  </si>
  <si>
    <t>['Frisk', 'Competitive', 'Shadow Tag'],2,2,1,1,1,0.5,1,1,2,1,1,1,1,1,0.5,1,1,1,55,5120,70,490,50,Astral Body PokÃ©mon,95,1059860,1.5,70,Gothiruselleã‚´ãƒãƒ«ã‚¼ãƒ«,Gothitelle,24.6,576,95,110,65,psychic,,44.0,5,0</t>
  </si>
  <si>
    <t>['Overcoat', 'Magic Guard', 'Regenerator'],2,2,1,1,1,0.5,1,1,2,1,1,1,1,1,0.5,1,1,1,30,5120,70,290,200,Cell PokÃ©mon,40,1059860,0.3,45,Uniranãƒ¦ãƒ‹ãƒ©ãƒ³,Solosis,50,577,105,50,20,psychic,,1.0,5,0</t>
  </si>
  <si>
    <t>['Overcoat', 'Magic Guard', 'Regenerator'],2,2,1,1,1,0.5,1,1,2,1,1,1,1,1,0.5,1,1,1,40,5120,70,370,100,Mitosis PokÃ©mon,50,1059860,0.6,65,Doublanãƒ€ãƒ–ãƒ©ãƒ³,Duosion,50,578,125,60,30,psychic,,8.0,5,0</t>
  </si>
  <si>
    <t>['Overcoat', 'Magic Guard', 'Regenerator'],2,2,1,1,1,0.5,1,1,2,1,1,1,1,1,0.5,1,1,1,65,5120,70,490,50,Multiplying PokÃ©mon,75,1059860,1.0,110,Lanculusãƒ©ãƒ³ã‚¯ãƒ«ã‚¹,Reuniclus,50,579,125,85,30,psychic,,20.1,5,0</t>
  </si>
  <si>
    <t>['Keen Eye', 'Big Pecks', 'Hydration'],0.5,1,1,4,1,0.5,0.5,1,1,1,0,1,1,1,1,2,0.5,0.5,44,5120,70,305,190,Water Bird PokÃ©mon,50,1000000,0.5,62,Koaruhieã‚³ã‚¢ãƒ«ãƒ’ãƒ¼,Ducklett,50,580,44,50,55,water,flying,5.5,5,0</t>
  </si>
  <si>
    <t>['Keen Eye', 'Big Pecks', 'Hydration'],0.5,1,1,4,1,0.5,0.5,1,1,1,0,1,1,1,1,2,0.5,0.5,87,5120,70,473,45,White Bird PokÃ©mon,63,1000000,1.3,75,Swannaã‚¹ãƒ¯ãƒ³ãƒŠ,Swanna,50,581,87,63,98,water,flying,24.2,5,0</t>
  </si>
  <si>
    <t>['Ice Body', 'Snow Cloak', 'Weak Armor'],1,1,1,1,1,2,2,1,1,1,1,0.5,1,1,1,2,2,1,50,5120,70,305,255,Fresh Snow PokÃ©mon,50,1250000,0.4,36,Vanipetiãƒãƒ‹ãƒ—ãƒƒãƒ,Vanillite,50,582,65,60,44,ice,,5.7,5,0</t>
  </si>
  <si>
    <t>['Ice Body', 'Snow Cloak', 'Weak Armor'],1,1,1,1,1,2,2,1,1,1,1,0.5,1,1,1,2,2,1,65,5120,70,395,120,Icy Snow PokÃ©mon,65,1250000,1.1,51,Vanirichãƒãƒ‹ãƒªãƒƒãƒ,Vanillish,50,583,80,75,59,ice,,41.0,5,0</t>
  </si>
  <si>
    <t>['Ice Body', 'Snow Warning', 'Weak Armor'],1,1,1,1,1,2,2,1,1,1,1,0.5,1,1,1,2,2,1,95,5120,70,535,45,Snowstorm PokÃ©mon,85,1250000,1.3,71,Baivanillaãƒã‚¤ãƒãƒ‹ãƒ©,Vanilluxe,50,584,110,95,79,ice,,57.5,5,0</t>
  </si>
  <si>
    <t>['Chlorophyll', 'Sap Sipper', 'Serene Grace'],2,1,1,0.5,1,2,2,2,0,0.5,0.5,2,1,2,1,1,1,0.5,60,5120,70,335,190,Season PokÃ©mon,50,1000000,0.6,60,Shikijikaã‚·ã‚­ã‚¸ã‚«,Deerling,50,585,40,50,75,normal,grass,19.5,5,0</t>
  </si>
  <si>
    <t>['Chlorophyll', 'Sap Sipper', 'Serene Grace'],2,1,1,0.5,1,2,2,2,0,0.5,0.5,2,1,2,1,1,1,0.5,100,5120,70,475,75,Season PokÃ©mon,70,1000000,1.9,80,Mebukijikaãƒ¡ãƒ–ã‚­ã‚¸ã‚«,Sawsbuck,50,586,60,70,95,normal,grass,92.5,5,0</t>
  </si>
  <si>
    <t>['Static', 'Motor Drive'],0.5,1,1,1,1,0.5,1,0.5,1,0.5,0,2,1,1,1,2,0.5,1,75,5120,70,428,200,Sky Squirrel PokÃ©mon,60,1000000,0.4,55,Emongaã‚¨ãƒ¢ãƒ³ã‚¬,Emolga,50,587,75,60,103,electric,flying,5.0,5,0</t>
  </si>
  <si>
    <t>['Swarm', 'Shed Skin', 'No Guard'],1,1,1,1,1,0.5,2,2,1,0.5,0.5,1,1,1,1,2,1,1,75,3840,70,315,200,Clamping PokÃ©mon,45,1000000,0.5,50,Kaburumoã‚«ãƒ–ãƒ«ãƒ¢,Karrablast,50,588,40,45,60,bug,,5.9,5,0</t>
  </si>
  <si>
    <t>['Swarm', 'Shell Armor', 'Overcoat'],0.5,1,0.5,1,0.5,1,4,1,1,0.25,1,0.5,0.5,0,0.5,1,0.5,1,135,3840,70,495,75,Cavalry PokÃ©mon,105,1000000,1.0,70,Chevargoã‚·ãƒ¥ãƒãƒ«ã‚´,Escavalier,50,589,60,105,20,bug,steel,33.0,5,0</t>
  </si>
  <si>
    <t>['Effect Spore', 'Regenerator'],1,1,1,0.5,0.5,0.5,2,2,1,0.25,1,2,1,1,2,1,1,0.5,55,5120,70,294,190,Mushroom PokÃ©mon,45,1000000,0.2,69,Tamagetakeã‚¿ãƒžã‚²ã‚¿ã‚±,Foongus,50,590,55,55,15,grass,poison,1.0,5,0</t>
  </si>
  <si>
    <t>['Effect Spore', 'Regenerator'],1,1,1,0.5,0.5,0.5,2,2,1,0.25,1,2,1,1,2,1,1,0.5,85,5120,70,464,75,Mushroom PokÃ©mon,70,1000000,0.6,114,Morobareruãƒ¢ãƒ­ãƒãƒ¬ãƒ«,Amoonguss,50,591,85,80,30,grass,poison,10.5,5,0</t>
  </si>
  <si>
    <t>['Water Absorb', 'Cursed Body', 'Damp'],0.5,2,1,2,1,0,0.5,1,2,2,1,0.5,0,0.5,1,1,0.5,0.5,40,5120,70,335,190,Floating PokÃ©mon,50,1000000,1.2,55,Pururillãƒ—ãƒ«ãƒªãƒ«,Frillish,50,592,65,85,40,water,ghost,33.0,5,0</t>
  </si>
  <si>
    <t>['Water Absorb', 'Cursed Body', 'Damp'],0.5,2,1,2,1,0,0.5,1,2,2,1,0.5,0,0.5,1,1,0.5,0.5,60,5120,70,480,60,Floating PokÃ©mon,70,1000000,2.2,100,Burungelãƒ–ãƒ«ãƒ³ã‚²ãƒ«,Jellicent,50,593,85,105,60,water,ghost,135.0,5,0</t>
  </si>
  <si>
    <t>['Healer', 'Hydration', 'Regenerator'],1,1,1,2,1,1,0.5,1,1,2,1,0.5,1,1,1,1,0.5,0.5,75,10240,70,470,75,Caring PokÃ©mon,80,800000,1.2,165,Mamanbouãƒžãƒžãƒ³ãƒœã‚¦,Alomomola,50,594,40,45,65,water,,31.6,5,0</t>
  </si>
  <si>
    <t>['Compoundeyes', 'Unnerve', 'Swarm'],1,1,1,0.5,1,0.5,2,1,1,0.5,1,1,1,1,1,2,0.5,1,47,5120,70,319,190,Attaching PokÃ©mon,50,1000000,0.1,50,Bachuruãƒãƒãƒ¥ãƒ«,Joltik,50,595,57,50,65,bug,electric,0.6,5,0</t>
  </si>
  <si>
    <t>['Compoundeyes', 'Unnerve', 'Swarm'],1,1,1,0.5,1,0.5,2,1,1,0.5,1,1,1,1,1,2,0.5,1,77,5120,70,472,75,EleSpider PokÃ©mon,60,1000000,0.8,70,Dentulaãƒ‡ãƒ³ãƒãƒ¥ãƒ©,Galvantula,50,596,97,60,108,bug,electric,14.3,5,0</t>
  </si>
  <si>
    <t>['Iron Barbs'],1,1,0.5,0.5,0.5,2,4,1,1,0.25,1,1,0.5,0,0.5,0.5,0.5,0.5,50,5120,70,305,255,Thorn Seed PokÃ©mon,91,1000000,0.6,44,Tesseedãƒ†ãƒƒã‚·ãƒ¼ãƒ‰,Ferroseed,50,597,24,86,10,grass,steel,18.8,5,0</t>
  </si>
  <si>
    <t>['Iron Barbs', 'Anticipation'],1,1,0.5,0.5,0.5,2,4,1,1,0.25,1,1,0.5,0,0.5,0.5,0.5,0.5,94,5120,70,489,90,Thorn Pod PokÃ©mon,131,1000000,1.0,74,NutreyãƒŠãƒƒãƒˆãƒ¬ã‚¤,Ferrothorn,50,598,54,116,20,grass,steel,110.0,5,0</t>
  </si>
  <si>
    <t>['Plus', 'Minus', 'Clear Body'],0.5,1,0.5,1,0.5,2,2,0.5,1,0.5,2,0.5,0.5,0,0.5,0.5,0.5,1,55,5120,70,300,130,Gear PokÃ©mon,70,1059860,0.3,40,Giaruã‚®ã‚¢ãƒ«,Klink,,599,45,60,30,steel,,21.0,5,0</t>
  </si>
  <si>
    <t>['Plus', 'Minus', 'Clear Body'],0.5,1,0.5,1,0.5,2,2,0.5,1,0.5,2,0.5,0.5,0,0.5,0.5,0.5,1,80,5120,70,440,60,Gear PokÃ©mon,95,1059860,0.6,60,Gigiaruã‚®ã‚®ã‚¢ãƒ«,Klang,,600,70,85,50,steel,,51.0,5,0</t>
  </si>
  <si>
    <t>['Plus', 'Minus', 'Clear Body'],0.5,1,0.5,1,0.5,2,2,0.5,1,0.5,2,0.5,0.5,0,0.5,0.5,0.5,1,100,5120,70,520,30,Gear PokÃ©mon,115,1059860,0.6,60,Gigigiaruã‚®ã‚®ã‚®ã‚¢ãƒ«,Klinklang,,601,70,85,90,steel,,81.0,5,0</t>
  </si>
  <si>
    <t>['Levitate'],1,1,1,0.5,1,1,1,0.5,1,1,2,1,1,1,1,1,0.5,1,55,5120,70,275,190,EleFish PokÃ©mon,40,1250000,0.2,35,Shibishirasuã‚·ãƒ“ã‚·ãƒ©ã‚¹,Tynamo,50,602,45,40,60,electric,,0.3,5,0</t>
  </si>
  <si>
    <t>['Levitate'],1,1,1,0.5,1,1,1,0.5,1,1,2,1,1,1,1,1,0.5,1,85,5120,70,405,60,EleFish PokÃ©mon,70,1250000,1.2,65,Shibibeelã‚·ãƒ“ãƒ“ãƒ¼ãƒ«,Eelektrik,50,603,75,70,40,electric,,22.0,5,0</t>
  </si>
  <si>
    <t>['Levitate'],1,1,1,0.5,1,1,1,0.5,1,1,2,1,1,1,1,1,0.5,1,115,5120,70,515,30,EleFish PokÃ©mon,80,1250000,2.1,85,Shibirudonã‚·ãƒ“ãƒ«ãƒ‰ãƒ³,Eelektross,50,604,105,80,50,electric,,80.5,5,0</t>
  </si>
  <si>
    <t>['Telepathy', 'Synchronize', 'Analytic'],2,2,1,1,1,0.5,1,1,2,1,1,1,1,1,0.5,1,1,1,55,5120,70,335,255,Cerebral PokÃ©mon,55,1000000,0.5,55,Ligrayãƒªã‚°ãƒ¬ãƒ¼,Elgyem,50,605,85,55,30,psychic,,9.0,5,0</t>
  </si>
  <si>
    <t>['Telepathy', 'Synchronize', 'Analytic'],2,2,1,1,1,0.5,1,1,2,1,1,1,1,1,0.5,1,1,1,75,5120,70,485,90,Cerebral PokÃ©mon,75,1000000,1.0,75,Ohbemã‚ªãƒ¼ãƒ™ãƒ ,Beheeyem,50,606,125,95,40,psychic,,34.5,5,0</t>
  </si>
  <si>
    <t>['Flash Fire', 'Flame Body', 'Infiltrator'],0.25,2,1,1,0.5,0,0.5,1,2,0.5,2,0.5,0,0.5,1,2,0.5,2,30,5120,70,275,190,Candle PokÃ©mon,55,1059860,0.3,50,Hitomoshiãƒ’ãƒˆãƒ¢ã‚·,Litwick,50,607,65,55,20,ghost,fire,3.1,5,0</t>
  </si>
  <si>
    <t>['Flash Fire', 'Flame Body', 'Infiltrator'],0.25,2,1,1,0.5,0,0.5,1,2,0.5,2,0.5,0,0.5,1,2,0.5,2,40,5120,70,370,90,Lamp PokÃ©mon,60,1059860,0.6,60,Lamplerãƒ©ãƒ³ãƒ—ãƒ©ãƒ¼,Lampent,50,608,95,60,55,ghost,fire,13.0,5,0</t>
  </si>
  <si>
    <t>['Flash Fire', 'Flame Body', 'Infiltrator'],0.25,2,1,1,0.5,0,0.5,1,2,0.5,2,0.5,0,0.5,1,2,0.5,2,55,5120,70,520,45,Luring PokÃ©mon,90,1059860,1.0,60,Chandelaã‚·ãƒ£ãƒ³ãƒ‡ãƒ©,Chandelure,50,609,145,90,80,ghost,fire,34.3,5,0</t>
  </si>
  <si>
    <t>['Rivalry', 'Mold Breaker', 'Unnerve'],1,1,2,0.5,2,1,0.5,1,1,0.5,1,2,1,1,1,1,1,0.5,87,10240,35,320,75,Tusk PokÃ©mon,60,1250000,0.6,46,Kibagoã‚­ãƒã‚´,Axew,50,610,30,40,57,dragon,,18.0,5,0</t>
  </si>
  <si>
    <t>['Rivalry', 'Mold Breaker', 'Unnerve'],1,1,2,0.5,2,1,0.5,1,1,0.5,1,2,1,1,1,1,1,0.5,117,10240,35,410,60,Axe Jaw PokÃ©mon,70,1250000,1.0,66,Onondoã‚ªãƒŽãƒ³ãƒ‰,Fraxure,50,611,40,50,67,dragon,,36.0,5,0</t>
  </si>
  <si>
    <t>['Rivalry', 'Mold Breaker', 'Unnerve'],1,1,2,0.5,2,1,0.5,1,1,0.5,1,2,1,1,1,1,1,0.5,147,10240,35,540,45,Axe Jaw PokÃ©mon,90,1250000,1.8,76,Ononokusã‚ªãƒŽãƒŽã‚¯ã‚¹,Haxorus,50,612,60,70,97,dragon,,105.5,5,0</t>
  </si>
  <si>
    <t>['Snow Cloak', 'Slush Rush', 'Rattled'],1,1,1,1,1,2,2,1,1,1,1,0.5,1,1,1,2,2,1,70,5120,70,305,120,Chill PokÃ©mon,40,1000000,0.5,55,Kumasyunã‚¯ãƒžã‚·ãƒ¥ãƒ³,Cubchoo,50,613,60,40,40,ice,,8.5,5,0</t>
  </si>
  <si>
    <t>['Snow Cloak', 'Slush Rush', 'Swift Swim'],1,1,1,1,1,2,2,1,1,1,1,0.5,1,1,1,2,2,1,130,5120,70,505,60,Freezing PokÃ©mon,80,1000000,2.6,95,Tunbearãƒ„ãƒ³ãƒ™ã‚¢ãƒ¼,Beartic,50,614,70,80,50,ice,,260.0,5,0</t>
  </si>
  <si>
    <t>['Levitate'],1,1,1,1,1,2,2,1,1,1,1,0.5,1,1,1,2,2,1,50,6400,70,515,25,Crystallizing PokÃ©mon,50,1000000,1.1,80,Freegeoãƒ•ãƒªãƒ¼ã‚¸ã‚ª,Cryogonal,,615,95,135,105,ice,,148.0,5,0</t>
  </si>
  <si>
    <t>['Hydration', 'Shell Armor', 'Overcoat'],1,1,1,1,1,0.5,2,2,1,0.5,0.5,1,1,1,1,2,1,1,40,3840,70,305,200,Snail PokÃ©mon,85,1000000,0.4,50,Chobomakiãƒãƒ§ãƒœãƒžã‚­,Shelmet,50,616,40,65,25,bug,,7.7,5,0</t>
  </si>
  <si>
    <t>['Hydration', 'Sticky Hold', 'Unburden'],1,1,1,1,1,0.5,2,2,1,0.5,0.5,1,1,1,1,2,1,1,70,3840,70,495,75,Shell Out PokÃ©mon,40,1000000,0.8,80,Agilderã‚¢ã‚®ãƒ«ãƒ€ãƒ¼,Accelgor,50,617,100,60,145,bug,,25.3,5,0</t>
  </si>
  <si>
    <t>['Static', 'Limber', 'Sand Veil'],1,1,1,0,1,1,1,0.5,1,2,2,2,1,0.5,1,0.5,0.5,2,66,5120,70,471,75,Trap PokÃ©mon,84,1000000,0.7,109,Maggyoãƒžãƒƒã‚®ãƒ§,Stunfisk,50,618,81,99,32,ground,electric,11.0,5,0</t>
  </si>
  <si>
    <t>['Inner Focus', 'Regenerator', 'Reckless'],0.5,0.5,1,1,2,1,1,2,1,1,1,1,1,1,2,0.5,1,1,85,6400,70,350,180,Martial Arts PokÃ©mon,50,1059860,0.9,45,Kojofuã‚³ã‚¸ãƒ§ãƒ•ãƒ¼,Mienfoo,50,619,55,50,65,fighting,,20.0,5,0</t>
  </si>
  <si>
    <t>['Inner Focus', 'Regenerator', 'Reckless'],0.5,0.5,1,1,2,1,1,2,1,1,1,1,1,1,2,0.5,1,1,125,6400,70,510,45,Martial Arts PokÃ©mon,60,1059860,1.4,65,Kojondoã‚³ã‚¸ãƒ§ãƒ³ãƒ‰,Mienshao,50,620,95,60,105,fighting,,35.5,5,0</t>
  </si>
  <si>
    <t>['Rough Skin', 'Sheer Force', 'Mold Breaker'],1,1,2,0.5,2,1,0.5,1,1,0.5,1,2,1,1,1,1,1,0.5,120,7680,70,485,45,Cave PokÃ©mon,90,1000000,1.6,77,Crimganã‚¯ãƒªãƒ ã‚¬ãƒ³,Druddigon,50,621,60,90,48,dragon,,139.0,5,0</t>
  </si>
  <si>
    <t>['Iron Fist', 'Klutz', 'No Guard'],0.5,2,1,0,1,0,1,1,2,2,1,2,0,0.25,1,0.5,1,2,74,6400,70,303,190,Automaton PokÃ©mon,50,1000000,1.0,59,Gobitã‚´ãƒ“ãƒƒãƒˆ,Golett,,622,35,50,35,ground,ghost,92.0,5,0</t>
  </si>
  <si>
    <t>['Iron Fist', 'Klutz', 'No Guard'],0.5,2,1,0,1,0,1,1,2,2,1,2,0,0.25,1,0.5,1,2,124,6400,70,483,90,Automaton PokÃ©mon,80,1000000,2.8,89,Goloogã‚´ãƒ«ãƒ¼ã‚°,Golurk,,623,55,80,55,ground,ghost,330.0,5,0</t>
  </si>
  <si>
    <t>['Defiant', 'Inner Focus', 'Pressure'],1,0.5,0.5,1,1,4,2,0.5,0.5,0.5,2,0.5,0.5,0,0,0.5,0.5,1,85,5120,35,340,120,Sharp Blade PokÃ©mon,70,1000000,0.5,45,Komatanaã‚³ãƒžã‚¿ãƒŠ,Pawniard,50,624,40,40,60,dark,steel,10.2,5,0</t>
  </si>
  <si>
    <t>['Defiant', 'Inner Focus', 'Pressure'],1,0.5,0.5,1,1,4,2,0.5,0.5,0.5,2,0.5,0.5,0,0,0.5,0.5,1,125,5120,35,490,45,Sword Blade PokÃ©mon,100,1000000,1.6,65,Kirikizanã‚­ãƒªã‚­ã‚¶ãƒ³,Bisharp,50,625,60,70,70,dark,steel,70.0,5,0</t>
  </si>
  <si>
    <t>['Reckless', 'Sap Sipper', 'Soundproof'],1,1,1,1,1,2,1,1,0,1,1,1,1,1,1,1,1,1,110,5120,70,490,45,Bash Buffalo PokÃ©mon,95,1000000,1.6,95,Buffronãƒãƒƒãƒ•ãƒ­ãƒ³,Bouffalant,50,626,40,95,55,normal,,94.6,5,0</t>
  </si>
  <si>
    <t>['Keen Eye', 'Sheer Force', 'Hustle'],0.5,1,1,2,1,1,1,1,0,0.5,0,2,1,1,1,2,1,1,83,5120,70,350,190,Eaglet PokÃ©mon,50,1250000,0.5,70,Washibonãƒ¯ã‚·ãƒœãƒ³,Rufflet,100,627,37,50,60,normal,flying,10.5,5,0</t>
  </si>
  <si>
    <t>['Keen Eye', 'Sheer Force', 'Defiant'],0.5,1,1,2,1,1,1,1,0,0.5,0,2,1,1,1,2,1,1,123,5120,70,510,60,Valiant PokÃ©mon,75,1250000,1.5,100,Warrgleã‚¦ã‚©ãƒ¼ã‚°ãƒ«,Braviary,100,628,57,75,80,normal,flying,41.0,5,0</t>
  </si>
  <si>
    <t>['Big Pecks', 'Overcoat', 'Weak Armor'],1,0.5,1,2,2,1,1,1,0.5,0.5,0,2,1,1,0,2,1,1,55,5120,35,370,190,Diapered PokÃ©mon,75,1250000,0.5,70,Valchaiãƒãƒ«ãƒãƒ£ã‚¤,Vullaby,0,629,45,65,60,dark,flying,9.0,5,0</t>
  </si>
  <si>
    <t>['Big Pecks', 'Overcoat', 'Weak Armor'],1,0.5,1,2,2,1,1,1,0.5,0.5,0,2,1,1,0,2,1,1,65,5120,35,510,60,Bone Vulture PokÃ©mon,105,1250000,1.2,110,Vulginaãƒãƒ«ã‚¸ãƒ¼ãƒŠ,Mandibuzz,0,630,55,95,80,dark,flying,39.5,5,0</t>
  </si>
  <si>
    <t>['Gluttony', 'Flash Fire', 'White Smoke'],0.5,1,1,1,0.5,1,0.5,1,1,0.5,2,0.5,1,1,1,2,0.5,2,97,5120,70,484,90,Anteater PokÃ©mon,66,1000000,1.4,85,Kuitaranã‚¯ã‚¤ã‚¿ãƒ©ãƒ³,Heatmor,50,631,105,66,65,fire,,58.0,5,0</t>
  </si>
  <si>
    <t>['Swarm', 'Hustle', 'Truant'],0.5,1,0.5,1,0.5,1,4,1,1,0.25,1,0.5,0.5,0,0.5,1,0.5,1,109,5120,70,484,90,Iron Ant PokÃ©mon,112,1000000,0.3,58,Aiantã‚¢ã‚¤ã‚¢ãƒ³ãƒˆ,Durant,50,632,48,48,109,bug,steel,33.0,5,0</t>
  </si>
  <si>
    <t>['Hustle'],2,0.5,2,0.5,4,2,0.5,1,0.5,0.5,1,2,1,1,0,1,1,0.5,65,10240,35,300,45,Irate PokÃ©mon,50,1250000,0.8,52,Monozuãƒ¢ãƒŽã‚º,Deino,50,633,45,50,38,dark,dragon,17.3,5,0</t>
  </si>
  <si>
    <t>['Hustle'],2,0.5,2,0.5,4,2,0.5,1,0.5,0.5,1,2,1,1,0,1,1,0.5,85,10240,35,420,45,Hostile PokÃ©mon,70,1250000,1.4,72,Diheadã‚¸ãƒ˜ãƒƒãƒ‰,Zweilous,50,634,65,70,58,dark,dragon,50.0,5,0</t>
  </si>
  <si>
    <t>['Levitate'],2,0.5,2,0.5,4,2,0.5,1,0.5,0.5,1,2,1,1,0,1,1,0.5,105,10240,35,600,45,Brutal PokÃ©mon,90,1250000,1.8,92,Sazandoraã‚µã‚¶ãƒ³ãƒ‰ãƒ©,Hydreigon,50,635,125,90,98,dark,dragon,160.0,5,0</t>
  </si>
  <si>
    <t>['Flame Body', 'Swarm'],0.5,1,1,1,0.5,0.5,1,2,1,0.25,1,0.5,1,1,1,4,0.5,2,85,10240,70,360,45,Torch PokÃ©mon,55,1250000,1.1,55,Merlarvaãƒ¡ãƒ©ãƒ«ãƒ,Larvesta,50,636,50,55,60,bug,fire,28.8,5,0</t>
  </si>
  <si>
    <t>['Flame Body', 'Swarm'],0.5,1,1,1,0.5,0.5,1,2,1,0.25,1,0.5,1,1,1,4,0.5,2,60,10240,70,550,15,Sun PokÃ©mon,65,1250000,1.6,85,Ulgamothã‚¦ãƒ«ã‚¬ãƒ¢ã‚¹,Volcarona,50,637,135,105,100,bug,fire,46.0,5,0</t>
  </si>
  <si>
    <t>['Justified'],0.25,0.5,0.5,1,1,2,2,1,1,0.5,2,0.5,0.5,0,1,0.25,0.5,1,90,20480,35,580,3,Iron Will PokÃ©mon,129,1250000,2.1,91,Cobalonã‚³ãƒãƒ«ã‚ªãƒ³,Cobalion,,638,90,72,108,steel,fighting,250.0,5,1</t>
  </si>
  <si>
    <t>['Justified'],0.5,0.5,1,1,2,2,0.5,1,1,2,2,1,0.5,0.5,2,0.5,2,2,129,20480,35,580,3,Cavern PokÃ©mon,90,1250000,1.9,91,Terrakionãƒ†ãƒ©ã‚­ã‚ªãƒ³,Terrakion,,639,72,90,108,rock,fighting,260.0,5,1</t>
  </si>
  <si>
    <t>['Justified'],1,0.5,1,0.5,2,1,2,4,1,0.5,0.5,2,1,2,2,0.5,1,0.5,90,20480,35,580,3,Grassland PokÃ©mon,72,1250000,2.0,91,Virizionãƒ“ãƒªã‚¸ã‚ªãƒ³,Virizion,,640,90,129,108,grass,fighting,200.0,5,1</t>
  </si>
  <si>
    <t>['Prankster', 'Defiant', 'Regenerator'],0.5,1,1,2,1,0.5,1,1,1,0.5,0,2,1,1,1,2,1,1,100,30720,90,580,3,Cyclone PokÃ©mon,80,1250000,1.5,79,Tornelos (keshin Forme)ãƒˆãƒ«ãƒãƒ­ã‚¹,Tornadus,100,641,110,90,121,flying,,63.0,5,1</t>
  </si>
  <si>
    <t>['Prankster', 'Defiant', 'Volt Absorb'],0.5,1,1,1,1,0.5,1,0.5,1,0.5,0,2,1,1,1,2,0.5,1,105,30720,90,580,3,Bolt Strike PokÃ©mon,70,1250000,1.5,79,Voltolos (keshin Forme)ãƒœãƒ«ãƒˆãƒ­ã‚¹,Thundurus,100,642,145,80,101,electric,flying,61.0,5,1</t>
  </si>
  <si>
    <t>['Turboblaze'],0.5,1,2,0.5,1,1,0.25,1,1,0.25,2,1,1,1,1,2,0.5,1,120,30720,0,680,3,Vast White PokÃ©mon,100,1250000,3.2,100,Reshiramãƒ¬ã‚·ãƒ©ãƒ ,Reshiram,,643,150,120,90,dragon,fire,330.0,5,1</t>
  </si>
  <si>
    <t>['Teravolt'],1,1,2,0.25,2,1,0.5,0.5,1,0.5,2,2,1,1,1,1,0.5,0.5,150,30720,0,680,3,Deep Black PokÃ©mon,120,1250000,2.9,100,Zekromã‚¼ã‚¯ãƒ­ãƒ ,Zekrom,,644,120,100,90,dragon,electric,345.0,5,1</t>
  </si>
  <si>
    <t>['Sand Force', 'Sheer Force', 'Intimidate'],0.5,1,1,0,1,0.5,1,1,1,1,0,4,1,0.5,1,1,1,2,145,30720,90,600,3,Abundance PokÃ©mon,90,1250000,1.5,89,Landlos (keshin Forme)ãƒ©ãƒ³ãƒ‰ãƒ­ã‚¹,Landorus,100,645,105,80,91,ground,flying,68.0,5,1</t>
  </si>
  <si>
    <t>['Pressure', 'Teravolt', 'Turboblaze'],1,1,2,0.5,2,2,1,1,1,0.5,1,1,1,1,1,2,2,0.5,120,30720,0,700,3,Boundary PokÃ©mon,90,1250000,3.0,125,Kyuremã‚­ãƒ¥ãƒ¬ãƒ ,Kyurem,,646,170,100,95,dragon,ice,325.0,5,1</t>
  </si>
  <si>
    <t>['Justified'],0.5,0.5,1,2,2,1,0.5,2,1,2,1,0.5,1,1,2,0.5,0.5,0.5,72,20480,35,580,3,Colt PokÃ©mon,90,1250000,1.4,91,Keldeo (itsumo No Sugata)ã‚±ãƒ«ãƒ‡ã‚£ã‚ª,Keldeo,,647,129,90,108,water,fighting,48.5,5,1</t>
  </si>
  <si>
    <t>['Serene Grace'],2,2,1,1,1,1,1,1,0,1,1,1,1,1,0.5,1,1,1,128,30720,100,600,3,Melody PokÃ©mon,90,1250000,0.6,100,Meloetta (step Forme)ãƒ¡ãƒ­ã‚¨ãƒƒã‚¿,Meloetta,,648,77,77,128,normal,psychic,6.5,5,1</t>
  </si>
  <si>
    <t>['Download'],0.5,1,0.5,1,0.5,1,4,1,1,0.25,1,0.5,0.5,0,0.5,1,0.5,1,120,30720,0,600,3,Paleozoic PokÃ©mon,95,1250000,1.5,71,Genesectã‚²ãƒŽã‚»ã‚¯ãƒˆ,Genesect,,649,120,95,99,bug,steel,82.5,5,1</t>
  </si>
  <si>
    <t>['Overgrow', 'Bulletproof'],2,1,1,0.5,1,1,2,2,1,0.5,0.5,2,1,2,1,1,1,0.5,61,5120,70,313,45,Spiky Nut PokÃ©mon,65,1059860,0.4,56,Harimaronãƒãƒªãƒžãƒ­ãƒ³,Chespin,88.1,650,48,45,38,grass,,9.0,6,0</t>
  </si>
  <si>
    <t>['Overgrow', 'Bulletproof'],2,1,1,0.5,1,1,2,2,1,0.5,0.5,2,1,2,1,1,1,0.5,78,5120,70,405,45,Spiny Armor PokÃ©mon,95,1059860,0.7,61,Hariborgãƒãƒªãƒœãƒ¼ã‚°,Quilladin,88.1,651,56,58,57,grass,,29.0,6,0</t>
  </si>
  <si>
    <t>['Overgrow', 'Bulletproof'],1,0.5,1,0.5,2,1,2,4,1,0.5,0.5,2,1,2,2,0.5,1,0.5,107,5120,70,530,45,Spiny Armor PokÃ©mon,122,1059860,1.6,88,Brigarronãƒ–ãƒªã‚¬ãƒ­ãƒ³,Chesnaught,88.1,652,74,75,64,grass,fighting,90.0,6,0</t>
  </si>
  <si>
    <t>['Blaze', 'Magician'],0.5,1,1,1,0.5,1,0.5,1,1,0.5,2,0.5,1,1,1,2,0.5,2,45,5120,70,307,45,Fox PokÃ©mon,40,1059860,0.4,40,Fokkoãƒ•ã‚©ãƒƒã‚³,Fennekin,88.1,653,62,60,60,fire,,9.4,6,0</t>
  </si>
  <si>
    <t>['Blaze', 'Magician'],0.5,1,1,1,0.5,1,0.5,1,1,0.5,2,0.5,1,1,1,2,0.5,2,59,5120,70,409,45,Fox PokÃ©mon,58,1059860,1.0,59,Tairenarãƒ†ãƒ¼ãƒ«ãƒŠãƒ¼,Braixen,88.1,654,90,70,73,fire,,14.5,6,0</t>
  </si>
  <si>
    <t>['Blaze', 'Magician'],1,2,1,1,0.5,0.5,0.5,1,2,0.5,2,0.5,1,1,0.5,2,0.5,2,69,5120,70,534,45,Fox PokÃ©mon,72,1059860,1.5,75,Mahoxyãƒžãƒ•ã‚©ã‚¯ã‚·ãƒ¼,Delphox,88.1,655,114,100,104,fire,psychic,39.0,6,0</t>
  </si>
  <si>
    <t>['Torrent', 'Protean'],1,1,1,2,1,1,0.5,1,1,2,1,0.5,1,1,1,1,0.5,0.5,56,5120,70,314,45,Bubble Frog PokÃ©mon,40,1059860,0.3,41,Keromatsuã‚±ãƒ­ãƒžãƒ„,Froakie,88.1,656,62,44,71,water,,7.0,6,0</t>
  </si>
  <si>
    <t>['Torrent', 'Protean'],1,1,1,2,1,1,0.5,1,1,2,1,0.5,1,1,1,1,0.5,0.5,63,5120,70,405,45,Bubble Frog PokÃ©mon,52,1059860,0.6,54,Gekogashiraã‚²ã‚³ã‚¬ã‚·ãƒ©,Frogadier,88.1,657,83,56,97,water,,10.9,6,0</t>
  </si>
  <si>
    <t>['Torrent', 'Protean', 'Battle Bond'],2,0.5,1,2,2,2,0.5,1,0.5,2,1,0.5,1,1,0,1,0.5,0.5,145,5120,70,640,45,Ninja PokÃ©mon,67,1059860,1.5,72,Gekkougaã‚²ãƒƒã‚³ã‚¦ã‚¬,Greninja,88.1,658,153,71,132,water,dark,40.0,6,0</t>
  </si>
  <si>
    <t>['Pickup', 'Cheek Pouch', 'Huge Power'],1,1,1,1,1,2,1,1,0,1,1,1,1,1,1,1,1,1,36,3840,70,237,255,Digging PokÃ©mon,38,1000000,0.4,38,Horubeeãƒ›ãƒ«ãƒ“ãƒ¼,Bunnelby,50,659,32,36,57,normal,,5.0,6,0</t>
  </si>
  <si>
    <t>['Pickup', 'Cheek Pouch', 'Huge Power'],1,1,1,0,1,2,1,1,0,2,1,2,1,0.5,1,0.5,1,2,56,3840,70,423,127,Digging PokÃ©mon,77,1000000,1.0,85,Horudoãƒ›ãƒ«ãƒ¼ãƒ‰,Diggersby,50,660,50,77,78,normal,ground,42.4,6,0</t>
  </si>
  <si>
    <t>['Big Pecks', 'Gale Wings'],0.5,1,1,2,1,1,1,1,0,0.5,0,2,1,1,1,2,1,1,50,3840,70,278,255,Tiny Robin PokÃ©mon,43,1059860,0.3,45,Yayakomaãƒ¤ãƒ¤ã‚³ãƒž,Fletchling,50,661,40,38,62,normal,flying,1.7,6,0</t>
  </si>
  <si>
    <t>['Flame Body', 'Gale Wings'],0.25,1,1,2,0.5,0.5,0.5,1,1,0.25,0,1,1,1,1,4,0.5,2,73,3840,70,382,120,Ember PokÃ©mon,55,1059860,0.7,62,Hinoyakomaãƒ’ãƒŽãƒ¤ã‚³ãƒž,Fletchinder,50,662,56,52,84,fire,flying,16.0,6,0</t>
  </si>
  <si>
    <t>['Flame Body', 'Gale Wings'],0.25,1,1,2,0.5,0.5,0.5,1,1,0.25,0,1,1,1,1,4,0.5,2,81,3840,70,499,45,Scorching PokÃ©mon,71,1059860,1.2,78,Fiarrowãƒ•ã‚¡ã‚¤ã‚¢ãƒ­ãƒ¼,Talonflame,50,663,74,69,126,fire,flying,24.5,6,0</t>
  </si>
  <si>
    <t>['Shield Dust', 'Compoundeyes', 'Friend Guard'],1,1,1,1,1,0.5,2,2,1,0.5,0.5,1,1,1,1,2,1,1,35,3840,70,200,255,Scatterdust PokÃ©mon,40,1000000,0.3,38,Kofukimushiã‚³ãƒ•ã‚­ãƒ ã‚·,Scatterbug,50,664,27,25,35,bug,,2.5,6,0</t>
  </si>
  <si>
    <t>['Shed Skin', 'Friend Guard'],1,1,1,1,1,0.5,2,2,1,0.5,0.5,1,1,1,1,2,1,1,22,3840,70,213,120,Scatterdust PokÃ©mon,60,1000000,0.3,45,Kofuuraiã‚³ãƒ•ãƒ¼ãƒ©ã‚¤,Spewpa,50,665,27,30,29,bug,,8.4,6,0</t>
  </si>
  <si>
    <t>['Shield Dust', 'Compoundeyes', 'Friend Guard'],0.5,1,1,2,1,0.25,2,2,1,0.25,0,2,1,1,1,4,1,1,52,3840,70,411,45,Scale PokÃ©mon,50,1000000,1.2,80,Viviyonãƒ“ãƒ“ãƒ¨ãƒ³,Vivillon,50,666,90,50,89,bug,flying,17.0,6,0</t>
  </si>
  <si>
    <t>['Rivalry', 'Unnerve', 'Moxie'],0.5,1,1,1,0.5,2,0.5,1,0,0.5,2,0.5,1,1,1,2,0.5,2,50,5120,70,369,220,Lion Cub PokÃ©mon,58,1059860,0.6,62,Shishikoã‚·ã‚·ã‚³,Litleo,11.2,667,73,54,72,fire,normal,13.5,6,0</t>
  </si>
  <si>
    <t>['Rivalry', 'Unnerve', 'Moxie'],0.5,1,1,1,0.5,2,0.5,1,0,0.5,2,0.5,1,1,1,2,0.5,2,68,5120,70,507,65,Royal PokÃ©mon,72,1059860,1.5,86,Kaenjishiã‚«ã‚¨ãƒ³ã‚¸ã‚·,Pyroar,11.2,668,109,66,106,fire,normal,81.5,6,0</t>
  </si>
  <si>
    <t>['Flower Veil', 'Symbiosis'],0.5,0.5,0,1,1,0.5,1,1,1,1,1,1,1,2,1,1,2,1,38,5120,70,303,225,Single Bloom PokÃ©mon,39,1000000,0.1,44,Flabebeãƒ•ãƒ©ãƒ™ãƒ™,FlabÃ©bÃ©,0,669,61,79,42,fairy,,0.1,6,0</t>
  </si>
  <si>
    <t>['Flower Veil', 'Symbiosis'],0.5,0.5,0,1,1,0.5,1,1,1,1,1,1,1,2,1,1,2,1,65,5120,70,551,120,Fairy PokÃ©mon,67,1000000,0.2,74,Floetteãƒ•ãƒ©ã‚¨ãƒƒãƒ†,Floette,0,670,125,128,92,fairy,,0.9,6,0</t>
  </si>
  <si>
    <t>['Flower Veil', 'Symbiosis'],0.5,0.5,0,1,1,0.5,1,1,1,1,1,1,1,2,1,1,2,1,65,5120,70,552,45,Garden PokÃ©mon,68,1000000,1.1,78,Florgesãƒ•ãƒ©ãƒ¼ã‚¸ã‚§ã‚¹,Florges,0,671,112,154,75,fairy,,10.0,6,0</t>
  </si>
  <si>
    <t>['Sap Sipper', 'Grass Pelt'],2,1,1,0.5,1,1,2,2,1,0.5,0.5,2,1,2,1,1,1,0.5,65,5120,70,350,200,Mount PokÃ©mon,48,1000000,0.9,66,Meecleãƒ¡ã‚§ãƒ¼ã‚¯ãƒ«,Skiddo,50,672,62,57,52,grass,,31.0,6,0</t>
  </si>
  <si>
    <t>['Sap Sipper', 'Grass Pelt'],2,1,1,0.5,1,1,2,2,1,0.5,0.5,2,1,2,1,1,1,0.5,100,5120,70,531,45,Mount PokÃ©mon,62,1000000,1.7,123,Gogoatã‚´ãƒ¼ã‚´ãƒ¼ãƒˆ,Gogoat,50,673,97,81,68,grass,,91.0,6,0</t>
  </si>
  <si>
    <t>['Iron Fist', 'Mold Breaker', 'Scrappy'],0.5,0.5,1,1,2,1,1,2,1,1,1,1,1,1,2,0.5,1,1,82,6400,70,348,220,Playful PokÃ©mon,62,1000000,0.6,67,Yanchamãƒ¤ãƒ³ãƒãƒ£ãƒ ,Pancham,50,674,46,48,43,fighting,,8.0,6,0</t>
  </si>
  <si>
    <t>['Iron Fist', 'Mold Breaker', 'Scrappy'],1,0.25,1,1,4,2,1,2,0.5,1,1,1,1,1,0,0.5,1,1,124,6400,70,495,65,Daunting PokÃ©mon,78,1000000,2.1,95,Gorondaã‚´ãƒ­ãƒ³ãƒ€,Pangoro,50,675,69,71,58,fighting,dark,136.0,6,0</t>
  </si>
  <si>
    <t>['Fur Coat'],1,1,1,1,1,2,1,1,0,1,1,1,1,1,1,1,1,1,80,5120,70,472,160,Poodle PokÃ©mon,60,1000000,1.2,75,TrimmienãƒˆãƒªãƒŸã‚¢ãƒ³,Furfrou,50,676,65,90,102,normal,,28.0,6,0</t>
  </si>
  <si>
    <t>['Keen Eye', 'Infiltrator', 'Own Tempo'],2,2,1,1,1,0.5,1,1,2,1,1,1,1,1,0.5,1,1,1,48,5120,70,355,190,Restraint PokÃ©mon,54,1000000,0.3,62,Nyasperãƒ‹ãƒ£ã‚¹ãƒ‘ãƒ¼,Espurr,50,677,63,60,68,psychic,,3.5,6,0</t>
  </si>
  <si>
    <t>['Keen Eye', 'Infiltrator', 'Prankster', 'Competitive'],2,2,1,1,1,0.5,1,1,2,1,1,1,1,1,0.5,1,1,1,48,5120,70,466,75,Constraint PokÃ©mon,76,1000000,0.6,74,Nyaonixãƒ‹ãƒ£ã‚ªãƒ‹ã‚¯ã‚¹,Meowstic,50,678,83,81,104,psychic,,8.5,6,0</t>
  </si>
  <si>
    <t>['No Guard'],0.25,2,0.5,1,0.5,0,2,0.5,2,0.5,2,0.5,0,0,0.5,0.5,0.5,1,80,5120,70,325,180,Sword PokÃ©mon,100,1000000,0.8,45,Hitotsukiãƒ’ãƒˆãƒ„ã‚­,Honedge,50,679,35,37,28,steel,ghost,2.0,6,0</t>
  </si>
  <si>
    <t>['No Guard'],0.25,2,0.5,1,0.5,0,2,0.5,2,0.5,2,0.5,0,0,0.5,0.5,0.5,1,110,5120,70,448,90,Sword PokÃ©mon,150,1000000,0.8,59,Nidangillãƒ‹ãƒ€ãƒ³ã‚®ãƒ«,Doublade,50,680,45,49,35,steel,ghost,4.5,6,0</t>
  </si>
  <si>
    <t>['Stance Change'],0.25,2,0.5,1,0.5,0,2,0.5,2,0.5,2,0.5,0,0,0.5,0.5,0.5,1,150,5120,70,520,45,Royal Sword PokÃ©mon,50,1000000,1.7,60,Gillgardã‚®ãƒ«ã‚¬ãƒ«ãƒ‰,Aegislash,50,681,150,50,60,steel,ghost,53.0,6,0</t>
  </si>
  <si>
    <t>['Healer', 'Aroma Veil'],0.5,0.5,0,1,1,0.5,1,1,1,1,1,1,1,2,1,1,2,1,52,5120,70,341,200,Perfume PokÃ©mon,60,1000000,0.2,78,Shushupuã‚·ãƒ¥ã‚·ãƒ¥ãƒ—,Spritzee,50,682,63,65,23,fairy,,0.5,6,0</t>
  </si>
  <si>
    <t>['Healer', 'Aroma Veil'],0.5,0.5,0,1,1,0.5,1,1,1,1,1,1,1,2,1,1,2,1,72,5120,70,462,140,Fragrance PokÃ©mon,72,1000000,0.8,101,Frefuwanãƒ•ãƒ¬ãƒ•ãƒ¯ãƒ³,Aromatisse,50,683,99,89,29,fairy,,15.5,6,0</t>
  </si>
  <si>
    <t>['Sweet Veil', 'Unburden'],0.5,0.5,0,1,1,0.5,1,1,1,1,1,1,1,2,1,1,2,1,48,5120,70,341,200,Cotton Candy PokÃ©mon,66,1000000,0.4,62,Peroppafuãƒšãƒ­ãƒƒãƒ‘ãƒ•,Swirlix,50,684,59,57,49,fairy,,3.5,6,0</t>
  </si>
  <si>
    <t>['Sweet Veil', 'Unburden'],0.5,0.5,0,1,1,0.5,1,1,1,1,1,1,1,2,1,1,2,1,80,5120,70,480,140,Meringue PokÃ©mon,86,1000000,0.8,82,Peroreamãƒšãƒ­ãƒªãƒ¼ãƒ ,Slurpuff,50,685,85,75,72,fairy,,5.0,6,0</t>
  </si>
  <si>
    <t>['Contrary', 'Suction Cups', 'Infiltrator'],4,1,1,1,2,1,1,1,1,1,1,1,1,1,0,1,1,1,54,5120,70,288,190,Revolving PokÃ©mon,53,1000000,0.4,53,Maaiikaãƒžãƒ¼ã‚¤ãƒ¼ã‚«,Inkay,50,686,37,46,45,dark,psychic,3.5,6,0</t>
  </si>
  <si>
    <t>['Contrary', 'Suction Cups', 'Infiltrator'],4,1,1,1,2,1,1,1,1,1,1,1,1,1,0,1,1,1,92,5120,70,482,80,Overturning PokÃ©mon,88,1000000,1.5,86,Calamaneroã‚«ãƒ©ãƒžãƒãƒ­,Malamar,50,687,68,75,73,dark,psychic,47.0,6,0</t>
  </si>
  <si>
    <t>['Tough Claws', 'Sniper', 'Pickpocket'],1,1,1,2,1,2,0.25,0.5,1,4,2,0.5,0.5,0.5,1,1,1,1,52,5120,70,306,120,Two-Handed PokÃ©mon,67,1000000,0.5,42,Kameteteã‚«ãƒ¡ãƒ†ãƒ†,Binacle,50,688,39,56,50,rock,water,31.0,6,0</t>
  </si>
  <si>
    <t>['Tough Claws', 'Sniper', 'Pickpocket'],1,1,1,2,1,2,0.25,0.5,1,4,2,0.5,0.5,0.5,1,1,1,1,105,5120,70,500,45,Collective PokÃ©mon,115,1000000,1.3,72,Gamenodesã‚¬ãƒ¡ãƒŽãƒ‡ã‚¹,Barbaracle,50,689,54,86,68,rock,water,96.0,6,0</t>
  </si>
  <si>
    <t>['Poison Point', 'Poison Touch', 'Adaptability'],0.5,1,1,2,0.5,0.5,0.5,1,1,1,2,0.5,1,0.5,2,1,0.5,0.5,60,5120,70,320,225,Mock Kelp PokÃ©mon,60,1000000,0.5,50,Kuzumoã‚¯ã‚ºãƒ¢ãƒ¼,Skrelp,50,690,60,60,30,poison,water,7.3,6,0</t>
  </si>
  <si>
    <t>['Poison Point', 'Poison Touch', 'Adaptability'],0.5,1,2,0.5,1,0.5,0.5,1,1,0.25,2,2,1,0.5,2,1,1,0.5,75,5120,70,494,55,Mock Kelp PokÃ©mon,90,1000000,1.8,65,Dramidoroãƒ‰ãƒ©ãƒŸãƒ‰ãƒ­,Dragalge,50,691,97,123,44,poison,dragon,81.5,6,0</t>
  </si>
  <si>
    <t>['Mega Launcher'],1,1,1,2,1,1,0.5,1,1,2,1,0.5,1,1,1,1,0.5,0.5,53,3840,70,330,225,Water Gun PokÃ©mon,62,1250000,0.5,50,Udeppouã‚¦ãƒ‡ãƒƒãƒã‚¦,Clauncher,50,692,58,63,44,water,,8.3,6,0</t>
  </si>
  <si>
    <t>['Mega Launcher'],1,1,1,2,1,1,0.5,1,1,2,1,0.5,1,1,1,1,0.5,0.5,73,3840,70,500,55,Howitzer PokÃ©mon,88,1250000,1.3,71,Blosterãƒ–ãƒ­ã‚¹ã‚¿ãƒ¼,Clawitzer,50,693,120,89,59,water,,35.3,6,0</t>
  </si>
  <si>
    <t>['Dry Skin', 'Sand Veil', 'Solar Power'],1,1,1,0.5,1,2,1,0.5,0,1,2,1,1,1,1,1,0.5,1,38,5120,70,289,190,Generator PokÃ©mon,33,1000000,0.5,44,Erikiteruã‚¨ãƒªã‚­ãƒ†ãƒ«,Helioptile,50,694,61,43,70,electric,normal,6.0,6,0</t>
  </si>
  <si>
    <t>['Dry Skin', 'Sand Veil', 'Solar Power'],1,1,1,0.5,1,2,1,0.5,0,1,2,1,1,1,1,1,0.5,1,55,5120,70,481,75,Generator PokÃ©mon,52,1000000,1.0,62,Elezardã‚¨ãƒ¬ã‚¶ãƒ¼ãƒ‰,Heliolisk,50,695,109,94,109,electric,normal,21.0,6,0</t>
  </si>
  <si>
    <t>['Strong Jaw', 'Sturdy'],1,1,2,0.5,2,2,0.25,0.5,1,1,2,2,0.5,0.5,1,1,2,1,89,7680,70,362,45,Royal Heir PokÃ©mon,77,1000000,0.8,58,Chigorasãƒã‚´ãƒ©ã‚¹,Tyrunt,88.1,696,45,45,48,rock,dragon,26.0,6,0</t>
  </si>
  <si>
    <t>['Strong Jaw', 'Rock Head'],1,1,2,0.5,2,2,0.25,0.5,1,1,2,2,0.5,0.5,1,1,2,1,121,7680,70,521,45,Despot PokÃ©mon,119,1000000,2.5,82,Gachigorasã‚¬ãƒã‚´ãƒ©ã‚¹,Tyrantrum,88.1,697,69,59,71,rock,dragon,270.0,6,0</t>
  </si>
  <si>
    <t>['Refrigerate', 'Snow Warning'],1,1,1,1,1,4,1,0.5,1,2,2,0.5,0.5,0.5,1,2,4,2,59,7680,70,362,45,Tundra PokÃ©mon,50,1000000,1.3,77,Amarusã‚¢ãƒžãƒ«ã‚¹,Amaura,88.1,698,67,63,46,rock,ice,25.2,6,0</t>
  </si>
  <si>
    <t>['Refrigerate', 'Snow Warning'],1,1,1,1,1,4,1,0.5,1,2,2,0.5,0.5,0.5,1,2,4,2,77,7680,70,521,45,Tundra PokÃ©mon,72,1000000,2.7,123,Amarurugaã‚¢ãƒžãƒ«ãƒ«ã‚¬,Aurorus,88.1,699,99,92,58,rock,ice,225.0,6,0</t>
  </si>
  <si>
    <t>['Cute Charm', 'Pixilate'],0.5,0.5,0,1,1,0.5,1,1,1,1,1,1,1,2,1,1,2,1,65,8960,70,525,45,Intertwining PokÃ©mon,65,1000000,1.0,95,Nymphiaãƒ‹ãƒ³ãƒ•ã‚£ã‚¢,Sylveon,88.1,700,110,130,60,fairy,,23.5,6,0</t>
  </si>
  <si>
    <t>['Limber', 'Unburden', 'Mold Breaker'],0.25,0.5,1,2,2,0.5,1,2,1,0.5,0,2,1,1,2,1,1,1,92,5120,70,500,100,Wrestling PokÃ©mon,75,1000000,0.8,78,Luchabullãƒ«ãƒãƒ£ãƒ–ãƒ«,Hawlucha,50,701,74,63,118,fighting,flying,21.5,6,0</t>
  </si>
  <si>
    <t>['Cheek Pouch', 'Pickup', 'Plus'],0.5,0.5,0,0.5,1,0.5,1,0.5,1,1,2,1,1,2,1,1,1,1,58,5120,70,431,180,Antenna PokÃ©mon,57,1000000,0.2,67,Dedenneãƒ‡ãƒ‡ãƒ³ãƒ,Dedenne,50,702,81,67,101,electric,fairy,2.2,6,0</t>
  </si>
  <si>
    <t>['Clear Body', 'Sturdy'],0.5,0.5,0,1,1,1,0.5,0.5,1,2,2,1,0.5,1,1,1,4,2,50,6400,70,500,60,Jewel PokÃ©mon,150,1250000,0.3,50,Melecieãƒ¡ãƒ¬ã‚·ãƒ¼,Carbink,,703,50,150,50,rock,fairy,5.7,6,0</t>
  </si>
  <si>
    <t>['Sap Sipper', 'Hydration', 'Gooey'],1,1,2,0.5,2,1,0.5,1,1,0.5,1,2,1,1,1,1,1,0.5,50,10240,35,300,45,Soft Tissue PokÃ©mon,35,1250000,0.3,45,NumeraãƒŒãƒ¡ãƒ©,Goomy,50,704,55,75,40,dragon,,2.8,6,0</t>
  </si>
  <si>
    <t>['Sap Sipper', 'Hydration', 'Gooey'],1,1,2,0.5,2,1,0.5,1,1,0.5,1,2,1,1,1,1,1,0.5,75,10240,35,452,45,Soft Tissue PokÃ©mon,53,1250000,0.8,68,NumeilãƒŒãƒ¡ã‚¤ãƒ«,Sliggoo,50,705,83,113,60,dragon,,17.5,6,0</t>
  </si>
  <si>
    <t>['Sap Sipper', 'Hydration', 'Gooey'],1,1,2,0.5,2,1,0.5,1,1,0.5,1,2,1,1,1,1,1,0.5,100,10240,35,600,45,Dragon PokÃ©mon,70,1250000,2.0,90,NumelgonãƒŒãƒ¡ãƒ«ã‚´ãƒ³,Goodra,50,706,110,150,80,dragon,,150.5,6,0</t>
  </si>
  <si>
    <t>['Prankster', 'Magician'],0.25,0.5,0,1,0.5,1,2,0.5,1,0.5,2,0.5,0.5,0,0.5,0.5,1,1,80,5120,70,470,75,Key Ring PokÃ©mon,91,800000,0.2,57,Cleffyã‚¯ãƒ¬ãƒƒãƒ•ã‚£,Klefki,50,707,80,87,75,steel,fairy,3.0,6,0</t>
  </si>
  <si>
    <t>['Natural Cure', 'Frisk', 'Harvest'],1,2,1,0.5,1,0,2,2,2,0.5,0.5,2,0,1,1,1,1,0.5,70,5120,70,309,120,Stump PokÃ©mon,48,1000000,0.4,43,Bokureiãƒœã‚¯ãƒ¬ãƒ¼,Phantump,50,708,50,60,38,ghost,grass,7.0,6,0</t>
  </si>
  <si>
    <t>['Natural Cure', 'Frisk', 'Harvest'],1,2,1,0.5,1,0,2,2,2,0.5,0.5,2,0,1,1,1,1,0.5,110,5120,70,474,60,Elder Tree PokÃ©mon,76,1000000,1.5,85,Ohrotã‚ªãƒ¼ãƒ­ãƒƒãƒˆ,Trevenant,50,709,65,82,56,ghost,grass,71.0,6,0</t>
  </si>
  <si>
    <t>['Pickup', 'Frisk', 'Insomnia'],1,2,1,0.5,1,0,2,2,2,0.5,0.5,2,0,1,1,1,1,0.5,66,5120,70,335,120,Pumpkin PokÃ©mon,70,1000000,0.8,59,Bakecchaãƒã‚±ãƒƒãƒãƒ£,Pumpkaboo,50,710,44,55,41,ghost,grass,15.0,6,0</t>
  </si>
  <si>
    <t>['Pickup', 'Frisk', 'Insomnia'],1,2,1,0.5,1,0,2,2,2,0.5,0.5,2,0,1,1,1,1,0.5,100,5120,70,494,60,Pumpkin PokÃ©mon,122,1000000,1.7,85,Pumpjinãƒ‘ãƒ³ãƒ—ã‚¸ãƒ³,Gourgeist,50,711,58,75,54,ghost,grass,39.0,6,0</t>
  </si>
  <si>
    <t>['Own Tempo', 'Ice Body', 'Sturdy'],1,1,1,1,1,2,2,1,1,1,1,0.5,1,1,1,2,2,1,69,5120,70,304,190,Ice Chunk PokÃ©mon,85,1000000,1.0,55,Kachikohruã‚«ãƒã‚³ãƒ¼ãƒ«,Bergmite,50,712,32,35,28,ice,,99.5,6,0</t>
  </si>
  <si>
    <t>['Own Tempo', 'Ice Body', 'Sturdy'],1,1,1,1,1,2,2,1,1,1,1,0.5,1,1,1,2,2,1,117,5120,70,514,55,Iceberg PokÃ©mon,184,1000000,2.0,95,Crebaseã‚¯ãƒ¬ãƒ™ãƒ¼ã‚¹,Avalugg,50,713,44,46,28,ice,,505.0,6,0</t>
  </si>
  <si>
    <t>['Frisk', 'Infiltrator', 'Telepathy'],0.5,1,2,1,2,0.5,0.5,1,1,0.25,0,4,1,1,1,2,1,0.5,30,5120,70,245,190,Sound Wave PokÃ©mon,35,1000000,0.5,40,Onbatã‚ªãƒ³ãƒãƒƒãƒˆ,Noibat,50,714,45,40,55,flying,dragon,8.0,6,0</t>
  </si>
  <si>
    <t>['Frisk', 'Infiltrator', 'Telepathy'],0.5,1,2,1,2,0.5,0.5,1,1,0.25,0,4,1,1,1,2,1,0.5,70,5120,70,535,45,Sound Wave PokÃ©mon,80,1000000,1.5,85,Onvernã‚ªãƒ³ãƒãƒ¼ãƒ³,Noivern,50,715,97,80,123,flying,dragon,85.0,6,0</t>
  </si>
  <si>
    <t>['Fairy Aura'],0.5,0.5,0,1,1,0.5,1,1,1,1,1,1,1,2,1,1,2,1,131,30720,0,680,45,Life PokÃ©mon,95,1250000,3.0,126,Xerneasã‚¼ãƒ«ãƒã‚¢ã‚¹,Xerneas,,716,131,98,99,fairy,,215.0,6,1</t>
  </si>
  <si>
    <t>['Dark Aura'],1,0.5,1,2,2,1,1,1,0.5,0.5,0,2,1,1,0,2,1,1,131,30720,0,680,45,Destruction PokÃ©mon,95,1250000,5.8,126,Yveltalã‚¤ãƒ™ãƒ«ã‚¿ãƒ«,Yveltal,,717,131,98,99,dark,flying,203.0,6,1</t>
  </si>
  <si>
    <t>['Aura Break', 'Power Construct'],1,1,2,0,2,1,0.5,1,1,1,1,4,1,0.5,1,0.5,1,1,100,30720,0,708,3,Order PokÃ©mon,121,1250000,5.0,216,Zygarde (10% Forme)ã‚¸ã‚¬ãƒ«ãƒ‡,Zygarde,,718,91,95,85,dragon,ground,284.6,6,1</t>
  </si>
  <si>
    <t>['Clear Body'],0.5,0.5,0,1,1,1,0.5,0.5,1,2,2,1,0.5,1,1,1,4,2,160,6400,70,700,3,Jewel PokÃ©mon,110,1250000,0.7,50,Diancieãƒ‡ã‚£ã‚¢ãƒ³ã‚·ãƒ¼,Diancie,,719,160,110,110,rock,fairy,8.8,6,1</t>
  </si>
  <si>
    <t>['Magician'],1,4,1,1,1,0,1,1,4,1,1,1,0,0.5,0.5,1,1,1,160,30720,100,680,3,Mischief PokÃ©mon (Confined)Djinn PokÃ©monn (Unbound),60,1250000,,80,Hoopa (imashimerareshi Hoopa)ãƒ•ãƒ¼ãƒ‘,Hoopa,,720,170,130,80,psychic,ghost,,6,1</t>
  </si>
  <si>
    <t>['Water Absorb'],0.5,1,1,2,0.5,1,0.25,1,1,1,2,0.25,1,1,1,2,0.25,1,110,30720,100,600,3,Steam PokÃ©mon,120,1250000,1.7,80,Volcanionãƒœãƒ«ã‚±ãƒ‹ã‚ªãƒ³,Volcanion,,721,130,90,70,fire,water,195.0,6,1</t>
  </si>
  <si>
    <t>['Overgrow', 'Long Reach'],1,1,1,1,1,0.5,2,2,1,0.25,0,4,1,2,1,2,1,0.5,55,3840,70,320,45,Grass Quill PokÃ©mon,55,1059860,0.3,68,Mokurohãƒ¢ã‚¯ãƒ­ãƒ¼,Rowlet,88.1,722,50,50,42,grass,flying,1.5,7,0</t>
  </si>
  <si>
    <t>['Overgrow', 'Long Reach'],1,1,1,1,1,0.5,2,2,1,0.25,0,4,1,2,1,2,1,0.5,75,3840,70,420,45,Blade Quill PokÃ©mon,75,1059860,0.7,78,Fukuthrowãƒ•ã‚¯ã‚¹ãƒ­ãƒ¼,Dartrix,88.1,723,70,70,52,grass,flying,16.0,7,0</t>
  </si>
  <si>
    <t>['Overgrow', 'Long Reach'],1,2,1,0.5,1,0,2,2,2,0.5,0.5,2,0,1,1,1,1,0.5,107,3840,70,530,45,Arrow Quill PokÃ©mon,75,1059860,1.6,78,Junaiperã‚¸ãƒ¥ãƒŠã‚¤ãƒ‘ãƒ¼,Decidueye,88.1,724,100,100,70,grass,ghost,36.6,7,0</t>
  </si>
  <si>
    <t>['Blaze', 'Intimidate'],0.5,1,1,1,0.5,1,0.5,1,1,0.5,2,0.5,1,1,1,2,0.5,2,65,3840,70,320,45,Fire Cat PokÃ©mon,40,1059860,0.4,45,Nyabbyãƒ‹ãƒ£ãƒ“ãƒ¼,Litten,88.1,725,60,40,70,fire,,4.3,7,0</t>
  </si>
  <si>
    <t>['Blaze', 'Intimidate'],0.5,1,1,1,0.5,1,0.5,1,1,0.5,2,0.5,1,1,1,2,0.5,2,85,3840,70,420,45,Fire Cat PokÃ©mon,50,1059860,0.7,65,Nyaheatãƒ‹ãƒ£ãƒ’ãƒ¼ãƒˆ,Torracat,88.1,726,80,50,90,fire,,25.0,7,0</t>
  </si>
  <si>
    <t>['Blaze', 'Intimidate'],1,0.5,1,1,1,2,0.5,1,0.5,0.5,2,0.5,1,1,0,2,0.5,2,115,3840,70,530,45,Heel PokÃ©mon,90,1059860,1.8,95,Gaogaenã‚¬ã‚ªã‚¬ã‚¨ãƒ³,Incineroar,88.1,727,80,90,60,fire,dark,83.0,7,0</t>
  </si>
  <si>
    <t>['Torrent', 'Liquid Voice'],1,1,1,2,1,1,0.5,1,1,2,1,0.5,1,1,1,1,0.5,0.5,54,3840,70,320,45,Sea Lion PokÃ©mon,54,1059860,0.4,50,Ashimariã‚¢ã‚·ãƒžãƒª,Popplio,88.1,728,66,56,40,water,,7.5,7,0</t>
  </si>
  <si>
    <t>['Torrent', 'Liquid Voice'],1,1,1,2,1,1,0.5,1,1,2,1,0.5,1,1,1,1,0.5,0.5,69,3840,70,420,45,Pop Star PokÃ©mon,69,1059860,0.6,60,Osyamariã‚ªã‚·ãƒ£ãƒžãƒª,Brionne,88.1,729,91,81,50,water,,17.5,7,0</t>
  </si>
  <si>
    <t>['Torrent', 'Liquid Voice'],0.5,0.5,0,2,1,0.5,0.5,1,1,2,1,0.5,1,2,1,1,1,0.5,74,3840,70,530,45,Soloist PokÃ©mon,74,1059860,1.8,80,Ashireneã‚¢ã‚·ãƒ¬ãƒ¼ãƒŒ,Primarina,88.1,730,126,116,60,water,fairy,44.0,7,0</t>
  </si>
  <si>
    <t>['Keen Eye', 'Skill Link', 'Pickup'],0.5,1,1,2,1,1,1,1,0,0.5,0,2,1,1,1,2,1,1,75,3840,70,265,255,Woodpecker PokÃ©mon,30,1000000,0.3,35,Tsutsukeraãƒ„ãƒ„ã‚±ãƒ©,Pikipek,50,731,30,30,65,normal,flying,1.2,7,0</t>
  </si>
  <si>
    <t>['Keen Eye', 'Skill Link', 'Pickup'],0.5,1,1,2,1,1,1,1,0,0.5,0,2,1,1,1,2,1,1,85,3840,70,355,120,Bugle Beak PokÃ©mon,50,1000000,0.6,55,Kerarappaã‚±ãƒ©ãƒ©ãƒƒãƒ‘,Trumbeak,50,732,40,50,75,normal,flying,14.8,7,0</t>
  </si>
  <si>
    <t>['Keen Eye', 'Skill Link', 'Sheer Force'],0.5,1,1,2,1,1,1,1,0,0.5,0,2,1,1,1,2,1,1,120,3840,70,485,45,Cannon PokÃ©mon,75,1000000,1.1,80,Dodekabashiãƒ‰ãƒ‡ã‚«ãƒã‚·,Toucannon,50,733,75,75,60,normal,flying,26.0,7,0</t>
  </si>
  <si>
    <t>['Stakeout', 'Strong Jaw', 'Adaptability'],1,1,1,1,1,2,1,1,0,1,1,1,1,1,1,1,1,1,70,3840,70,253,255,Loitering PokÃ©mon,30,1000000,0.4,48,Youngooseãƒ¤ãƒ³ã‚°ãƒ¼ã‚¹,Yungoos,50,734,30,30,45,normal,,6.0,7,0</t>
  </si>
  <si>
    <t>['Stakeout', 'Strong Jaw', 'Adaptability'],1,1,1,1,1,2,1,1,0,1,1,1,1,1,1,1,1,1,110,3840,70,418,127,Stakeout PokÃ©mon,60,1000000,0.7,88,Dekagooseãƒ‡ã‚«ã‚°ãƒ¼ã‚¹,Gumshoos,50,735,55,60,45,normal,,14.2,7,0</t>
  </si>
  <si>
    <t>['Swarm'],1,1,1,1,1,0.5,2,2,1,0.5,0.5,1,1,1,1,2,1,1,62,3840,70,300,255,Larva PokÃ©mon,45,1000000,0.4,47,Agojimushiã‚¢ã‚´ã‚¸ãƒ ã‚·,Grubbin,50,736,55,45,46,bug,,4.4,7,0</t>
  </si>
  <si>
    <t>['Battery'],1,1,1,0.5,1,0.5,2,1,1,0.5,1,1,1,1,1,2,0.5,1,82,3840,70,400,120,Battery PokÃ©mon,95,1000000,0.5,57,Dendimushiãƒ‡ãƒ³ãƒ‚ãƒ ã‚·,Charjabug,50,737,55,75,36,bug,electric,10.5,7,0</t>
  </si>
  <si>
    <t>['Levitate'],1,1,1,0.5,1,0.5,2,1,1,0.5,1,1,1,1,1,2,0.5,1,70,3840,70,500,45,Stag Beetle PokÃ©mon,90,1000000,1.5,77,Kuwagannonã‚¯ãƒ¯ã‚¬ãƒŽãƒ³,Vikavolt,50,738,145,75,43,bug,electric,45.0,7,0</t>
  </si>
  <si>
    <t>['Hyper Cutter', 'Iron Fist', 'Anger Point'],0.5,0.5,1,1,2,1,1,2,1,1,1,1,1,1,2,0.5,1,1,82,5120,70,338,225,Boxing PokÃ©mon,57,1000000,0.6,47,Makenkaniãƒžã‚±ãƒ³ã‚«ãƒ‹,Crabrawler,50,739,42,47,63,fighting,,7.0,7,0</t>
  </si>
  <si>
    <t>['Hyper Cutter', 'Iron Fist', 'Anger Point'],0.5,0.5,1,1,2,2,2,2,1,1,1,0.5,1,1,2,1,2,1,132,5120,70,478,60,Woolly Crab PokÃ©mon,77,1000000,1.7,97,Kekenkaniã‚±ã‚±ãƒ³ã‚«ãƒ‹,Crabominable,50,740,62,67,43,fighting,ice,180.0,7,0</t>
  </si>
  <si>
    <t>['Dancer'],0.25,1,1,2,0.5,0.5,0.5,1,1,0.25,0,1,1,1,1,4,0.5,2,70,5120,70,476,45,Dancing PokÃ©mon,70,1000000,0.6,75,Odoridori (pachipachi Style)ã‚ªãƒ‰ãƒªãƒ‰ãƒª,Oricorio,24.6,741,98,70,93,fire,flying,3.4,7,0</t>
  </si>
  <si>
    <t>['Honey Gather', 'Shield Dust', 'Sweet Veil'],0.5,0.5,0,1,1,0.25,2,2,1,0.5,0.5,1,1,2,1,2,2,1,45,5120,70,304,190,Bee Fly PokÃ©mon,40,1000000,0.1,40,Abulyã‚¢ãƒ–ãƒªãƒ¼,Cutiefly,50,742,55,40,84,bug,fairy,0.2,7,0</t>
  </si>
  <si>
    <t>['Honey Gather', 'Shield Dust', 'Sweet Veil'],0.5,0.5,0,1,1,0.25,2,2,1,0.5,0.5,1,1,2,1,2,2,1,55,5120,70,464,75,Bee Fly PokÃ©mon,60,1000000,0.2,60,Aburibbonã‚¢ãƒ–ãƒªãƒœãƒ³,Ribombee,50,743,95,70,124,bug,fairy,0.5,7,0</t>
  </si>
  <si>
    <t>['Keen Eye', 'Vital Spirit', 'Steadfast'],1,1,1,1,1,2,0.5,0.5,1,2,2,1,0.5,0.5,1,1,2,2,65,3840,70,280,190,Puppy PokÃ©mon,40,1000000,0.5,45,Iwankoã‚¤ãƒ¯ãƒ³ã‚³,Rockruff,50,744,30,40,60,rock,,9.2,7,0</t>
  </si>
  <si>
    <t>['Keen Eye', 'Sand Rush', 'Steadfast', 'Keen Eye', 'Vital Spirit', 'No Guard'],1,1,1,1,1,2,0.5,0.5,1,2,2,1,0.5,0.5,1,1,2,2,115,3840,70,487,90,Wolf PokÃ©mon,75,1000000,,85,Lugarugan (mahiru No Sugata)ãƒ«ã‚¬ãƒ«ã‚¬ãƒ³,Lycanroc,50,745,55,75,82,rock,,,7,0</t>
  </si>
  <si>
    <t>['Schooling'],1,1,1,2,1,1,0.5,1,1,2,1,0.5,1,1,1,1,0.5,0.5,140,3840,70,620,60,Small Fry PokÃ©mon,130,800000,0.2,45,Yowashi (tandoku No Sugata)ãƒ¨ãƒ¯ã‚·,Wishiwashi,50,746,140,135,30,water,,0.3,7,0</t>
  </si>
  <si>
    <t>['Merciless', 'Limber', 'Regenerator'],0.5,1,1,2,0.5,0.5,0.5,1,1,1,2,0.5,1,0.5,2,1,0.5,0.5,53,5120,70,305,190,Brutal Star PokÃ©mon,62,1000000,0.4,50,Hidoideãƒ’ãƒ‰ã‚¤ãƒ‡,Mareanie,50,747,43,52,45,poison,water,8.0,7,0</t>
  </si>
  <si>
    <t>['Merciless', 'Limber', 'Regenerator'],0.5,1,1,2,0.5,0.5,0.5,1,1,1,2,0.5,1,0.5,2,1,0.5,0.5,63,5120,70,495,75,Brutal Star PokÃ©mon,152,1000000,0.7,50,Dohidoideãƒ‰ãƒ’ãƒ‰ã‚¤ãƒ‡,Toxapex,50,748,53,142,35,poison,water,14.5,7,0</t>
  </si>
  <si>
    <t>['Own Tempo', 'Stamina', 'Inner Focus'],1,1,1,0,1,1,1,1,1,2,1,2,1,0.5,1,0.5,1,2,100,5120,70,385,190,Donkey PokÃ©mon,70,1000000,1.0,70,Dorobankoãƒ‰ãƒ­ãƒãƒ³ã‚³,Mudbray,50,749,45,55,45,ground,,110.0,7,0</t>
  </si>
  <si>
    <t>['Own Tempo', 'Stamina', 'Inner Focus'],1,1,1,0,1,1,1,1,1,2,1,2,1,0.5,1,0.5,1,2,125,5120,70,500,60,Draft Horse PokÃ©mon,100,1000000,2.5,100,Banbadoroãƒãƒ³ãƒãƒ‰ãƒ­,Mudsdale,50,750,55,85,35,ground,,920.0,7,0</t>
  </si>
  <si>
    <t>['Water Bubble', 'Water Absorb'],1,1,1,2,1,0.5,1,2,1,1,0.5,0.5,1,1,1,2,0.5,0.5,40,3840,70,269,200,Water Bubble PokÃ©mon,52,1000000,0.3,38,Shizukumoã‚·ã‚ºã‚¯ãƒ¢,Dewpider,50,751,40,72,27,water,bug,4.0,7,0</t>
  </si>
  <si>
    <t>['Water Bubble', 'Water Absorb'],1,1,1,2,1,0.5,1,2,1,1,0.5,0.5,1,1,1,2,0.5,0.5,70,3840,70,454,100,Water Bubble PokÃ©mon,92,1000000,1.8,68,Onishizukumoã‚ªãƒ‹ã‚·ã‚ºã‚¯ãƒ¢,Araquanid,50,752,50,132,42,water,bug,82.0,7,0</t>
  </si>
  <si>
    <t>['Leaf Guard', 'Contrary'],2,1,1,0.5,1,1,2,2,1,0.5,0.5,2,1,2,1,1,1,0.5,55,5120,70,250,190,Sickle Grass PokÃ©mon,35,1000000,0.3,40,Karikiriã‚«ãƒªã‚­ãƒª,Fomantis,50,753,50,35,35,grass,,1.5,7,0</t>
  </si>
  <si>
    <t>['Leaf Guard', 'Contrary'],2,1,1,0.5,1,1,2,2,1,0.5,0.5,2,1,2,1,1,1,0.5,105,5120,70,480,75,Bloom Sickle PokÃ©mon,90,1000000,0.9,70,Lalantesãƒ©ãƒ©ãƒ³ãƒ†ã‚¹,Lurantis,50,754,80,90,45,grass,,18.5,7,0</t>
  </si>
  <si>
    <t>['Illuminate', 'Effect Spore', 'Rain Dish'],1,0.5,0,0.5,1,0.5,2,2,1,0.5,0.5,2,1,4,1,1,2,0.5,35,5120,70,285,190,Illuminating PokÃ©mon,55,1000000,0.2,40,Nemasyuãƒãƒžã‚·ãƒ¥,Morelull,50,755,65,75,15,grass,fairy,1.5,7,0</t>
  </si>
  <si>
    <t>['Illuminate', 'Effect Spore', 'Rain Dish'],1,0.5,0,0.5,1,0.5,2,2,1,0.5,0.5,2,1,4,1,1,2,0.5,45,5120,70,405,75,Illuminating PokÃ©mon,80,1000000,1.0,60,Mashadeãƒžã‚·ã‚§ãƒ¼ãƒ‰,Shiinotic,50,756,90,100,30,grass,fairy,11.5,7,0</t>
  </si>
  <si>
    <t>['Corrosion', 'Oblivious'],0.25,1,1,1,0.25,0.5,0.5,1,1,0.25,4,0.5,1,0.5,2,2,0.5,2,44,5120,70,320,120,Toxic Lizard PokÃ©mon,40,1000000,0.6,48,Yatoumoriãƒ¤ãƒˆã‚¦ãƒ¢ãƒª,Salandit,88.1,757,71,40,77,poison,fire,4.8,7,0</t>
  </si>
  <si>
    <t>['Corrosion', 'Oblivious'],0.25,1,1,1,0.25,0.5,0.5,1,1,0.25,4,0.5,1,0.5,2,2,0.5,2,64,5120,70,480,45,Toxic Lizard PokÃ©mon,60,1000000,1.2,68,Ennewtã‚¨ãƒ³ãƒ‹ãƒ¥ãƒ¼ãƒˆ,Salazzle,0,758,111,60,117,poison,fire,22.2,7,0</t>
  </si>
  <si>
    <t>['Fluffy', 'Klutz', 'Cute Charm'],0.5,0.5,1,1,2,2,1,2,0,1,1,1,1,1,2,0.5,1,1,75,3840,70,340,140,Flailing PokÃ©mon,50,1000000,0.5,70,NuikogumaãƒŒã‚¤ã‚³ã‚°ãƒž,Stufful,50,759,45,50,50,normal,fighting,6.8,7,0</t>
  </si>
  <si>
    <t>['Fluffy', 'Klutz', 'Unnerve'],0.5,0.5,1,1,2,2,1,2,0,1,1,1,1,1,2,0.5,1,1,125,3840,70,500,70,Strong Arm PokÃ©mon,80,1000000,2.1,120,Kiterugumaã‚­ãƒ†ãƒ«ã‚°ãƒž,Bewear,50,760,55,60,60,normal,fighting,135.0,7,0</t>
  </si>
  <si>
    <t>['Leaf Guard', 'Oblivious', 'Sweet Veil'],2,1,1,0.5,1,1,2,2,1,0.5,0.5,2,1,2,1,1,1,0.5,30,5120,70,210,235,Fruit PokÃ©mon,38,1059860,0.3,42,Amakajiã‚¢ãƒžã‚«ã‚¸,Bounsweet,0,761,30,38,32,grass,,3.2,7,0</t>
  </si>
  <si>
    <t>['Leaf Guard', 'Oblivious', 'Sweet Veil'],2,1,1,0.5,1,1,2,2,1,0.5,0.5,2,1,2,1,1,1,0.5,40,5120,70,290,120,Fruit PokÃ©mon,48,1059860,0.7,52,Amamaikoã‚¢ãƒžãƒžã‚¤ã‚³,Steenee,0,762,40,48,62,grass,,8.2,7,0</t>
  </si>
  <si>
    <t>['Leaf Guard', 'Queenly Majesty', 'Sweet Veil'],2,1,1,0.5,1,1,2,2,1,0.5,0.5,2,1,2,1,1,1,0.5,120,5120,70,510,45,Fruit PokÃ©mon,98,1059860,1.2,72,Amajoã‚¢ãƒžãƒ¼ã‚¸ãƒ§,Tsareena,0,763,50,98,72,grass,,21.4,7,0</t>
  </si>
  <si>
    <t>['Flower Veil', 'Triage', 'Natural Cure'],0.5,0.5,0,1,1,0.5,1,1,1,1,1,1,1,2,1,1,2,1,52,5120,70,485,60,Posy Picker PokÃ©mon,90,800000,0.1,51,Cuwawaã‚­ãƒ¥ãƒ¯ãƒ¯ãƒ¼,Comfey,24.6,764,82,110,100,fairy,,0.3,7,0</t>
  </si>
  <si>
    <t>['Inner Focus', 'Telepathy', 'Symbiosis'],2,2,1,1,1,1,1,1,0,1,1,1,1,1,0.5,1,1,1,60,5120,70,490,45,Sage PokÃ©mon,80,1250000,1.5,90,Yareyuutanãƒ¤ãƒ¬ãƒ¦ãƒ¼ã‚¿ãƒ³,Oranguru,50,765,90,110,60,normal,psychic,76.0,7,0</t>
  </si>
  <si>
    <t>['Receiver', 'Defiant'],0.5,0.5,1,1,2,1,1,2,1,1,1,1,1,1,2,0.5,1,1,120,5120,70,490,45,Teamwork PokÃ©mon,90,1250000,2.0,100,NagetukesaruãƒŠã‚²ãƒ„ã‚±ã‚µãƒ«,Passimian,50,766,40,60,80,fighting,,82.8,7,0</t>
  </si>
  <si>
    <t>['Wimp Out'],1,1,1,2,1,0.5,1,2,1,1,0.5,0.5,1,1,1,2,0.5,0.5,35,5120,70,230,90,Turn Tail PokÃ©mon,40,1000000,0.5,25,Kosokumushiã‚³ã‚½ã‚¯ãƒ ã‚·,Wimpod,50,767,20,30,80,bug,water,12.0,7,0</t>
  </si>
  <si>
    <t>['Emergency Exit'],1,1,1,2,1,0.5,1,2,1,1,0.5,0.5,1,1,1,2,0.5,0.5,125,5120,70,530,45,Hard Scale PokÃ©mon,140,1000000,2.0,75,Gusokumushaã‚°ã‚½ã‚¯ãƒ ã‚·ãƒ£,Golisopod,50,768,60,90,40,bug,water,108.0,7,0</t>
  </si>
  <si>
    <t>['Water Compaction', 'Sand Veil'],0.5,2,1,0,1,0,1,1,2,2,1,2,0,0.25,1,0.5,1,2,55,3840,70,320,140,Sand Heap PokÃ©mon,80,1000000,0.5,55,Sunabaã‚¹ãƒŠãƒã‚¡,Sandygast,50,769,70,45,15,ghost,ground,70.0,7,0</t>
  </si>
  <si>
    <t>['Water Compaction', 'Sand Veil'],0.5,2,1,0,1,0,1,1,2,2,1,2,0,0.25,1,0.5,1,2,75,3840,70,480,60,Sand Castle PokÃ©mon,110,1000000,1.3,85,Sirodethnaã‚·ãƒ­ãƒ‡ã‚¹ãƒŠ,Palossand,50,770,100,75,35,ghost,ground,250.0,7,0</t>
  </si>
  <si>
    <t>['Innards Out', 'Unaware'],1,1,1,2,1,1,0.5,1,1,2,1,0.5,1,1,1,1,0.5,0.5,60,3840,70,410,60,Sea Cucumber PokÃ©mon,130,800000,0.3,55,NamakobushiãƒŠãƒžã‚³ãƒ–ã‚·,Pyukumuku,50,771,30,130,5,water,,1.2,7,0</t>
  </si>
  <si>
    <t>['Battle Armor'],1,1,1,1,1,2,1,1,0,1,1,1,1,1,1,1,1,1,95,30720,0,534,3,Synthetic PokÃ©mon,95,1250000,1.9,95,Type: Nullã‚¿ã‚¤ãƒ—ï¼šãƒŒãƒ«,Type: Null,,772,95,95,59,normal,,120.5,7,0</t>
  </si>
  <si>
    <t>['RKS System'],1,1,1,1,1,2,1,1,0,1,1,1,1,1,1,1,1,1,95,30720,0,570,3,Synthetic PokÃ©mon,95,1250000,2.3,95,Silvadyã‚·ãƒ«ãƒ´ã‚¡ãƒ‡ã‚£,Silvally,,773,95,95,95,normal,,100.5,7,0</t>
  </si>
  <si>
    <t>['Shields Down'],0.5,1,1,2,1,1,0.5,0.5,1,1,0,2,0.5,0.5,1,2,2,2,100,6400,70,500,30 (Meteorite)255 (Core),Meteor PokÃ©mon,60,1059860,0.3,60,Metenoãƒ¡ãƒ†ãƒŽ,Minior,,774,100,60,120,rock,flying,40.0,7,0</t>
  </si>
  <si>
    <t>['Comatose'],1,1,1,1,1,2,1,1,0,1,1,1,1,1,1,1,1,1,115,5120,70,480,45,Drowsing PokÃ©mon,65,1250000,0.4,65,Nekkoaraãƒãƒƒã‚³ã‚¢ãƒ©,Komala,50,775,75,95,65,normal,,19.9,7,0</t>
  </si>
  <si>
    <t>['Shell Armor'],0.5,1,2,0.5,1,1,0.25,1,1,0.25,2,1,1,1,1,2,0.5,1,78,5120,70,485,70,Blast Turtle PokÃ©mon,135,1000000,2.0,60,Bakugamesãƒã‚¯ã‚¬ãƒ¡ã‚¹,Turtonator,50,776,91,85,36,fire,dragon,212.0,7,0</t>
  </si>
  <si>
    <t>['Iron Barbs', 'Lightningrod', 'Sturdy'],0.5,1,0.5,0.5,0.5,2,2,0.25,1,0.5,4,0.5,0.5,0,0.5,0.5,0.25,1,98,2560,70,435,180,Roly-Poly PokÃ©mon,63,1000000,0.3,65,Togedemaruãƒˆã‚²ãƒ‡ãƒžãƒ«,Togedemaru,50,777,40,73,96,electric,steel,3.3,7,0</t>
  </si>
  <si>
    <t>['Disguise'],0.25,1,0,1,1,0,1,1,2,1,1,1,0,1,1,1,2,1,90,5120,70,476,45,Disguise PokÃ©mon,80,1000000,0.2,55,MimikkyuãƒŸãƒŸãƒƒã‚­ãƒ¥,Mimikyu,50,778,50,105,96,ghost,fairy,0.7,7,0</t>
  </si>
  <si>
    <t>['Dazzling', 'Strong Jaw', 'Wonder Skin '],2,2,1,2,1,0.5,0.5,1,2,2,1,0.5,1,1,0.5,1,0.5,0.5,105,3840,70,475,80,Gnash Teeth PokÃ©mon,70,1000000,0.9,68,Hagigishiriãƒã‚®ã‚®ã‚·ãƒª,Bruxish,50,779,70,70,92,water,psychic,19.0,7,0</t>
  </si>
  <si>
    <t>['Berserk', 'Sap Sipper', 'Cloud Nine'],1,1,2,0.5,2,2,0.5,1,0,0.5,1,2,1,1,1,1,1,0.5,60,5120,70,485,70,Placid PokÃ©mon,85,1000000,3.0,78,Jijilongã‚¸ã‚¸ãƒ¼ãƒ­ãƒ³,Drampa,50,780,135,91,36,normal,dragon,185.0,7,0</t>
  </si>
  <si>
    <t>['Steelworker'],1,2,1,0.5,1,0,2,2,2,0.5,0.5,2,0,1,1,1,1,0.5,131,6400,70,517,25,Sea Creeper PokÃ©mon,100,1000000,3.9,70,Dadarinãƒ€ãƒ€ãƒªãƒ³,Dhelmise,,781,86,90,40,ghost,grass,210.0,7,0</t>
  </si>
  <si>
    <t>['Bulletproof', 'Soundproof', 'Overcoat'],1,1,2,0.5,2,1,0.5,1,1,0.5,1,2,1,1,1,1,1,0.5,55,10240,70,300,45,Scaly PokÃ©mon,65,1250000,0.6,45,Jyarakoã‚¸ãƒ£ãƒ©ã‚³,Jangmo-o,50,782,45,45,45,dragon,,29.7,7,0</t>
  </si>
  <si>
    <t>['Bulletproof', 'Soundproof', 'Overcoat'],0.5,0.5,2,0.5,4,1,0.5,2,1,0.5,1,2,1,1,2,0.5,1,0.5,75,10240,70,420,45,Scaly PokÃ©mon,90,1250000,1.2,55,Jyarangoã‚¸ãƒ£ãƒ©ãƒ³ã‚´,Hakamo-o,50,783,65,70,65,dragon,fighting,47.0,7,0</t>
  </si>
  <si>
    <t>['Bulletproof', 'Soundproof', 'Overcoat'],0.5,0.5,2,0.5,4,1,0.5,2,1,0.5,1,2,1,1,2,0.5,1,0.5,110,10240,70,600,45,Scaly PokÃ©mon,125,1250000,1.6,75,Jyararangaã‚¸ãƒ£ãƒ©ãƒ©ãƒ³ã‚¬,Kommo-o,50,784,100,105,85,dragon,fighting,78.2,7,0</t>
  </si>
  <si>
    <t>['Electric Surge', 'Telepathy'],0.5,0.5,0,0.5,1,0.5,1,0.5,1,1,2,1,1,2,1,1,1,1,115,3840,70,570,3,Land Spirit PokÃ©mon,85,1250000,1.8,70,Kapu-kokekoã‚«ãƒ—ãƒ»ã‚³ã‚±ã‚³,Tapu Koko,,785,95,75,130,electric,fairy,20.5,7,1</t>
  </si>
  <si>
    <t>['Psychic Surge', 'Telepathy'],1,1,0,1,1,0.25,1,1,2,1,1,1,1,2,0.5,1,2,1,85,3840,70,570,3,Land Spirit PokÃ©mon,75,1250000,1.2,70,Kapu-tetefuã‚«ãƒ—ãƒ»ãƒ†ãƒ†ãƒ•,Tapu Lele,,786,130,115,95,psychic,fairy,18.6,7,1</t>
  </si>
  <si>
    <t>['Grassy Surge', 'Telepathy'],1,0.5,0,0.5,1,0.5,2,2,1,0.5,0.5,2,1,4,1,1,2,0.5,130,3840,70,570,3,Land Spirit PokÃ©mon,115,1250000,1.9,70,Kapu-bululã‚«ãƒ—ãƒ»ãƒ–ãƒ«ãƒ«,Tapu Bulu,,787,85,95,75,grass,fairy,45.5,7,1</t>
  </si>
  <si>
    <t>['Misty Surge', 'Telepathy'],0.5,0.5,0,2,1,0.5,0.5,1,1,2,1,0.5,1,2,1,1,1,0.5,75,3840,70,570,3,Land Spirit PokÃ©mon,115,1250000,1.3,70,Kapu-rehireã‚«ãƒ—ãƒ»ãƒ¬ãƒ’ãƒ¬,Tapu Fini,,788,95,130,85,water,fairy,21.2,7,1</t>
  </si>
  <si>
    <t>['Unaware'],2,2,1,1,1,0.5,1,1,2,1,1,1,1,1,0.5,1,1,1,29,30720,0,200,45,Nebula PokÃ©mon,31,1250000,0.2,43,Cosmogã‚³ã‚¹ãƒ¢ãƒƒã‚°,Cosmog,,789,29,31,37,psychic,,0.1,7,1</t>
  </si>
  <si>
    <t>['Sturdy'],2,2,1,1,1,0.5,1,1,2,1,1,1,1,1,0.5,1,1,1,29,30720,0,400,45,Protostar PokÃ©mon,131,1250000,0.1,43,Cosmovumã‚³ã‚¹ãƒ¢ã‚¦ãƒ ,Cosmoem,,790,29,131,37,psychic,,999.9,7,1</t>
  </si>
  <si>
    <t>['Full Metal Body'],1,2,0.5,1,0.5,1,2,0.5,2,0.5,2,0.5,0.5,0,0.25,0.5,0.5,1,137,30720,0,680,45,Sunne PokÃ©mon,107,1250000,3.4,137,Solgaleoã‚½ãƒ«ã‚¬ãƒ¬ã‚ª,Solgaleo,,791,113,89,97,psychic,steel,230.0,7,1</t>
  </si>
  <si>
    <t>['Shadow Shield'],1,4,1,1,1,0,1,1,4,1,1,1,0,0.5,0.5,1,1,1,113,30720,0,680,45,Moone PokÃ©mon,89,1250000,4.0,137,Lunalaãƒ«ãƒŠã‚¢ãƒ¼ãƒ©,Lunala,,792,137,107,97,psychic,ghost,120.0,7,1</t>
  </si>
  <si>
    <t>['Beast Boost'],0.5,1,1,1,0.5,1,0.5,0.5,1,1,4,1,0.5,0.25,2,1,2,2,53,30720,0,570,45,Parasite PokÃ©mon,47,1250000,1.2,109,Uturoidã‚¦ãƒ„ãƒ­ã‚¤ãƒ‰,Nihilego,,793,127,131,103,rock,poison,55.5,7,1</t>
  </si>
  <si>
    <t>['Beast Boost'],0.5,0.5,1,1,2,0.5,2,4,1,0.5,0.5,1,1,1,2,1,1,1,139,30720,0,570,25,Swollen PokÃ©mon,139,1250000,2.4,107,Massivoonãƒžãƒƒã‚·ãƒ–ãƒ¼ãƒ³,Buzzwole,,794,53,53,79,bug,fighting,333.6,7,1</t>
  </si>
  <si>
    <t>['Beast Boost'],0.5,0.5,1,1,2,0.5,2,4,1,0.5,0.5,1,1,1,2,1,1,1,137,30720,0,570,255,Lissome PokÃ©mon,37,1250000,1.8,71,Pheroacheãƒ•ã‚§ãƒ­ãƒ¼ãƒã‚§,Pheromosa,,795,137,37,151,bug,fighting,25.0,7,1</t>
  </si>
  <si>
    <t>['Beast Boost'],1,1,1,0.5,1,1,1,0.5,1,1,2,1,1,1,1,1,0.5,1,89,30720,0,570,30,Glowing PokÃ©mon,71,1250000,3.8,83,Denjyumokuãƒ‡ãƒ³ã‚¸ãƒ¥ãƒ¢ã‚¯,Xurkitree,,796,173,71,83,electric,,100.0,7,1</t>
  </si>
  <si>
    <t>['Beast Boost'],0.25,1,0.5,2,0.5,1,2,0.5,1,0.25,0,1,0.5,0,0.5,1,0.5,1,101,30720,0,570,25,Launch PokÃ©mon,103,1250000,9.2,97,Tekkaguyaãƒ†ãƒƒã‚«ã‚°ãƒ¤,Celesteela,,797,107,101,61,steel,flying,999.9,7,1</t>
  </si>
  <si>
    <t>['Beast Boost'],1,1,0.5,0.5,0.5,2,4,1,1,0.25,1,1,0.5,0,0.5,0.5,0.5,0.5,181,30720,0,570,255,Drawn Sword PokÃ©mon,131,1250000,0.3,59,Kamiturugiã‚«ãƒŸãƒ„ãƒ«ã‚®,Kartana,,798,59,31,109,grass,steel,0.1,7,1</t>
  </si>
  <si>
    <t>['Beast Boost'],2,0.5,2,0.5,4,2,0.5,1,0.5,0.5,1,2,1,1,0,1,1,0.5,101,30720,0,570,15,Junkivore PokÃ©mon,53,1250000,5.5,223,Akuzikingã‚¢ã‚¯ã‚¸ã‚­ãƒ³ã‚°,Guzzlord,,799,97,53,43,dark,dragon,888.0,7,1</t>
  </si>
  <si>
    <t>['Prism Armor'],2,2,1,1,1,0.5,1,1,2,1,1,1,1,1,0.5,1,1,1,107,30720,0,600,3,Prism PokÃ©mon,101,1250000,2.4,97,Necrozmaãƒã‚¯ãƒ­ã‚ºãƒž,Necrozma,,800,127,89,79,psychic,,230.0,7,1</t>
  </si>
  <si>
    <t>['Soul-Heart'],0.25,0.5,0,1,0.5,1,2,0.5,1,0.5,2,0.5,0.5,0,0.5,0.5,1,1,95,30720,0,600,3,Artificial PokÃ©mon,115,1250000,1.0,80,Magearnaãƒžã‚®ã‚¢ãƒŠ,Magearna,,801,130,115,65,steel,fairy,80.5,7,1</t>
  </si>
  <si>
    <t>classification</t>
  </si>
  <si>
    <t>No</t>
  </si>
  <si>
    <t>Yes</t>
  </si>
  <si>
    <t>Percentage_Female</t>
  </si>
  <si>
    <t>Shed Skin</t>
  </si>
  <si>
    <t>Levitate</t>
  </si>
  <si>
    <t>Cursed Body</t>
  </si>
  <si>
    <t>Synchronize</t>
  </si>
  <si>
    <t>Natural Cure</t>
  </si>
  <si>
    <t>Truant</t>
  </si>
  <si>
    <t>Vital Spirit</t>
  </si>
  <si>
    <t>Wonder Guard</t>
  </si>
  <si>
    <t>Forecast</t>
  </si>
  <si>
    <t>Drizzle</t>
  </si>
  <si>
    <t>Drought</t>
  </si>
  <si>
    <t>Air Lock</t>
  </si>
  <si>
    <t>Serene Grace</t>
  </si>
  <si>
    <t>Pressure</t>
  </si>
  <si>
    <t>Chlorophyll</t>
  </si>
  <si>
    <t>Flower Gift</t>
  </si>
  <si>
    <t>Slow Start</t>
  </si>
  <si>
    <t>Hydration</t>
  </si>
  <si>
    <t>Bad Dreams</t>
  </si>
  <si>
    <t>Multitype</t>
  </si>
  <si>
    <t>Victory Star</t>
  </si>
  <si>
    <t>Mummy</t>
  </si>
  <si>
    <t>Defeatist</t>
  </si>
  <si>
    <t>Illusion</t>
  </si>
  <si>
    <t>Iron Barbs</t>
  </si>
  <si>
    <t>Hustle</t>
  </si>
  <si>
    <t>Justified</t>
  </si>
  <si>
    <t>Turboblaze</t>
  </si>
  <si>
    <t>Teravolt</t>
  </si>
  <si>
    <t>Download</t>
  </si>
  <si>
    <t>Fur Coat</t>
  </si>
  <si>
    <t>No Guard</t>
  </si>
  <si>
    <t>Stance Change</t>
  </si>
  <si>
    <t>Mega Launcher</t>
  </si>
  <si>
    <t>Fairy Aura</t>
  </si>
  <si>
    <t>Dark Aura</t>
  </si>
  <si>
    <t>Clear Body</t>
  </si>
  <si>
    <t>Magician</t>
  </si>
  <si>
    <t>Water Absorb</t>
  </si>
  <si>
    <t>Swarm</t>
  </si>
  <si>
    <t>Battery</t>
  </si>
  <si>
    <t>Dancer</t>
  </si>
  <si>
    <t>Schooling</t>
  </si>
  <si>
    <t>Wimp Out</t>
  </si>
  <si>
    <t>Emergency Exit</t>
  </si>
  <si>
    <t>Battle Armor</t>
  </si>
  <si>
    <t>RKS System</t>
  </si>
  <si>
    <t>Shields Down</t>
  </si>
  <si>
    <t>Comatose</t>
  </si>
  <si>
    <t>Shell Armor</t>
  </si>
  <si>
    <t>Disguise</t>
  </si>
  <si>
    <t>Steelworker</t>
  </si>
  <si>
    <t>Unaware</t>
  </si>
  <si>
    <t>Sturdy</t>
  </si>
  <si>
    <t>Full Metal Body</t>
  </si>
  <si>
    <t>Shadow Shield</t>
  </si>
  <si>
    <t>Beast Boost</t>
  </si>
  <si>
    <t>Prism Armor</t>
  </si>
  <si>
    <t>Soul-Heart</t>
  </si>
  <si>
    <t>Overgrow</t>
  </si>
  <si>
    <t>Blaze</t>
  </si>
  <si>
    <t>Torrent</t>
  </si>
  <si>
    <t>Shield Dust</t>
  </si>
  <si>
    <t>Compoundeyes</t>
  </si>
  <si>
    <t>Keen Eye</t>
  </si>
  <si>
    <t>Run Away</t>
  </si>
  <si>
    <t>Intimidate</t>
  </si>
  <si>
    <t>Static</t>
  </si>
  <si>
    <t>Sand Veil</t>
  </si>
  <si>
    <t>Poison Point</t>
  </si>
  <si>
    <t>Cute Charm</t>
  </si>
  <si>
    <t>Flash Fire</t>
  </si>
  <si>
    <t>Inner Focus</t>
  </si>
  <si>
    <t>Effect Spore</t>
  </si>
  <si>
    <t>Pickup</t>
  </si>
  <si>
    <t>Limber</t>
  </si>
  <si>
    <t>Damp</t>
  </si>
  <si>
    <t>Guts</t>
  </si>
  <si>
    <t>Rock Head</t>
  </si>
  <si>
    <t>Oblivious</t>
  </si>
  <si>
    <t>Magnet Pull</t>
  </si>
  <si>
    <t>Thick Fat</t>
  </si>
  <si>
    <t>Stench</t>
  </si>
  <si>
    <t>Insomnia</t>
  </si>
  <si>
    <t>Hyper Cutter</t>
  </si>
  <si>
    <t>Soundproof</t>
  </si>
  <si>
    <t>Own Tempo</t>
  </si>
  <si>
    <t>Lightningrod</t>
  </si>
  <si>
    <t>Early Bird</t>
  </si>
  <si>
    <t>Swift Swim</t>
  </si>
  <si>
    <t>Illuminate</t>
  </si>
  <si>
    <t>Flame Body</t>
  </si>
  <si>
    <t>Volt Absorb</t>
  </si>
  <si>
    <t>Trace</t>
  </si>
  <si>
    <t>Immunity</t>
  </si>
  <si>
    <t>Speed Boost</t>
  </si>
  <si>
    <t>Shadow Tag</t>
  </si>
  <si>
    <t>Magma Armor</t>
  </si>
  <si>
    <t>Suction Cups</t>
  </si>
  <si>
    <t>Sand Stream</t>
  </si>
  <si>
    <t>Pure Power</t>
  </si>
  <si>
    <t>Plus</t>
  </si>
  <si>
    <t>Minus</t>
  </si>
  <si>
    <t>Liquid Ooze</t>
  </si>
  <si>
    <t>Rough Skin</t>
  </si>
  <si>
    <t>Water Veil</t>
  </si>
  <si>
    <t>White Smoke</t>
  </si>
  <si>
    <t>Marvel Scale</t>
  </si>
  <si>
    <t>Color Change</t>
  </si>
  <si>
    <t>Simple</t>
  </si>
  <si>
    <t>Rivalry</t>
  </si>
  <si>
    <t>Mold Breaker</t>
  </si>
  <si>
    <t>Anticipation</t>
  </si>
  <si>
    <t>Honey Gather</t>
  </si>
  <si>
    <t>Sticky Hold</t>
  </si>
  <si>
    <t>Technician</t>
  </si>
  <si>
    <t>Aftermath</t>
  </si>
  <si>
    <t>Steadfast</t>
  </si>
  <si>
    <t>Snow Warning</t>
  </si>
  <si>
    <t>Motor Drive</t>
  </si>
  <si>
    <t>Leaf Guard</t>
  </si>
  <si>
    <t>Snow Cloak</t>
  </si>
  <si>
    <t>Adaptability</t>
  </si>
  <si>
    <t>Gluttony</t>
  </si>
  <si>
    <t>Forewarn</t>
  </si>
  <si>
    <t>Big Pecks</t>
  </si>
  <si>
    <t>Sand Rush</t>
  </si>
  <si>
    <t>Healer</t>
  </si>
  <si>
    <t>Prankster</t>
  </si>
  <si>
    <t>Reckless</t>
  </si>
  <si>
    <t>Sheer Force</t>
  </si>
  <si>
    <t>Solid Rock</t>
  </si>
  <si>
    <t>Frisk</t>
  </si>
  <si>
    <t>Overcoat</t>
  </si>
  <si>
    <t>Ice Body</t>
  </si>
  <si>
    <t>Telepathy</t>
  </si>
  <si>
    <t>Iron Fist</t>
  </si>
  <si>
    <t>Defiant</t>
  </si>
  <si>
    <t>Sand Force</t>
  </si>
  <si>
    <t>Flower Veil</t>
  </si>
  <si>
    <t>Sap Sipper</t>
  </si>
  <si>
    <t>Sweet Veil</t>
  </si>
  <si>
    <t>Contrary</t>
  </si>
  <si>
    <t>Tough Claws</t>
  </si>
  <si>
    <t>Dry Skin</t>
  </si>
  <si>
    <t>Strong Jaw</t>
  </si>
  <si>
    <t>Refrigerate</t>
  </si>
  <si>
    <t>Cheek Pouch</t>
  </si>
  <si>
    <t>Aura Break</t>
  </si>
  <si>
    <t>Stakeout</t>
  </si>
  <si>
    <t>Merciless</t>
  </si>
  <si>
    <t>Water Bubble</t>
  </si>
  <si>
    <t>Corrosion</t>
  </si>
  <si>
    <t>Fluffy</t>
  </si>
  <si>
    <t>Receiver</t>
  </si>
  <si>
    <t>Water Compaction</t>
  </si>
  <si>
    <t>Innards Out</t>
  </si>
  <si>
    <t>Dazzling</t>
  </si>
  <si>
    <t>Berserk</t>
  </si>
  <si>
    <t>Bulletproof</t>
  </si>
  <si>
    <t>Electric Surge</t>
  </si>
  <si>
    <t>Psychic Surge</t>
  </si>
  <si>
    <t>Grassy Surge</t>
  </si>
  <si>
    <t>Misty Surge</t>
  </si>
  <si>
    <t>Ability 1</t>
  </si>
  <si>
    <t>Ability 2</t>
  </si>
  <si>
    <t>Ability 4</t>
  </si>
  <si>
    <t>Ability 5</t>
  </si>
  <si>
    <t>Ability 6</t>
  </si>
  <si>
    <t>Solar Power</t>
  </si>
  <si>
    <t>Rain Dish</t>
  </si>
  <si>
    <t>Tinted Lens</t>
  </si>
  <si>
    <t>Sniper</t>
  </si>
  <si>
    <t>Tangled Feet</t>
  </si>
  <si>
    <t>Unnerve</t>
  </si>
  <si>
    <t>Surge Surfer</t>
  </si>
  <si>
    <t>Slush Rush</t>
  </si>
  <si>
    <t>Magic Guard</t>
  </si>
  <si>
    <t>Friend Guard</t>
  </si>
  <si>
    <t>Competitive</t>
  </si>
  <si>
    <t>Infiltrator</t>
  </si>
  <si>
    <t>Wonder Skin</t>
  </si>
  <si>
    <t>Arena Trap</t>
  </si>
  <si>
    <t>Tangling Hair</t>
  </si>
  <si>
    <t>Rattled</t>
  </si>
  <si>
    <t>Cloud Nine</t>
  </si>
  <si>
    <t>Anger Point</t>
  </si>
  <si>
    <t>Galvanize</t>
  </si>
  <si>
    <t>Regenerator</t>
  </si>
  <si>
    <t>Analytic</t>
  </si>
  <si>
    <t>Poison Touch</t>
  </si>
  <si>
    <t>Power of Alchemy</t>
  </si>
  <si>
    <t>Skill Link</t>
  </si>
  <si>
    <t>Weak Armor</t>
  </si>
  <si>
    <t>Harvest</t>
  </si>
  <si>
    <t>Unburden</t>
  </si>
  <si>
    <t>Scrappy</t>
  </si>
  <si>
    <t>Filter</t>
  </si>
  <si>
    <t>Moxie</t>
  </si>
  <si>
    <t>Imposter</t>
  </si>
  <si>
    <t>Quick Feet</t>
  </si>
  <si>
    <t>Multiscale</t>
  </si>
  <si>
    <t>Super Luck</t>
  </si>
  <si>
    <t>Magic Bounce</t>
  </si>
  <si>
    <t>Huge Power</t>
  </si>
  <si>
    <t>Light Metal</t>
  </si>
  <si>
    <t>Pickpocket</t>
  </si>
  <si>
    <t>Moody</t>
  </si>
  <si>
    <t>Poison Heal</t>
  </si>
  <si>
    <t>Normalize</t>
  </si>
  <si>
    <t>Stall</t>
  </si>
  <si>
    <t>Heavy Metal</t>
  </si>
  <si>
    <t>Toxic Boost</t>
  </si>
  <si>
    <t>Storm Drain</t>
  </si>
  <si>
    <t>Protean</t>
  </si>
  <si>
    <t>Flare Boost</t>
  </si>
  <si>
    <t>Klutz</t>
  </si>
  <si>
    <t>Heatproof</t>
  </si>
  <si>
    <t>Zen Mode</t>
  </si>
  <si>
    <t>Battle Bond</t>
  </si>
  <si>
    <t>Gale Wings</t>
  </si>
  <si>
    <t>Symbiosis</t>
  </si>
  <si>
    <t>Grass Pelt</t>
  </si>
  <si>
    <t>Aroma Veil</t>
  </si>
  <si>
    <t>Pixilate</t>
  </si>
  <si>
    <t>Gooey</t>
  </si>
  <si>
    <t>Power Construct</t>
  </si>
  <si>
    <t>Long Reach</t>
  </si>
  <si>
    <t>Liquid Voice</t>
  </si>
  <si>
    <t>Stamina</t>
  </si>
  <si>
    <t>Queenly Majesty</t>
  </si>
  <si>
    <t>Triage</t>
  </si>
  <si>
    <t>Ability 3</t>
  </si>
  <si>
    <t>Row Labels</t>
  </si>
  <si>
    <t>Grand Total</t>
  </si>
  <si>
    <t>Count of name</t>
  </si>
  <si>
    <t>POKÉMON ANALYTICS DASHBOARD</t>
  </si>
  <si>
    <t>Professor Oak's Pokédex | Generations 1–7</t>
  </si>
  <si>
    <t>Average of speed</t>
  </si>
  <si>
    <t>Average of defense</t>
  </si>
  <si>
    <t>Average of attack</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</si>
</sst>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xmlns:xr9="http://schemas.microsoft.com/office/spreadsheetml/2016/revision9" mc:Ignorable="x14ac x16r2 xr xr9">
  <numFmts count="1">
    <numFmt numFmtId="164" formatCode="0.0"/>
  </numFmts>
  <fonts count="8" x14ac:knownFonts="1">
    <font>
      <sz val="11"/>
      <color theme="1"/>
      <name val="Aptos Narrow"/>
      <family val="2"/>
      <scheme val="minor"/>
    </font>
    <font>
      <b/>
      <sz val="11"/>
      <color theme="1"/>
      <name val="Aptos Narrow"/>
      <family val="2"/>
      <scheme val="minor"/>
    </font>
    <font>
      <sz val="11"/>
      <color theme="0"/>
      <name val="Aptos Narrow"/>
      <family val="2"/>
      <scheme val="minor"/>
    </font>
    <font>
      <sz val="11"/>
      <name val="Aptos Narrow"/>
      <family val="2"/>
      <scheme val="minor"/>
    </font>
    <font>
      <b/>
      <sz val="12"/>
      <name val="Aptos Narrow"/>
      <family val="2"/>
      <scheme val="minor"/>
    </font>
    <font>
      <b/>
      <sz val="12"/>
      <color theme="1"/>
      <name val="Aptos Narrow"/>
      <family val="2"/>
      <scheme val="minor"/>
    </font>
    <font>
      <b/>
      <sz val="26"/>
      <color theme="0"/>
      <name val="Aptos Narrow"/>
      <family val="2"/>
      <scheme val="minor"/>
    </font>
    <font>
      <sz val="14"/>
      <color theme="0"/>
      <name val="Aptos Narrow"/>
      <family val="2"/>
      <scheme val="minor"/>
    </font>
  </fonts>
  <fills count="4">
    <fill>
      <patternFill patternType="none"/>
    </fill>
    <fill>
      <patternFill patternType="gray125"/>
    </fill>
    <fill>
      <patternFill patternType="solid">
        <fgColor theme="4"/>
        <bgColor indexed="64"/>
      </patternFill>
    </fill>
    <fill>
      <patternFill patternType="solid">
        <fgColor theme="0"/>
        <bgColor indexed="64"/>
      </patternFill>
    </fill>
  </fills>
  <borders count="1">
    <border>
      <left/>
      <right/>
      <top/>
      <bottom/>
      <diagonal/>
    </border>
  </borders>
  <cellStyleXfs count="1">
    <xf numFmtId="0" fontId="0" fillId="0" borderId="0"/>
  </cellStyleXfs>
  <cellXfs count="16">
    <xf numFmtId="0" fontId="0" fillId="0" borderId="0" xfId="0"/>
    <xf numFmtId="0" fontId="3" fillId="0" borderId="0" xfId="0" applyFont="1"/>
    <xf numFmtId="2" fontId="3" fillId="0" borderId="0" xfId="0" applyNumberFormat="1" applyFont="1"/>
    <xf numFmtId="1" fontId="3" fillId="0" borderId="0" xfId="0" applyNumberFormat="1" applyFont="1"/>
    <xf numFmtId="0" fontId="4" fillId="0" borderId="0" xfId="0" applyFont="1" applyAlignment="1">
      <alignment horizontal="center"/>
    </xf>
    <xf numFmtId="0" fontId="1" fillId="0" borderId="0" xfId="0" applyFont="1"/>
    <xf numFmtId="0" fontId="5" fillId="0" borderId="0" xfId="0" applyFont="1" applyAlignment="1">
      <alignment horizontal="center"/>
    </xf>
    <xf numFmtId="0" fontId="0" fillId="0" borderId="0" xfId="0" pivotButton="1"/>
    <xf numFmtId="0" fontId="0" fillId="0" borderId="0" xfId="0" applyAlignment="1">
      <alignment horizontal="left"/>
    </xf>
    <xf numFmtId="1" fontId="0" fillId="0" borderId="0" xfId="0" applyNumberFormat="1" applyAlignment="1">
      <alignment horizontal="left"/>
    </xf>
    <xf numFmtId="164" fontId="0" fillId="0" borderId="0" xfId="0" applyNumberFormat="1"/>
    <xf numFmtId="0" fontId="2" fillId="2" borderId="0" xfId="0" applyFont="1" applyFill="1"/>
    <xf numFmtId="0" fontId="2" fillId="3" borderId="0" xfId="0" applyFont="1" applyFill="1"/>
    <xf numFmtId="0" fontId="6" fillId="2" borderId="0" xfId="0" applyFont="1" applyFill="1" applyAlignment="1">
      <alignment horizontal="center" vertical="center"/>
    </xf>
    <xf numFmtId="0" fontId="7" fillId="2" borderId="0" xfId="0" applyFont="1" applyFill="1" applyAlignment="1">
      <alignment horizontal="center" vertical="center"/>
    </xf>
    <xf numFmtId="0" fontId="0" fillId="0" borderId="0" xfId="0" applyNumberFormat="1"/>
  </cellXfs>
  <cellStyles count="1">
    <cellStyle name="Normal" xfId="0" builtinId="0"/>
  </cellStyles>
  <dxfs count="45">
    <dxf>
      <font>
        <b/>
        <i val="0"/>
        <color rgb="FF243B53"/>
      </font>
    </dxf>
    <dxf>
      <fill>
        <patternFill>
          <bgColor theme="0"/>
        </patternFill>
      </fill>
    </dxf>
    <dxf>
      <font>
        <b val="0"/>
        <i val="0"/>
        <strike val="0"/>
        <condense val="0"/>
        <extend val="0"/>
        <outline val="0"/>
        <shadow val="0"/>
        <u val="none"/>
        <vertAlign val="baseline"/>
        <sz val="11"/>
        <color auto="1"/>
        <name val="Aptos Narrow"/>
        <family val="2"/>
        <scheme val="minor"/>
      </font>
      <numFmt numFmtId="1" formatCode="0"/>
      <fill>
        <patternFill patternType="none">
          <fgColor indexed="64"/>
          <bgColor indexed="65"/>
        </patternFill>
      </fill>
    </dxf>
    <dxf>
      <font>
        <b val="0"/>
        <i val="0"/>
        <strike val="0"/>
        <condense val="0"/>
        <extend val="0"/>
        <outline val="0"/>
        <shadow val="0"/>
        <u val="none"/>
        <vertAlign val="baseline"/>
        <sz val="11"/>
        <color auto="1"/>
        <name val="Aptos Narrow"/>
        <family val="2"/>
        <scheme val="minor"/>
      </font>
      <numFmt numFmtId="1" formatCode="0"/>
      <fill>
        <patternFill patternType="none">
          <fgColor indexed="64"/>
          <bgColor indexed="65"/>
        </patternFill>
      </fill>
    </dxf>
    <dxf>
      <font>
        <b val="0"/>
        <i val="0"/>
        <strike val="0"/>
        <condense val="0"/>
        <extend val="0"/>
        <outline val="0"/>
        <shadow val="0"/>
        <u val="none"/>
        <vertAlign val="baseline"/>
        <sz val="11"/>
        <color auto="1"/>
        <name val="Aptos Narrow"/>
        <family val="2"/>
        <scheme val="minor"/>
      </font>
      <numFmt numFmtId="0" formatCode="General"/>
      <fill>
        <patternFill patternType="none">
          <fgColor indexed="64"/>
          <bgColor indexed="65"/>
        </patternFill>
      </fill>
    </dxf>
    <dxf>
      <font>
        <b val="0"/>
        <i val="0"/>
        <strike val="0"/>
        <condense val="0"/>
        <extend val="0"/>
        <outline val="0"/>
        <shadow val="0"/>
        <u val="none"/>
        <vertAlign val="baseline"/>
        <sz val="11"/>
        <color auto="1"/>
        <name val="Aptos Narrow"/>
        <family val="2"/>
        <scheme val="minor"/>
      </font>
      <numFmt numFmtId="1" formatCode="0"/>
      <fill>
        <patternFill patternType="none">
          <fgColor indexed="64"/>
          <bgColor indexed="65"/>
        </patternFill>
      </fill>
    </dxf>
    <dxf>
      <font>
        <b val="0"/>
        <i val="0"/>
        <strike val="0"/>
        <condense val="0"/>
        <extend val="0"/>
        <outline val="0"/>
        <shadow val="0"/>
        <u val="none"/>
        <vertAlign val="baseline"/>
        <sz val="11"/>
        <color auto="1"/>
        <name val="Aptos Narrow"/>
        <family val="2"/>
        <scheme val="minor"/>
      </font>
      <numFmt numFmtId="1" formatCode="0"/>
      <fill>
        <patternFill patternType="none">
          <fgColor indexed="64"/>
          <bgColor indexed="65"/>
        </patternFill>
      </fill>
    </dxf>
    <dxf>
      <font>
        <b val="0"/>
        <i val="0"/>
        <strike val="0"/>
        <condense val="0"/>
        <extend val="0"/>
        <outline val="0"/>
        <shadow val="0"/>
        <u val="none"/>
        <vertAlign val="baseline"/>
        <sz val="11"/>
        <color auto="1"/>
        <name val="Aptos Narrow"/>
        <family val="2"/>
        <scheme val="minor"/>
      </font>
      <numFmt numFmtId="1" formatCode="0"/>
      <fill>
        <patternFill patternType="none">
          <fgColor indexed="64"/>
          <bgColor indexed="65"/>
        </patternFill>
      </fill>
    </dxf>
    <dxf>
      <font>
        <b val="0"/>
        <i val="0"/>
        <strike val="0"/>
        <condense val="0"/>
        <extend val="0"/>
        <outline val="0"/>
        <shadow val="0"/>
        <u val="none"/>
        <vertAlign val="baseline"/>
        <sz val="11"/>
        <color auto="1"/>
        <name val="Aptos Narrow"/>
        <family val="2"/>
        <scheme val="minor"/>
      </font>
      <numFmt numFmtId="1" formatCode="0"/>
      <fill>
        <patternFill patternType="none">
          <fgColor indexed="64"/>
          <bgColor indexed="65"/>
        </patternFill>
      </fill>
    </dxf>
    <dxf>
      <font>
        <b val="0"/>
        <i val="0"/>
        <strike val="0"/>
        <condense val="0"/>
        <extend val="0"/>
        <outline val="0"/>
        <shadow val="0"/>
        <u val="none"/>
        <vertAlign val="baseline"/>
        <sz val="11"/>
        <color auto="1"/>
        <name val="Aptos Narrow"/>
        <family val="2"/>
        <scheme val="minor"/>
      </font>
      <numFmt numFmtId="2" formatCode="0.00"/>
      <fill>
        <patternFill patternType="none">
          <fgColor indexed="64"/>
          <bgColor indexed="65"/>
        </patternFill>
      </fill>
    </dxf>
    <dxf>
      <font>
        <b val="0"/>
        <i val="0"/>
        <strike val="0"/>
        <condense val="0"/>
        <extend val="0"/>
        <outline val="0"/>
        <shadow val="0"/>
        <u val="none"/>
        <vertAlign val="baseline"/>
        <sz val="11"/>
        <color auto="1"/>
        <name val="Aptos Narrow"/>
        <family val="2"/>
        <scheme val="minor"/>
      </font>
      <numFmt numFmtId="2" formatCode="0.00"/>
      <fill>
        <patternFill patternType="none">
          <fgColor indexed="64"/>
          <bgColor indexed="65"/>
        </patternFill>
      </fill>
    </dxf>
    <dxf>
      <font>
        <b val="0"/>
        <i val="0"/>
        <strike val="0"/>
        <condense val="0"/>
        <extend val="0"/>
        <outline val="0"/>
        <shadow val="0"/>
        <u val="none"/>
        <vertAlign val="baseline"/>
        <sz val="11"/>
        <color auto="1"/>
        <name val="Aptos Narrow"/>
        <family val="2"/>
        <scheme val="minor"/>
      </font>
      <fill>
        <patternFill patternType="none">
          <fgColor indexed="64"/>
          <bgColor indexed="65"/>
        </patternFill>
      </fill>
    </dxf>
    <dxf>
      <font>
        <b val="0"/>
        <i val="0"/>
        <strike val="0"/>
        <condense val="0"/>
        <extend val="0"/>
        <outline val="0"/>
        <shadow val="0"/>
        <u val="none"/>
        <vertAlign val="baseline"/>
        <sz val="11"/>
        <color auto="1"/>
        <name val="Aptos Narrow"/>
        <family val="2"/>
        <scheme val="minor"/>
      </font>
      <numFmt numFmtId="0" formatCode="General"/>
      <fill>
        <patternFill patternType="none">
          <fgColor indexed="64"/>
          <bgColor indexed="65"/>
        </patternFill>
      </fill>
    </dxf>
    <dxf>
      <font>
        <b val="0"/>
        <i val="0"/>
        <strike val="0"/>
        <condense val="0"/>
        <extend val="0"/>
        <outline val="0"/>
        <shadow val="0"/>
        <u val="none"/>
        <vertAlign val="baseline"/>
        <sz val="11"/>
        <color auto="1"/>
        <name val="Aptos Narrow"/>
        <family val="2"/>
        <scheme val="minor"/>
      </font>
      <fill>
        <patternFill patternType="none">
          <fgColor indexed="64"/>
          <bgColor indexed="65"/>
        </patternFill>
      </fill>
    </dxf>
    <dxf>
      <font>
        <b val="0"/>
        <i val="0"/>
        <strike val="0"/>
        <condense val="0"/>
        <extend val="0"/>
        <outline val="0"/>
        <shadow val="0"/>
        <u val="none"/>
        <vertAlign val="baseline"/>
        <sz val="11"/>
        <color auto="1"/>
        <name val="Aptos Narrow"/>
        <family val="2"/>
        <scheme val="minor"/>
      </font>
      <numFmt numFmtId="2" formatCode="0.00"/>
      <fill>
        <patternFill patternType="none">
          <fgColor indexed="64"/>
          <bgColor indexed="65"/>
        </patternFill>
      </fill>
    </dxf>
    <dxf>
      <font>
        <b val="0"/>
        <i val="0"/>
        <strike val="0"/>
        <condense val="0"/>
        <extend val="0"/>
        <outline val="0"/>
        <shadow val="0"/>
        <u val="none"/>
        <vertAlign val="baseline"/>
        <sz val="11"/>
        <color auto="1"/>
        <name val="Aptos Narrow"/>
        <family val="2"/>
        <scheme val="minor"/>
      </font>
      <numFmt numFmtId="2" formatCode="0.00"/>
      <fill>
        <patternFill patternType="none">
          <fgColor indexed="64"/>
          <bgColor indexed="65"/>
        </patternFill>
      </fill>
    </dxf>
    <dxf>
      <font>
        <b val="0"/>
        <i val="0"/>
        <strike val="0"/>
        <condense val="0"/>
        <extend val="0"/>
        <outline val="0"/>
        <shadow val="0"/>
        <u val="none"/>
        <vertAlign val="baseline"/>
        <sz val="11"/>
        <color auto="1"/>
        <name val="Aptos Narrow"/>
        <family val="2"/>
        <scheme val="minor"/>
      </font>
      <numFmt numFmtId="2" formatCode="0.00"/>
      <fill>
        <patternFill patternType="none">
          <fgColor indexed="64"/>
          <bgColor indexed="65"/>
        </patternFill>
      </fill>
    </dxf>
    <dxf>
      <font>
        <b val="0"/>
        <i val="0"/>
        <strike val="0"/>
        <condense val="0"/>
        <extend val="0"/>
        <outline val="0"/>
        <shadow val="0"/>
        <u val="none"/>
        <vertAlign val="baseline"/>
        <sz val="11"/>
        <color auto="1"/>
        <name val="Aptos Narrow"/>
        <family val="2"/>
        <scheme val="minor"/>
      </font>
      <numFmt numFmtId="2" formatCode="0.00"/>
      <fill>
        <patternFill patternType="none">
          <fgColor indexed="64"/>
          <bgColor indexed="65"/>
        </patternFill>
      </fill>
    </dxf>
    <dxf>
      <font>
        <b val="0"/>
        <i val="0"/>
        <strike val="0"/>
        <condense val="0"/>
        <extend val="0"/>
        <outline val="0"/>
        <shadow val="0"/>
        <u val="none"/>
        <vertAlign val="baseline"/>
        <sz val="11"/>
        <color auto="1"/>
        <name val="Aptos Narrow"/>
        <family val="2"/>
        <scheme val="minor"/>
      </font>
      <numFmt numFmtId="2" formatCode="0.00"/>
      <fill>
        <patternFill patternType="none">
          <fgColor indexed="64"/>
          <bgColor indexed="65"/>
        </patternFill>
      </fill>
    </dxf>
    <dxf>
      <font>
        <b val="0"/>
        <i val="0"/>
        <strike val="0"/>
        <condense val="0"/>
        <extend val="0"/>
        <outline val="0"/>
        <shadow val="0"/>
        <u val="none"/>
        <vertAlign val="baseline"/>
        <sz val="11"/>
        <color auto="1"/>
        <name val="Aptos Narrow"/>
        <family val="2"/>
        <scheme val="minor"/>
      </font>
      <numFmt numFmtId="2" formatCode="0.00"/>
      <fill>
        <patternFill patternType="none">
          <fgColor indexed="64"/>
          <bgColor indexed="65"/>
        </patternFill>
      </fill>
    </dxf>
    <dxf>
      <font>
        <b val="0"/>
        <i val="0"/>
        <strike val="0"/>
        <condense val="0"/>
        <extend val="0"/>
        <outline val="0"/>
        <shadow val="0"/>
        <u val="none"/>
        <vertAlign val="baseline"/>
        <sz val="11"/>
        <color auto="1"/>
        <name val="Aptos Narrow"/>
        <family val="2"/>
        <scheme val="minor"/>
      </font>
      <numFmt numFmtId="2" formatCode="0.00"/>
      <fill>
        <patternFill patternType="none">
          <fgColor indexed="64"/>
          <bgColor indexed="65"/>
        </patternFill>
      </fill>
    </dxf>
    <dxf>
      <font>
        <b val="0"/>
        <i val="0"/>
        <strike val="0"/>
        <condense val="0"/>
        <extend val="0"/>
        <outline val="0"/>
        <shadow val="0"/>
        <u val="none"/>
        <vertAlign val="baseline"/>
        <sz val="11"/>
        <color auto="1"/>
        <name val="Aptos Narrow"/>
        <family val="2"/>
        <scheme val="minor"/>
      </font>
      <numFmt numFmtId="2" formatCode="0.00"/>
      <fill>
        <patternFill patternType="none">
          <fgColor indexed="64"/>
          <bgColor indexed="65"/>
        </patternFill>
      </fill>
    </dxf>
    <dxf>
      <font>
        <b val="0"/>
        <i val="0"/>
        <strike val="0"/>
        <condense val="0"/>
        <extend val="0"/>
        <outline val="0"/>
        <shadow val="0"/>
        <u val="none"/>
        <vertAlign val="baseline"/>
        <sz val="11"/>
        <color auto="1"/>
        <name val="Aptos Narrow"/>
        <family val="2"/>
        <scheme val="minor"/>
      </font>
      <numFmt numFmtId="2" formatCode="0.00"/>
      <fill>
        <patternFill patternType="none">
          <fgColor indexed="64"/>
          <bgColor indexed="65"/>
        </patternFill>
      </fill>
    </dxf>
    <dxf>
      <font>
        <b val="0"/>
        <i val="0"/>
        <strike val="0"/>
        <condense val="0"/>
        <extend val="0"/>
        <outline val="0"/>
        <shadow val="0"/>
        <u val="none"/>
        <vertAlign val="baseline"/>
        <sz val="11"/>
        <color auto="1"/>
        <name val="Aptos Narrow"/>
        <family val="2"/>
        <scheme val="minor"/>
      </font>
      <numFmt numFmtId="2" formatCode="0.00"/>
      <fill>
        <patternFill patternType="none">
          <fgColor indexed="64"/>
          <bgColor indexed="65"/>
        </patternFill>
      </fill>
    </dxf>
    <dxf>
      <font>
        <b val="0"/>
        <i val="0"/>
        <strike val="0"/>
        <condense val="0"/>
        <extend val="0"/>
        <outline val="0"/>
        <shadow val="0"/>
        <u val="none"/>
        <vertAlign val="baseline"/>
        <sz val="11"/>
        <color auto="1"/>
        <name val="Aptos Narrow"/>
        <family val="2"/>
        <scheme val="minor"/>
      </font>
      <numFmt numFmtId="2" formatCode="0.00"/>
      <fill>
        <patternFill patternType="none">
          <fgColor indexed="64"/>
          <bgColor indexed="65"/>
        </patternFill>
      </fill>
    </dxf>
    <dxf>
      <font>
        <b val="0"/>
        <i val="0"/>
        <strike val="0"/>
        <condense val="0"/>
        <extend val="0"/>
        <outline val="0"/>
        <shadow val="0"/>
        <u val="none"/>
        <vertAlign val="baseline"/>
        <sz val="11"/>
        <color auto="1"/>
        <name val="Aptos Narrow"/>
        <family val="2"/>
        <scheme val="minor"/>
      </font>
      <numFmt numFmtId="2" formatCode="0.00"/>
      <fill>
        <patternFill patternType="none">
          <fgColor indexed="64"/>
          <bgColor indexed="65"/>
        </patternFill>
      </fill>
    </dxf>
    <dxf>
      <font>
        <b val="0"/>
        <i val="0"/>
        <strike val="0"/>
        <condense val="0"/>
        <extend val="0"/>
        <outline val="0"/>
        <shadow val="0"/>
        <u val="none"/>
        <vertAlign val="baseline"/>
        <sz val="11"/>
        <color auto="1"/>
        <name val="Aptos Narrow"/>
        <family val="2"/>
        <scheme val="minor"/>
      </font>
      <numFmt numFmtId="2" formatCode="0.00"/>
      <fill>
        <patternFill patternType="none">
          <fgColor indexed="64"/>
          <bgColor indexed="65"/>
        </patternFill>
      </fill>
    </dxf>
    <dxf>
      <font>
        <b val="0"/>
        <i val="0"/>
        <strike val="0"/>
        <condense val="0"/>
        <extend val="0"/>
        <outline val="0"/>
        <shadow val="0"/>
        <u val="none"/>
        <vertAlign val="baseline"/>
        <sz val="11"/>
        <color auto="1"/>
        <name val="Aptos Narrow"/>
        <family val="2"/>
        <scheme val="minor"/>
      </font>
      <numFmt numFmtId="2" formatCode="0.00"/>
      <fill>
        <patternFill patternType="none">
          <fgColor indexed="64"/>
          <bgColor indexed="65"/>
        </patternFill>
      </fill>
    </dxf>
    <dxf>
      <font>
        <b val="0"/>
        <i val="0"/>
        <strike val="0"/>
        <condense val="0"/>
        <extend val="0"/>
        <outline val="0"/>
        <shadow val="0"/>
        <u val="none"/>
        <vertAlign val="baseline"/>
        <sz val="11"/>
        <color auto="1"/>
        <name val="Aptos Narrow"/>
        <family val="2"/>
        <scheme val="minor"/>
      </font>
      <numFmt numFmtId="2" formatCode="0.00"/>
      <fill>
        <patternFill patternType="none">
          <fgColor indexed="64"/>
          <bgColor indexed="65"/>
        </patternFill>
      </fill>
    </dxf>
    <dxf>
      <font>
        <b val="0"/>
        <i val="0"/>
        <strike val="0"/>
        <condense val="0"/>
        <extend val="0"/>
        <outline val="0"/>
        <shadow val="0"/>
        <u val="none"/>
        <vertAlign val="baseline"/>
        <sz val="11"/>
        <color auto="1"/>
        <name val="Aptos Narrow"/>
        <family val="2"/>
        <scheme val="minor"/>
      </font>
      <numFmt numFmtId="2" formatCode="0.00"/>
      <fill>
        <patternFill patternType="none">
          <fgColor indexed="64"/>
          <bgColor indexed="65"/>
        </patternFill>
      </fill>
    </dxf>
    <dxf>
      <font>
        <b val="0"/>
        <i val="0"/>
        <strike val="0"/>
        <condense val="0"/>
        <extend val="0"/>
        <outline val="0"/>
        <shadow val="0"/>
        <u val="none"/>
        <vertAlign val="baseline"/>
        <sz val="11"/>
        <color auto="1"/>
        <name val="Aptos Narrow"/>
        <family val="2"/>
        <scheme val="minor"/>
      </font>
      <numFmt numFmtId="2" formatCode="0.00"/>
      <fill>
        <patternFill patternType="none">
          <fgColor indexed="64"/>
          <bgColor indexed="65"/>
        </patternFill>
      </fill>
    </dxf>
    <dxf>
      <font>
        <b val="0"/>
        <i val="0"/>
        <strike val="0"/>
        <condense val="0"/>
        <extend val="0"/>
        <outline val="0"/>
        <shadow val="0"/>
        <u val="none"/>
        <vertAlign val="baseline"/>
        <sz val="11"/>
        <color auto="1"/>
        <name val="Aptos Narrow"/>
        <family val="2"/>
        <scheme val="minor"/>
      </font>
      <numFmt numFmtId="2" formatCode="0.00"/>
      <fill>
        <patternFill patternType="none">
          <fgColor indexed="64"/>
          <bgColor indexed="65"/>
        </patternFill>
      </fill>
    </dxf>
    <dxf>
      <font>
        <b val="0"/>
        <i val="0"/>
        <strike val="0"/>
        <condense val="0"/>
        <extend val="0"/>
        <outline val="0"/>
        <shadow val="0"/>
        <u val="none"/>
        <vertAlign val="baseline"/>
        <sz val="11"/>
        <color auto="1"/>
        <name val="Aptos Narrow"/>
        <family val="2"/>
        <scheme val="minor"/>
      </font>
      <numFmt numFmtId="2" formatCode="0.00"/>
      <fill>
        <patternFill patternType="none">
          <fgColor indexed="64"/>
          <bgColor indexed="65"/>
        </patternFill>
      </fill>
    </dxf>
    <dxf>
      <font>
        <b val="0"/>
        <i val="0"/>
        <strike val="0"/>
        <condense val="0"/>
        <extend val="0"/>
        <outline val="0"/>
        <shadow val="0"/>
        <u val="none"/>
        <vertAlign val="baseline"/>
        <sz val="11"/>
        <color auto="1"/>
        <name val="Aptos Narrow"/>
        <family val="2"/>
        <scheme val="minor"/>
      </font>
      <numFmt numFmtId="2" formatCode="0.00"/>
      <fill>
        <patternFill patternType="none">
          <fgColor indexed="64"/>
          <bgColor indexed="65"/>
        </patternFill>
      </fill>
    </dxf>
    <dxf>
      <font>
        <b val="0"/>
        <i val="0"/>
        <strike val="0"/>
        <condense val="0"/>
        <extend val="0"/>
        <outline val="0"/>
        <shadow val="0"/>
        <u val="none"/>
        <vertAlign val="baseline"/>
        <sz val="11"/>
        <color auto="1"/>
        <name val="Aptos Narrow"/>
        <family val="2"/>
        <scheme val="minor"/>
      </font>
      <numFmt numFmtId="2" formatCode="0.00"/>
      <fill>
        <patternFill patternType="none">
          <fgColor indexed="64"/>
          <bgColor indexed="65"/>
        </patternFill>
      </fill>
    </dxf>
    <dxf>
      <font>
        <b val="0"/>
        <i val="0"/>
        <strike val="0"/>
        <condense val="0"/>
        <extend val="0"/>
        <outline val="0"/>
        <shadow val="0"/>
        <u val="none"/>
        <vertAlign val="baseline"/>
        <sz val="11"/>
        <color auto="1"/>
        <name val="Aptos Narrow"/>
        <family val="2"/>
        <scheme val="minor"/>
      </font>
      <numFmt numFmtId="2" formatCode="0.00"/>
      <fill>
        <patternFill patternType="none">
          <fgColor indexed="64"/>
          <bgColor indexed="65"/>
        </patternFill>
      </fill>
    </dxf>
    <dxf>
      <font>
        <b val="0"/>
        <i val="0"/>
        <strike val="0"/>
        <condense val="0"/>
        <extend val="0"/>
        <outline val="0"/>
        <shadow val="0"/>
        <u val="none"/>
        <vertAlign val="baseline"/>
        <sz val="11"/>
        <color auto="1"/>
        <name val="Aptos Narrow"/>
        <family val="2"/>
        <scheme val="minor"/>
      </font>
      <numFmt numFmtId="2" formatCode="0.00"/>
      <fill>
        <patternFill patternType="none">
          <fgColor indexed="64"/>
          <bgColor indexed="65"/>
        </patternFill>
      </fill>
    </dxf>
    <dxf>
      <font>
        <b val="0"/>
        <i val="0"/>
        <strike val="0"/>
        <condense val="0"/>
        <extend val="0"/>
        <outline val="0"/>
        <shadow val="0"/>
        <u val="none"/>
        <vertAlign val="baseline"/>
        <sz val="11"/>
        <color auto="1"/>
        <name val="Aptos Narrow"/>
        <family val="2"/>
        <scheme val="minor"/>
      </font>
      <numFmt numFmtId="2" formatCode="0.00"/>
      <fill>
        <patternFill patternType="none">
          <fgColor indexed="64"/>
          <bgColor indexed="65"/>
        </patternFill>
      </fill>
    </dxf>
    <dxf>
      <font>
        <b val="0"/>
        <i val="0"/>
        <strike val="0"/>
        <condense val="0"/>
        <extend val="0"/>
        <outline val="0"/>
        <shadow val="0"/>
        <u val="none"/>
        <vertAlign val="baseline"/>
        <sz val="11"/>
        <color auto="1"/>
        <name val="Aptos Narrow"/>
        <family val="2"/>
        <scheme val="minor"/>
      </font>
      <numFmt numFmtId="0" formatCode="General"/>
      <fill>
        <patternFill patternType="none">
          <fgColor indexed="64"/>
          <bgColor indexed="65"/>
        </patternFill>
      </fill>
    </dxf>
    <dxf>
      <font>
        <b val="0"/>
        <i val="0"/>
        <strike val="0"/>
        <condense val="0"/>
        <extend val="0"/>
        <outline val="0"/>
        <shadow val="0"/>
        <u val="none"/>
        <vertAlign val="baseline"/>
        <sz val="11"/>
        <color auto="1"/>
        <name val="Aptos Narrow"/>
        <family val="2"/>
        <scheme val="minor"/>
      </font>
      <numFmt numFmtId="0" formatCode="General"/>
      <fill>
        <patternFill patternType="none">
          <fgColor indexed="64"/>
          <bgColor indexed="65"/>
        </patternFill>
      </fill>
    </dxf>
    <dxf>
      <font>
        <b val="0"/>
        <i val="0"/>
        <strike val="0"/>
        <condense val="0"/>
        <extend val="0"/>
        <outline val="0"/>
        <shadow val="0"/>
        <u val="none"/>
        <vertAlign val="baseline"/>
        <sz val="11"/>
        <color auto="1"/>
        <name val="Aptos Narrow"/>
        <family val="2"/>
        <scheme val="minor"/>
      </font>
      <numFmt numFmtId="0" formatCode="General"/>
      <fill>
        <patternFill patternType="none">
          <fgColor indexed="64"/>
          <bgColor indexed="65"/>
        </patternFill>
      </fill>
    </dxf>
    <dxf>
      <font>
        <b val="0"/>
        <i val="0"/>
        <strike val="0"/>
        <condense val="0"/>
        <extend val="0"/>
        <outline val="0"/>
        <shadow val="0"/>
        <u val="none"/>
        <vertAlign val="baseline"/>
        <sz val="11"/>
        <color auto="1"/>
        <name val="Aptos Narrow"/>
        <family val="2"/>
        <scheme val="minor"/>
      </font>
      <numFmt numFmtId="0" formatCode="General"/>
      <fill>
        <patternFill patternType="none">
          <fgColor indexed="64"/>
          <bgColor indexed="65"/>
        </patternFill>
      </fill>
    </dxf>
    <dxf>
      <font>
        <b val="0"/>
        <i val="0"/>
        <strike val="0"/>
        <condense val="0"/>
        <extend val="0"/>
        <outline val="0"/>
        <shadow val="0"/>
        <u val="none"/>
        <vertAlign val="baseline"/>
        <sz val="11"/>
        <color auto="1"/>
        <name val="Aptos Narrow"/>
        <family val="2"/>
        <scheme val="minor"/>
      </font>
      <numFmt numFmtId="0" formatCode="General"/>
      <fill>
        <patternFill patternType="none">
          <fgColor indexed="64"/>
          <bgColor indexed="65"/>
        </patternFill>
      </fill>
    </dxf>
    <dxf>
      <font>
        <b val="0"/>
        <i val="0"/>
        <strike val="0"/>
        <condense val="0"/>
        <extend val="0"/>
        <outline val="0"/>
        <shadow val="0"/>
        <u val="none"/>
        <vertAlign val="baseline"/>
        <sz val="11"/>
        <color auto="1"/>
        <name val="Aptos Narrow"/>
        <family val="2"/>
        <scheme val="minor"/>
      </font>
      <fill>
        <patternFill patternType="none">
          <fgColor indexed="64"/>
          <bgColor indexed="65"/>
        </patternFill>
      </fill>
    </dxf>
    <dxf>
      <font>
        <b/>
        <i val="0"/>
        <strike val="0"/>
        <condense val="0"/>
        <extend val="0"/>
        <outline val="0"/>
        <shadow val="0"/>
        <u val="none"/>
        <vertAlign val="baseline"/>
        <sz val="12"/>
        <color auto="1"/>
        <name val="Aptos Narrow"/>
        <family val="2"/>
        <scheme val="minor"/>
      </font>
      <fill>
        <patternFill patternType="none">
          <fgColor indexed="64"/>
          <bgColor indexed="65"/>
        </patternFill>
      </fill>
      <alignment horizontal="center" vertical="bottom" textRotation="0" wrapText="0" indent="0" justifyLastLine="0" shrinkToFit="0" readingOrder="0"/>
    </dxf>
  </dxfs>
  <tableStyles count="1" defaultTableStyle="TableStyleMedium2" defaultPivotStyle="PivotStyleLight16">
    <tableStyle name="Pokédex Ice Blue" pivot="0" table="0" count="4" xr9:uid="{00049B2F-6107-4180-9602-3C5D97306745}">
      <tableStyleElement type="wholeTable" dxfId="1"/>
      <tableStyleElement type="headerRow" dxfId="0"/>
    </tableStyle>
  </tableStyles>
  <colors>
    <mruColors>
      <color rgb="FF243B53"/>
      <color rgb="FF6BA5D7"/>
      <color rgb="FFDCEAF7"/>
      <color rgb="FFD94A4A"/>
      <color rgb="FFDF4945"/>
    </mruColors>
  </colors>
  <extLst>
    <ext xmlns:x14="http://schemas.microsoft.com/office/spreadsheetml/2009/9/main" uri="{46F421CA-312F-682f-3DD2-61675219B42D}">
      <x14:dxfs count="2">
        <dxf>
          <font>
            <b/>
            <i val="0"/>
            <color rgb="FF243B53"/>
          </font>
          <fill>
            <patternFill>
              <bgColor rgb="FF6BA5D7"/>
            </patternFill>
          </fill>
        </dxf>
        <dxf>
          <font>
            <b/>
            <i val="0"/>
            <color rgb="FF243B53"/>
          </font>
          <fill>
            <patternFill>
              <bgColor rgb="FFDCEAF7"/>
            </patternFill>
          </fill>
        </dxf>
      </x14:dxfs>
    </ext>
    <ext xmlns:x14="http://schemas.microsoft.com/office/spreadsheetml/2009/9/main" uri="{EB79DEF2-80B8-43e5-95BD-54CBDDF9020C}">
      <x14:slicerStyles defaultSlicerStyle="SlicerStyleLight1">
        <x14:slicerStyle name="Pokédex Ice Blue">
          <x14:slicerStyleElements>
            <x14:slicerStyleElement type="unselectedItemWithData" dxfId="1"/>
            <x14:slicerStyleElement type="selectedItemWithData" dxfId="0"/>
          </x14:slicerStyleElements>
        </x14:slicerStyle>
      </x14:slicerStyles>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8" Type="http://schemas.microsoft.com/office/2007/relationships/slicerCache" Target="slicerCaches/slicerCache2.xml"/><Relationship Id="rId13" Type="http://schemas.openxmlformats.org/officeDocument/2006/relationships/calcChain" Target="calcChain.xml"/><Relationship Id="rId3" Type="http://schemas.openxmlformats.org/officeDocument/2006/relationships/worksheet" Target="worksheets/sheet3.xml"/><Relationship Id="rId7" Type="http://schemas.microsoft.com/office/2007/relationships/slicerCache" Target="slicerCaches/slicerCache1.xml"/><Relationship Id="rId12" Type="http://schemas.openxmlformats.org/officeDocument/2006/relationships/sharedStrings" Target="sharedStrings.xml"/><Relationship Id="rId2" Type="http://schemas.openxmlformats.org/officeDocument/2006/relationships/worksheet" Target="worksheets/sheet2.xml"/><Relationship Id="rId1" Type="http://schemas.openxmlformats.org/officeDocument/2006/relationships/worksheet" Target="worksheets/sheet1.xml"/><Relationship Id="rId6" Type="http://schemas.openxmlformats.org/officeDocument/2006/relationships/pivotCacheDefinition" Target="pivotCache/pivotCacheDefinition1.xml"/><Relationship Id="rId11" Type="http://schemas.openxmlformats.org/officeDocument/2006/relationships/styles" Target="styles.xml"/><Relationship Id="rId5" Type="http://schemas.openxmlformats.org/officeDocument/2006/relationships/worksheet" Target="worksheets/sheet5.xml"/><Relationship Id="rId10" Type="http://schemas.openxmlformats.org/officeDocument/2006/relationships/connections" Target="connections.xml"/><Relationship Id="rId4" Type="http://schemas.openxmlformats.org/officeDocument/2006/relationships/worksheet" Target="worksheets/sheet4.xml"/><Relationship Id="rId9" Type="http://schemas.openxmlformats.org/officeDocument/2006/relationships/theme" Target="theme/theme1.xml"/><Relationship Id="rId14" Type="http://schemas.openxmlformats.org/officeDocument/2006/relationships/customXml" Target="../customXml/item1.xml"/></Relationships>
</file>

<file path=xl/charts/_rels/chart1.xml.rels><?xml version="1.0" encoding="UTF-8" standalone="yes"?>
<Relationships xmlns="http://schemas.openxmlformats.org/package/2006/relationships"><Relationship Id="rId2" Type="http://schemas.microsoft.com/office/2011/relationships/chartColorStyle" Target="colors1.xml"/><Relationship Id="rId1" Type="http://schemas.microsoft.com/office/2011/relationships/chartStyle" Target="style1.xml"/></Relationships>
</file>

<file path=xl/charts/_rels/chart2.xml.rels><?xml version="1.0" encoding="UTF-8" standalone="yes"?>
<Relationships xmlns="http://schemas.openxmlformats.org/package/2006/relationships"><Relationship Id="rId2" Type="http://schemas.microsoft.com/office/2011/relationships/chartColorStyle" Target="colors2.xml"/><Relationship Id="rId1" Type="http://schemas.microsoft.com/office/2011/relationships/chartStyle" Target="style2.xml"/></Relationships>
</file>

<file path=xl/charts/_rels/chart3.xml.rels><?xml version="1.0" encoding="UTF-8" standalone="yes"?>
<Relationships xmlns="http://schemas.openxmlformats.org/package/2006/relationships"><Relationship Id="rId2" Type="http://schemas.microsoft.com/office/2011/relationships/chartColorStyle" Target="colors3.xml"/><Relationship Id="rId1" Type="http://schemas.microsoft.com/office/2011/relationships/chartStyle" Target="style3.xml"/></Relationships>
</file>

<file path=xl/charts/_rels/chart4.xml.rels><?xml version="1.0" encoding="UTF-8" standalone="yes"?>
<Relationships xmlns="http://schemas.openxmlformats.org/package/2006/relationships"><Relationship Id="rId2" Type="http://schemas.microsoft.com/office/2011/relationships/chartColorStyle" Target="colors4.xml"/><Relationship Id="rId1" Type="http://schemas.microsoft.com/office/2011/relationships/chartStyle" Target="style4.xml"/></Relationships>
</file>

<file path=xl/charts/chart1.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[Pokemon Dataset.xlsx]Pivot Analysis!PokemonGeneration</c:name>
    <c:fmtId val="17"/>
  </c:pivotSource>
  <c:chart>
    <c:title>
      <c:tx>
        <c:rich>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r>
              <a:rPr lang="en-GB" sz="1400" b="0" i="0" u="none" strike="noStrike" baseline="0"/>
              <a:t>Pokémon Distribution by Generation</a:t>
            </a:r>
            <a:endParaRPr lang="en-GB"/>
          </a:p>
        </c:rich>
      </c:tx>
      <c:overlay val="0"/>
      <c:spPr>
        <a:noFill/>
        <a:ln>
          <a:noFill/>
        </a:ln>
        <a:effectLst/>
      </c:spPr>
      <c:txPr>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endParaRPr lang="en-GB"/>
        </a:p>
      </c:txPr>
    </c:title>
    <c:autoTitleDeleted val="0"/>
    <c:pivotFmts>
      <c:pivotFmt>
        <c:idx val="0"/>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outEnd"/>
          <c:showLegendKey val="0"/>
          <c:showVal val="1"/>
          <c:showCatName val="0"/>
          <c:showSerName val="0"/>
          <c:showPercent val="0"/>
          <c:showBubbleSize val="0"/>
          <c:extLst>
            <c:ext xmlns:c15="http://schemas.microsoft.com/office/drawing/2012/chart" uri="{CE6537A1-D6FC-4f65-9D91-7224C49458BB}"/>
          </c:extLst>
        </c:dLbl>
      </c:pivotFmt>
      <c:pivotFmt>
        <c:idx val="1"/>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outEnd"/>
          <c:showLegendKey val="0"/>
          <c:showVal val="1"/>
          <c:showCatName val="0"/>
          <c:showSerName val="0"/>
          <c:showPercent val="0"/>
          <c:showBubbleSize val="0"/>
          <c:extLst>
            <c:ext xmlns:c15="http://schemas.microsoft.com/office/drawing/2012/chart" uri="{CE6537A1-D6FC-4f65-9D91-7224C49458BB}"/>
          </c:extLst>
        </c:dLbl>
      </c:pivotFmt>
      <c:pivotFmt>
        <c:idx val="2"/>
        <c:spPr>
          <a:solidFill>
            <a:srgbClr val="243B53"/>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outEnd"/>
          <c:showLegendKey val="0"/>
          <c:showVal val="1"/>
          <c:showCatName val="0"/>
          <c:showSerName val="0"/>
          <c:showPercent val="0"/>
          <c:showBubbleSize val="0"/>
          <c:extLst>
            <c:ext xmlns:c15="http://schemas.microsoft.com/office/drawing/2012/chart" uri="{CE6537A1-D6FC-4f65-9D91-7224C49458BB}"/>
          </c:extLst>
        </c:dLbl>
      </c:pivotFmt>
    </c:pivotFmts>
    <c:plotArea>
      <c:layout/>
      <c:barChart>
        <c:barDir val="col"/>
        <c:grouping val="clustered"/>
        <c:varyColors val="0"/>
        <c:ser>
          <c:idx val="0"/>
          <c:order val="0"/>
          <c:tx>
            <c:strRef>
              <c:f>'Pivot Analysis'!$B$2</c:f>
              <c:strCache>
                <c:ptCount val="1"/>
                <c:pt idx="0">
                  <c:v>Total</c:v>
                </c:pt>
              </c:strCache>
            </c:strRef>
          </c:tx>
          <c:spPr>
            <a:solidFill>
              <a:srgbClr val="243B53"/>
            </a:solidFill>
            <a:ln>
              <a:noFill/>
            </a:ln>
            <a:effectLst/>
          </c:spPr>
          <c:invertIfNegative val="0"/>
          <c:dLbls>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outEnd"/>
            <c:showLegendKey val="0"/>
            <c:showVal val="1"/>
            <c:showCatName val="0"/>
            <c:showSerName val="0"/>
            <c:showPercent val="0"/>
            <c:showBubbleSize val="0"/>
            <c:showLeaderLines val="0"/>
            <c:extLst>
              <c:ext xmlns:c15="http://schemas.microsoft.com/office/drawing/2012/chart" uri="{CE6537A1-D6FC-4f65-9D91-7224C49458BB}">
                <c15:showLeaderLines val="1"/>
                <c15:leaderLines>
                  <c:spPr>
                    <a:ln w="9525" cap="flat" cmpd="sng" algn="ctr">
                      <a:solidFill>
                        <a:schemeClr val="tx1">
                          <a:lumMod val="35000"/>
                          <a:lumOff val="65000"/>
                        </a:schemeClr>
                      </a:solidFill>
                      <a:round/>
                    </a:ln>
                    <a:effectLst/>
                  </c:spPr>
                </c15:leaderLines>
              </c:ext>
            </c:extLst>
          </c:dLbls>
          <c:cat>
            <c:strRef>
              <c:f>'Pivot Analysis'!$A$3:$A$10</c:f>
              <c:strCache>
                <c:ptCount val="7"/>
                <c:pt idx="0">
                  <c:v>1</c:v>
                </c:pt>
                <c:pt idx="1">
                  <c:v>2</c:v>
                </c:pt>
                <c:pt idx="2">
                  <c:v>3</c:v>
                </c:pt>
                <c:pt idx="3">
                  <c:v>4</c:v>
                </c:pt>
                <c:pt idx="4">
                  <c:v>5</c:v>
                </c:pt>
                <c:pt idx="5">
                  <c:v>6</c:v>
                </c:pt>
                <c:pt idx="6">
                  <c:v>7</c:v>
                </c:pt>
              </c:strCache>
            </c:strRef>
          </c:cat>
          <c:val>
            <c:numRef>
              <c:f>'Pivot Analysis'!$B$3:$B$10</c:f>
              <c:numCache>
                <c:formatCode>General</c:formatCode>
                <c:ptCount val="7"/>
                <c:pt idx="0">
                  <c:v>151</c:v>
                </c:pt>
                <c:pt idx="1">
                  <c:v>100</c:v>
                </c:pt>
                <c:pt idx="2">
                  <c:v>135</c:v>
                </c:pt>
                <c:pt idx="3">
                  <c:v>107</c:v>
                </c:pt>
                <c:pt idx="4">
                  <c:v>156</c:v>
                </c:pt>
                <c:pt idx="5">
                  <c:v>72</c:v>
                </c:pt>
                <c:pt idx="6">
                  <c:v>80</c:v>
                </c:pt>
              </c:numCache>
            </c:numRef>
          </c:val>
          <c:extLst>
            <c:ext xmlns:c16="http://schemas.microsoft.com/office/drawing/2014/chart" uri="{C3380CC4-5D6E-409C-BE32-E72D297353CC}">
              <c16:uniqueId val="{00000000-5CE4-43B0-B39A-124EFCB374BC}"/>
            </c:ext>
          </c:extLst>
        </c:ser>
        <c:dLbls>
          <c:dLblPos val="outEnd"/>
          <c:showLegendKey val="0"/>
          <c:showVal val="1"/>
          <c:showCatName val="0"/>
          <c:showSerName val="0"/>
          <c:showPercent val="0"/>
          <c:showBubbleSize val="0"/>
        </c:dLbls>
        <c:gapWidth val="219"/>
        <c:overlap val="-27"/>
        <c:axId val="146957183"/>
        <c:axId val="720933407"/>
      </c:barChart>
      <c:catAx>
        <c:axId val="146957183"/>
        <c:scaling>
          <c:orientation val="minMax"/>
        </c:scaling>
        <c:delete val="0"/>
        <c:axPos val="b"/>
        <c:numFmt formatCode="General" sourceLinked="1"/>
        <c:majorTickMark val="none"/>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720933407"/>
        <c:crosses val="autoZero"/>
        <c:auto val="1"/>
        <c:lblAlgn val="ctr"/>
        <c:lblOffset val="100"/>
        <c:noMultiLvlLbl val="0"/>
      </c:catAx>
      <c:valAx>
        <c:axId val="720933407"/>
        <c:scaling>
          <c:orientation val="minMax"/>
        </c:scaling>
        <c:delete val="0"/>
        <c:axPos val="l"/>
        <c:majorGridlines>
          <c:spPr>
            <a:ln w="9525" cap="flat" cmpd="sng" algn="ctr">
              <a:solidFill>
                <a:schemeClr val="tx1">
                  <a:lumMod val="15000"/>
                  <a:lumOff val="85000"/>
                </a:schemeClr>
              </a:solidFill>
              <a:round/>
            </a:ln>
            <a:effectLst/>
          </c:spPr>
        </c:majorGridlines>
        <c:numFmt formatCode="General"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146957183"/>
        <c:crosses val="autoZero"/>
        <c:crossBetween val="between"/>
      </c:valAx>
      <c:spPr>
        <a:noFill/>
        <a:ln>
          <a:noFill/>
        </a:ln>
        <a:effectLst/>
      </c:spPr>
    </c:plotArea>
    <c:plotVisOnly val="1"/>
    <c:dispBlanksAs val="gap"/>
    <c:showDLblsOverMax val="0"/>
    <c:extLst>
      <c:ext xmlns:c16r3="http://schemas.microsoft.com/office/drawing/2017/03/chart" uri="{56B9EC1D-385E-4148-901F-78D8002777C0}">
        <c16r3:dataDisplayOptions16>
          <c16r3:dispNaAsBlank val="1"/>
        </c16r3:dataDisplayOptions16>
      </c:ext>
    </c:extLst>
  </c:chart>
  <c:spPr>
    <a:solidFill>
      <a:schemeClr val="bg1"/>
    </a:solidFill>
    <a:ln w="9525" cap="flat" cmpd="sng" algn="ctr">
      <a:solidFill>
        <a:schemeClr val="tx1">
          <a:lumMod val="15000"/>
          <a:lumOff val="85000"/>
        </a:schemeClr>
      </a:solid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pivotOptions>
    </c:ext>
    <c:ext xmlns:c16="http://schemas.microsoft.com/office/drawing/2014/chart" uri="{E28EC0CA-F0BB-4C9C-879D-F8772B89E7AC}">
      <c16:pivotOptions16>
        <c16:showExpandCollapseFieldButtons val="1"/>
      </c16:pivotOptions16>
    </c:ext>
  </c:extLst>
</c:chartSpace>
</file>

<file path=xl/charts/chart2.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[Pokemon Dataset.xlsx]Pivot Analysis!Legendary_vs_Non-legendary</c:name>
    <c:fmtId val="4"/>
  </c:pivotSource>
  <c:chart>
    <c:title>
      <c:tx>
        <c:rich>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r>
              <a:rPr lang="en-GB" sz="1400" b="0" i="0" u="none" strike="noStrike" baseline="0"/>
              <a:t>Legendary vs Non-Legendary Pokémon</a:t>
            </a:r>
            <a:endParaRPr lang="en-US"/>
          </a:p>
        </c:rich>
      </c:tx>
      <c:overlay val="0"/>
      <c:spPr>
        <a:noFill/>
        <a:ln>
          <a:noFill/>
        </a:ln>
        <a:effectLst/>
      </c:spPr>
      <c:txPr>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endParaRPr lang="en-US"/>
        </a:p>
      </c:txPr>
    </c:title>
    <c:autoTitleDeleted val="0"/>
    <c:pivotFmts>
      <c:pivotFmt>
        <c:idx val="0"/>
        <c:spPr>
          <a:solidFill>
            <a:schemeClr val="tx2">
              <a:lumMod val="50000"/>
              <a:lumOff val="50000"/>
            </a:schemeClr>
          </a:solidFill>
          <a:ln w="19050">
            <a:solidFill>
              <a:schemeClr val="lt1"/>
            </a:solid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1"/>
          <c:showSerName val="0"/>
          <c:showPercent val="1"/>
          <c:showBubbleSize val="0"/>
          <c:extLst>
            <c:ext xmlns:c15="http://schemas.microsoft.com/office/drawing/2012/chart" uri="{CE6537A1-D6FC-4f65-9D91-7224C49458BB}"/>
          </c:extLst>
        </c:dLbl>
      </c:pivotFmt>
      <c:pivotFmt>
        <c:idx val="1"/>
        <c:spPr>
          <a:solidFill>
            <a:schemeClr val="tx2">
              <a:lumMod val="50000"/>
              <a:lumOff val="50000"/>
            </a:schemeClr>
          </a:solidFill>
          <a:ln w="19050">
            <a:solidFill>
              <a:schemeClr val="lt1"/>
            </a:solidFill>
          </a:ln>
          <a:effectLst/>
        </c:spPr>
        <c:dLbl>
          <c:idx val="0"/>
          <c:layout>
            <c:manualLayout>
              <c:x val="0.16388888888888889"/>
              <c:y val="-0.1574074074074075"/>
            </c:manualLayout>
          </c:layout>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1"/>
          <c:showSerName val="0"/>
          <c:showPercent val="1"/>
          <c:showBubbleSize val="0"/>
          <c:extLst>
            <c:ext xmlns:c15="http://schemas.microsoft.com/office/drawing/2012/chart" uri="{CE6537A1-D6FC-4f65-9D91-7224C49458BB}"/>
          </c:extLst>
        </c:dLbl>
      </c:pivotFmt>
      <c:pivotFmt>
        <c:idx val="2"/>
        <c:spPr>
          <a:solidFill>
            <a:schemeClr val="accent2"/>
          </a:solidFill>
          <a:ln w="19050">
            <a:solidFill>
              <a:schemeClr val="lt1"/>
            </a:solidFill>
          </a:ln>
          <a:effectLst/>
        </c:spPr>
      </c:pivotFmt>
      <c:pivotFmt>
        <c:idx val="3"/>
        <c:spPr>
          <a:solidFill>
            <a:schemeClr val="tx2">
              <a:lumMod val="50000"/>
              <a:lumOff val="50000"/>
            </a:schemeClr>
          </a:solidFill>
          <a:ln w="19050">
            <a:solidFill>
              <a:schemeClr val="lt1"/>
            </a:solid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1"/>
          <c:showSerName val="0"/>
          <c:showPercent val="1"/>
          <c:showBubbleSize val="0"/>
          <c:extLst>
            <c:ext xmlns:c15="http://schemas.microsoft.com/office/drawing/2012/chart" uri="{CE6537A1-D6FC-4f65-9D91-7224C49458BB}"/>
          </c:extLst>
        </c:dLbl>
      </c:pivotFmt>
      <c:pivotFmt>
        <c:idx val="4"/>
        <c:spPr>
          <a:solidFill>
            <a:schemeClr val="tx2">
              <a:lumMod val="50000"/>
              <a:lumOff val="50000"/>
            </a:schemeClr>
          </a:solidFill>
          <a:ln w="19050">
            <a:solidFill>
              <a:schemeClr val="lt1"/>
            </a:solidFill>
          </a:ln>
          <a:effectLst/>
        </c:spPr>
        <c:dLbl>
          <c:idx val="0"/>
          <c:layout>
            <c:manualLayout>
              <c:x val="0.16388888888888889"/>
              <c:y val="-0.1574074074074075"/>
            </c:manualLayout>
          </c:layout>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1"/>
          <c:showSerName val="0"/>
          <c:showPercent val="1"/>
          <c:showBubbleSize val="0"/>
          <c:extLst>
            <c:ext xmlns:c15="http://schemas.microsoft.com/office/drawing/2012/chart" uri="{CE6537A1-D6FC-4f65-9D91-7224C49458BB}"/>
          </c:extLst>
        </c:dLbl>
      </c:pivotFmt>
      <c:pivotFmt>
        <c:idx val="5"/>
        <c:spPr>
          <a:solidFill>
            <a:schemeClr val="accent1"/>
          </a:solidFill>
          <a:ln w="19050">
            <a:solidFill>
              <a:schemeClr val="lt1"/>
            </a:solidFill>
          </a:ln>
          <a:effectLst/>
        </c:spPr>
      </c:pivotFmt>
      <c:pivotFmt>
        <c:idx val="6"/>
        <c:spPr>
          <a:solidFill>
            <a:schemeClr val="tx2">
              <a:lumMod val="50000"/>
              <a:lumOff val="50000"/>
            </a:schemeClr>
          </a:solidFill>
          <a:ln w="19050">
            <a:solidFill>
              <a:schemeClr val="lt1"/>
            </a:solid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1"/>
          <c:showSerName val="0"/>
          <c:showPercent val="1"/>
          <c:showBubbleSize val="0"/>
          <c:extLst>
            <c:ext xmlns:c15="http://schemas.microsoft.com/office/drawing/2012/chart" uri="{CE6537A1-D6FC-4f65-9D91-7224C49458BB}"/>
          </c:extLst>
        </c:dLbl>
      </c:pivotFmt>
      <c:pivotFmt>
        <c:idx val="7"/>
        <c:spPr>
          <a:solidFill>
            <a:srgbClr val="DCEAF7"/>
          </a:solidFill>
          <a:ln w="19050">
            <a:solidFill>
              <a:schemeClr val="lt1"/>
            </a:solidFill>
          </a:ln>
          <a:effectLst/>
        </c:spPr>
        <c:dLbl>
          <c:idx val="0"/>
          <c:layout>
            <c:manualLayout>
              <c:x val="-4.2453204867003304E-2"/>
              <c:y val="7.7213190156627696E-3"/>
            </c:manualLayout>
          </c:layout>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1"/>
          <c:showSerName val="0"/>
          <c:showPercent val="1"/>
          <c:showBubbleSize val="0"/>
          <c:extLst>
            <c:ext xmlns:c15="http://schemas.microsoft.com/office/drawing/2012/chart" uri="{CE6537A1-D6FC-4f65-9D91-7224C49458BB}"/>
          </c:extLst>
        </c:dLbl>
      </c:pivotFmt>
      <c:pivotFmt>
        <c:idx val="8"/>
        <c:spPr>
          <a:solidFill>
            <a:srgbClr val="D94A4A"/>
          </a:solidFill>
          <a:ln w="19050">
            <a:solidFill>
              <a:schemeClr val="lt1"/>
            </a:solidFill>
          </a:ln>
          <a:effectLst/>
        </c:spPr>
        <c:dLbl>
          <c:idx val="0"/>
          <c:layout>
            <c:manualLayout>
              <c:x val="-6.0045968230855034E-17"/>
              <c:y val="3.612194182457662E-2"/>
            </c:manualLayout>
          </c:layout>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1"/>
          <c:showSerName val="0"/>
          <c:showPercent val="1"/>
          <c:showBubbleSize val="0"/>
          <c:extLst>
            <c:ext xmlns:c15="http://schemas.microsoft.com/office/drawing/2012/chart" uri="{CE6537A1-D6FC-4f65-9D91-7224C49458BB}"/>
          </c:extLst>
        </c:dLbl>
      </c:pivotFmt>
    </c:pivotFmts>
    <c:plotArea>
      <c:layout>
        <c:manualLayout>
          <c:layoutTarget val="inner"/>
          <c:xMode val="edge"/>
          <c:yMode val="edge"/>
          <c:x val="0.24640748031496057"/>
          <c:y val="0.18097222222222226"/>
          <c:w val="0.46641666666666665"/>
          <c:h val="0.77736111111111106"/>
        </c:manualLayout>
      </c:layout>
      <c:doughnutChart>
        <c:varyColors val="1"/>
        <c:ser>
          <c:idx val="0"/>
          <c:order val="0"/>
          <c:tx>
            <c:strRef>
              <c:f>'Pivot Analysis'!$B$16</c:f>
              <c:strCache>
                <c:ptCount val="1"/>
                <c:pt idx="0">
                  <c:v>Total</c:v>
                </c:pt>
              </c:strCache>
            </c:strRef>
          </c:tx>
          <c:spPr>
            <a:solidFill>
              <a:schemeClr val="tx2">
                <a:lumMod val="50000"/>
                <a:lumOff val="50000"/>
              </a:schemeClr>
            </a:solidFill>
          </c:spPr>
          <c:dPt>
            <c:idx val="0"/>
            <c:bubble3D val="0"/>
            <c:spPr>
              <a:solidFill>
                <a:srgbClr val="DCEAF7"/>
              </a:solidFill>
              <a:ln w="19050">
                <a:solidFill>
                  <a:schemeClr val="lt1"/>
                </a:solidFill>
              </a:ln>
              <a:effectLst/>
            </c:spPr>
            <c:extLst>
              <c:ext xmlns:c16="http://schemas.microsoft.com/office/drawing/2014/chart" uri="{C3380CC4-5D6E-409C-BE32-E72D297353CC}">
                <c16:uniqueId val="{00000001-3F7B-4562-981D-0C8A0BAA1865}"/>
              </c:ext>
            </c:extLst>
          </c:dPt>
          <c:dPt>
            <c:idx val="1"/>
            <c:bubble3D val="0"/>
            <c:spPr>
              <a:solidFill>
                <a:srgbClr val="D94A4A"/>
              </a:solidFill>
              <a:ln w="19050">
                <a:solidFill>
                  <a:schemeClr val="lt1"/>
                </a:solidFill>
              </a:ln>
              <a:effectLst/>
            </c:spPr>
            <c:extLst>
              <c:ext xmlns:c16="http://schemas.microsoft.com/office/drawing/2014/chart" uri="{C3380CC4-5D6E-409C-BE32-E72D297353CC}">
                <c16:uniqueId val="{00000003-3F7B-4562-981D-0C8A0BAA1865}"/>
              </c:ext>
            </c:extLst>
          </c:dPt>
          <c:dLbls>
            <c:dLbl>
              <c:idx val="0"/>
              <c:layout>
                <c:manualLayout>
                  <c:x val="-4.2453204867003304E-2"/>
                  <c:y val="7.7213190156627696E-3"/>
                </c:manualLayout>
              </c:layout>
              <c:showLegendKey val="0"/>
              <c:showVal val="0"/>
              <c:showCatName val="1"/>
              <c:showSerName val="0"/>
              <c:showPercent val="1"/>
              <c:showBubbleSize val="0"/>
              <c:extLst>
                <c:ext xmlns:c15="http://schemas.microsoft.com/office/drawing/2012/chart" uri="{CE6537A1-D6FC-4f65-9D91-7224C49458BB}"/>
                <c:ext xmlns:c16="http://schemas.microsoft.com/office/drawing/2014/chart" uri="{C3380CC4-5D6E-409C-BE32-E72D297353CC}">
                  <c16:uniqueId val="{00000001-3F7B-4562-981D-0C8A0BAA1865}"/>
                </c:ext>
              </c:extLst>
            </c:dLbl>
            <c:dLbl>
              <c:idx val="1"/>
              <c:layout>
                <c:manualLayout>
                  <c:x val="-6.0045968230855034E-17"/>
                  <c:y val="3.612194182457662E-2"/>
                </c:manualLayout>
              </c:layout>
              <c:showLegendKey val="0"/>
              <c:showVal val="0"/>
              <c:showCatName val="1"/>
              <c:showSerName val="0"/>
              <c:showPercent val="1"/>
              <c:showBubbleSize val="0"/>
              <c:extLst>
                <c:ext xmlns:c15="http://schemas.microsoft.com/office/drawing/2012/chart" uri="{CE6537A1-D6FC-4f65-9D91-7224C49458BB}"/>
                <c:ext xmlns:c16="http://schemas.microsoft.com/office/drawing/2014/chart" uri="{C3380CC4-5D6E-409C-BE32-E72D297353CC}">
                  <c16:uniqueId val="{00000003-3F7B-4562-981D-0C8A0BAA1865}"/>
                </c:ext>
              </c:extLst>
            </c:dLbl>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1"/>
            <c:showSerName val="0"/>
            <c:showPercent val="1"/>
            <c:showBubbleSize val="0"/>
            <c:showLeaderLines val="1"/>
            <c:leaderLines>
              <c:spPr>
                <a:ln w="9525" cap="flat" cmpd="sng" algn="ctr">
                  <a:solidFill>
                    <a:schemeClr val="tx1">
                      <a:lumMod val="35000"/>
                      <a:lumOff val="65000"/>
                    </a:schemeClr>
                  </a:solidFill>
                  <a:round/>
                </a:ln>
                <a:effectLst/>
              </c:spPr>
            </c:leaderLines>
            <c:extLst>
              <c:ext xmlns:c15="http://schemas.microsoft.com/office/drawing/2012/chart" uri="{CE6537A1-D6FC-4f65-9D91-7224C49458BB}"/>
            </c:extLst>
          </c:dLbls>
          <c:cat>
            <c:strRef>
              <c:f>'Pivot Analysis'!$A$17:$A$19</c:f>
              <c:strCache>
                <c:ptCount val="2"/>
                <c:pt idx="0">
                  <c:v>No</c:v>
                </c:pt>
                <c:pt idx="1">
                  <c:v>Yes</c:v>
                </c:pt>
              </c:strCache>
            </c:strRef>
          </c:cat>
          <c:val>
            <c:numRef>
              <c:f>'Pivot Analysis'!$B$17:$B$19</c:f>
              <c:numCache>
                <c:formatCode>General</c:formatCode>
                <c:ptCount val="2"/>
                <c:pt idx="0">
                  <c:v>731</c:v>
                </c:pt>
                <c:pt idx="1">
                  <c:v>70</c:v>
                </c:pt>
              </c:numCache>
            </c:numRef>
          </c:val>
          <c:extLst>
            <c:ext xmlns:c16="http://schemas.microsoft.com/office/drawing/2014/chart" uri="{C3380CC4-5D6E-409C-BE32-E72D297353CC}">
              <c16:uniqueId val="{00000004-3F7B-4562-981D-0C8A0BAA1865}"/>
            </c:ext>
          </c:extLst>
        </c:ser>
        <c:dLbls>
          <c:showLegendKey val="0"/>
          <c:showVal val="1"/>
          <c:showCatName val="0"/>
          <c:showSerName val="0"/>
          <c:showPercent val="0"/>
          <c:showBubbleSize val="0"/>
          <c:showLeaderLines val="1"/>
        </c:dLbls>
        <c:firstSliceAng val="0"/>
        <c:holeSize val="75"/>
      </c:doughnutChart>
      <c:spPr>
        <a:noFill/>
        <a:ln>
          <a:noFill/>
        </a:ln>
        <a:effectLst/>
      </c:spPr>
    </c:plotArea>
    <c:legend>
      <c:legendPos val="r"/>
      <c:overlay val="0"/>
      <c:spPr>
        <a:noFill/>
        <a:ln>
          <a:noFill/>
        </a:ln>
        <a:effectLst/>
      </c:spPr>
      <c:txPr>
        <a:bodyPr rot="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legend>
    <c:plotVisOnly val="1"/>
    <c:dispBlanksAs val="gap"/>
    <c:showDLblsOverMax val="0"/>
    <c:extLst>
      <c:ext xmlns:c16r3="http://schemas.microsoft.com/office/drawing/2017/03/chart" uri="{56B9EC1D-385E-4148-901F-78D8002777C0}">
        <c16r3:dataDisplayOptions16>
          <c16r3:dispNaAsBlank val="1"/>
        </c16r3:dataDisplayOptions16>
      </c:ext>
    </c:extLst>
  </c:chart>
  <c:spPr>
    <a:solidFill>
      <a:schemeClr val="bg1"/>
    </a:solidFill>
    <a:ln w="9525" cap="flat" cmpd="sng" algn="ctr">
      <a:solidFill>
        <a:schemeClr val="tx1">
          <a:lumMod val="15000"/>
          <a:lumOff val="85000"/>
        </a:schemeClr>
      </a:solid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dropZoneSeries val="1"/>
      </c14:pivotOptions>
    </c:ext>
    <c:ext xmlns:c16="http://schemas.microsoft.com/office/drawing/2014/chart" uri="{E28EC0CA-F0BB-4C9C-879D-F8772B89E7AC}">
      <c16:pivotOptions16>
        <c16:showExpandCollapseFieldButtons val="1"/>
      </c16:pivotOptions16>
    </c:ext>
  </c:extLst>
</c:chartSpace>
</file>

<file path=xl/charts/chart3.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[Pokemon Dataset.xlsx]Pivot Analysis!Pokémon type</c:name>
    <c:fmtId val="4"/>
  </c:pivotSource>
  <c:chart>
    <c:title>
      <c:tx>
        <c:rich>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r>
              <a:rPr lang="en-GB" sz="1400" b="0" i="0" u="none" strike="noStrike" baseline="0"/>
              <a:t>Pokémon by Primary Type</a:t>
            </a:r>
            <a:endParaRPr lang="en-US"/>
          </a:p>
        </c:rich>
      </c:tx>
      <c:overlay val="0"/>
      <c:spPr>
        <a:noFill/>
        <a:ln>
          <a:noFill/>
        </a:ln>
        <a:effectLst/>
      </c:spPr>
      <c:txPr>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endParaRPr lang="en-US"/>
        </a:p>
      </c:txPr>
    </c:title>
    <c:autoTitleDeleted val="0"/>
    <c:pivotFmts>
      <c:pivotFmt>
        <c:idx val="0"/>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1"/>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2"/>
        <c:spPr>
          <a:solidFill>
            <a:schemeClr val="tx2">
              <a:lumMod val="50000"/>
              <a:lumOff val="50000"/>
            </a:schemeClr>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s>
    <c:plotArea>
      <c:layout/>
      <c:barChart>
        <c:barDir val="bar"/>
        <c:grouping val="clustered"/>
        <c:varyColors val="0"/>
        <c:ser>
          <c:idx val="0"/>
          <c:order val="0"/>
          <c:tx>
            <c:strRef>
              <c:f>'Pivot Analysis'!$E$2</c:f>
              <c:strCache>
                <c:ptCount val="1"/>
                <c:pt idx="0">
                  <c:v>Total</c:v>
                </c:pt>
              </c:strCache>
            </c:strRef>
          </c:tx>
          <c:spPr>
            <a:solidFill>
              <a:schemeClr val="tx2">
                <a:lumMod val="50000"/>
                <a:lumOff val="50000"/>
              </a:schemeClr>
            </a:solidFill>
            <a:ln>
              <a:noFill/>
            </a:ln>
            <a:effectLst/>
          </c:spPr>
          <c:invertIfNegative val="0"/>
          <c:cat>
            <c:strRef>
              <c:f>'Pivot Analysis'!$D$3:$D$21</c:f>
              <c:strCache>
                <c:ptCount val="18"/>
                <c:pt idx="0">
                  <c:v>bug</c:v>
                </c:pt>
                <c:pt idx="1">
                  <c:v>dark</c:v>
                </c:pt>
                <c:pt idx="2">
                  <c:v>dragon</c:v>
                </c:pt>
                <c:pt idx="3">
                  <c:v>electric</c:v>
                </c:pt>
                <c:pt idx="4">
                  <c:v>fairy</c:v>
                </c:pt>
                <c:pt idx="5">
                  <c:v>fighting</c:v>
                </c:pt>
                <c:pt idx="6">
                  <c:v>fire</c:v>
                </c:pt>
                <c:pt idx="7">
                  <c:v>flying</c:v>
                </c:pt>
                <c:pt idx="8">
                  <c:v>ghost</c:v>
                </c:pt>
                <c:pt idx="9">
                  <c:v>grass</c:v>
                </c:pt>
                <c:pt idx="10">
                  <c:v>ground</c:v>
                </c:pt>
                <c:pt idx="11">
                  <c:v>ice</c:v>
                </c:pt>
                <c:pt idx="12">
                  <c:v>normal</c:v>
                </c:pt>
                <c:pt idx="13">
                  <c:v>poison</c:v>
                </c:pt>
                <c:pt idx="14">
                  <c:v>psychic</c:v>
                </c:pt>
                <c:pt idx="15">
                  <c:v>rock</c:v>
                </c:pt>
                <c:pt idx="16">
                  <c:v>steel</c:v>
                </c:pt>
                <c:pt idx="17">
                  <c:v>water</c:v>
                </c:pt>
              </c:strCache>
            </c:strRef>
          </c:cat>
          <c:val>
            <c:numRef>
              <c:f>'Pivot Analysis'!$E$3:$E$21</c:f>
              <c:numCache>
                <c:formatCode>General</c:formatCode>
                <c:ptCount val="18"/>
                <c:pt idx="0">
                  <c:v>72</c:v>
                </c:pt>
                <c:pt idx="1">
                  <c:v>29</c:v>
                </c:pt>
                <c:pt idx="2">
                  <c:v>27</c:v>
                </c:pt>
                <c:pt idx="3">
                  <c:v>39</c:v>
                </c:pt>
                <c:pt idx="4">
                  <c:v>18</c:v>
                </c:pt>
                <c:pt idx="5">
                  <c:v>28</c:v>
                </c:pt>
                <c:pt idx="6">
                  <c:v>52</c:v>
                </c:pt>
                <c:pt idx="7">
                  <c:v>3</c:v>
                </c:pt>
                <c:pt idx="8">
                  <c:v>27</c:v>
                </c:pt>
                <c:pt idx="9">
                  <c:v>78</c:v>
                </c:pt>
                <c:pt idx="10">
                  <c:v>32</c:v>
                </c:pt>
                <c:pt idx="11">
                  <c:v>23</c:v>
                </c:pt>
                <c:pt idx="12">
                  <c:v>105</c:v>
                </c:pt>
                <c:pt idx="13">
                  <c:v>32</c:v>
                </c:pt>
                <c:pt idx="14">
                  <c:v>53</c:v>
                </c:pt>
                <c:pt idx="15">
                  <c:v>45</c:v>
                </c:pt>
                <c:pt idx="16">
                  <c:v>24</c:v>
                </c:pt>
                <c:pt idx="17">
                  <c:v>114</c:v>
                </c:pt>
              </c:numCache>
            </c:numRef>
          </c:val>
          <c:extLst>
            <c:ext xmlns:c16="http://schemas.microsoft.com/office/drawing/2014/chart" uri="{C3380CC4-5D6E-409C-BE32-E72D297353CC}">
              <c16:uniqueId val="{00000000-2E75-447A-9699-99F91B7A92FD}"/>
            </c:ext>
          </c:extLst>
        </c:ser>
        <c:dLbls>
          <c:showLegendKey val="0"/>
          <c:showVal val="0"/>
          <c:showCatName val="0"/>
          <c:showSerName val="0"/>
          <c:showPercent val="0"/>
          <c:showBubbleSize val="0"/>
        </c:dLbls>
        <c:gapWidth val="182"/>
        <c:axId val="234984191"/>
        <c:axId val="532398399"/>
      </c:barChart>
      <c:catAx>
        <c:axId val="234984191"/>
        <c:scaling>
          <c:orientation val="minMax"/>
        </c:scaling>
        <c:delete val="0"/>
        <c:axPos val="l"/>
        <c:numFmt formatCode="General" sourceLinked="1"/>
        <c:majorTickMark val="none"/>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532398399"/>
        <c:crosses val="autoZero"/>
        <c:auto val="1"/>
        <c:lblAlgn val="ctr"/>
        <c:lblOffset val="100"/>
        <c:noMultiLvlLbl val="0"/>
      </c:catAx>
      <c:valAx>
        <c:axId val="532398399"/>
        <c:scaling>
          <c:orientation val="minMax"/>
        </c:scaling>
        <c:delete val="0"/>
        <c:axPos val="b"/>
        <c:majorGridlines>
          <c:spPr>
            <a:ln w="9525" cap="flat" cmpd="sng" algn="ctr">
              <a:solidFill>
                <a:schemeClr val="tx1">
                  <a:lumMod val="15000"/>
                  <a:lumOff val="85000"/>
                </a:schemeClr>
              </a:solidFill>
              <a:round/>
            </a:ln>
            <a:effectLst/>
          </c:spPr>
        </c:majorGridlines>
        <c:numFmt formatCode="General"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234984191"/>
        <c:crosses val="autoZero"/>
        <c:crossBetween val="between"/>
      </c:valAx>
      <c:spPr>
        <a:noFill/>
        <a:ln>
          <a:noFill/>
        </a:ln>
        <a:effectLst/>
      </c:spPr>
    </c:plotArea>
    <c:plotVisOnly val="1"/>
    <c:dispBlanksAs val="gap"/>
    <c:showDLblsOverMax val="0"/>
    <c:extLst>
      <c:ext xmlns:c16r3="http://schemas.microsoft.com/office/drawing/2017/03/chart" uri="{56B9EC1D-385E-4148-901F-78D8002777C0}">
        <c16r3:dataDisplayOptions16>
          <c16r3:dispNaAsBlank val="1"/>
        </c16r3:dataDisplayOptions16>
      </c:ext>
    </c:extLst>
  </c:chart>
  <c:spPr>
    <a:solidFill>
      <a:schemeClr val="bg1"/>
    </a:solidFill>
    <a:ln w="9525" cap="flat" cmpd="sng" algn="ctr">
      <a:solidFill>
        <a:schemeClr val="tx1">
          <a:lumMod val="15000"/>
          <a:lumOff val="85000"/>
        </a:schemeClr>
      </a:solid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pivotOptions>
    </c:ext>
    <c:ext xmlns:c16="http://schemas.microsoft.com/office/drawing/2014/chart" uri="{E28EC0CA-F0BB-4C9C-879D-F8772B89E7AC}">
      <c16:pivotOptions16>
        <c16:showExpandCollapseFieldButtons val="1"/>
      </c16:pivotOptions16>
    </c:ext>
  </c:extLst>
</c:chartSpace>
</file>

<file path=xl/charts/chart4.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[Pokemon Dataset.xlsx]Pivot Analysis!PivotTable4</c:name>
    <c:fmtId val="4"/>
  </c:pivotSource>
  <c:chart>
    <c:title>
      <c:tx>
        <c:rich>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r>
              <a:rPr lang="en-GB" sz="1400" b="0" i="0" u="none" strike="noStrike" baseline="0"/>
              <a:t>Average Battle Stats by Generation</a:t>
            </a:r>
            <a:endParaRPr lang="en-GB"/>
          </a:p>
        </c:rich>
      </c:tx>
      <c:overlay val="0"/>
      <c:spPr>
        <a:noFill/>
        <a:ln>
          <a:noFill/>
        </a:ln>
        <a:effectLst/>
      </c:spPr>
      <c:txPr>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endParaRPr lang="en-GB"/>
        </a:p>
      </c:txPr>
    </c:title>
    <c:autoTitleDeleted val="0"/>
    <c:pivotFmts>
      <c:pivotFmt>
        <c:idx val="0"/>
        <c:spPr>
          <a:solidFill>
            <a:schemeClr val="tx2">
              <a:lumMod val="50000"/>
              <a:lumOff val="50000"/>
            </a:schemeClr>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1"/>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2"/>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3"/>
        <c:spPr>
          <a:solidFill>
            <a:schemeClr val="tx2">
              <a:lumMod val="50000"/>
              <a:lumOff val="50000"/>
            </a:schemeClr>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4"/>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5"/>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6"/>
        <c:spPr>
          <a:solidFill>
            <a:srgbClr val="6BA5D7"/>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7"/>
        <c:spPr>
          <a:solidFill>
            <a:srgbClr val="243B53"/>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8"/>
        <c:spPr>
          <a:solidFill>
            <a:srgbClr val="D94A4A"/>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s>
    <c:plotArea>
      <c:layout/>
      <c:barChart>
        <c:barDir val="col"/>
        <c:grouping val="clustered"/>
        <c:varyColors val="0"/>
        <c:ser>
          <c:idx val="0"/>
          <c:order val="0"/>
          <c:tx>
            <c:strRef>
              <c:f>'Pivot Analysis'!$H$2</c:f>
              <c:strCache>
                <c:ptCount val="1"/>
                <c:pt idx="0">
                  <c:v>Average of speed</c:v>
                </c:pt>
              </c:strCache>
            </c:strRef>
          </c:tx>
          <c:spPr>
            <a:solidFill>
              <a:srgbClr val="6BA5D7"/>
            </a:solidFill>
            <a:ln>
              <a:noFill/>
            </a:ln>
            <a:effectLst/>
          </c:spPr>
          <c:invertIfNegative val="0"/>
          <c:cat>
            <c:strRef>
              <c:f>'Pivot Analysis'!$G$3:$G$10</c:f>
              <c:strCache>
                <c:ptCount val="7"/>
                <c:pt idx="0">
                  <c:v>1</c:v>
                </c:pt>
                <c:pt idx="1">
                  <c:v>2</c:v>
                </c:pt>
                <c:pt idx="2">
                  <c:v>3</c:v>
                </c:pt>
                <c:pt idx="3">
                  <c:v>4</c:v>
                </c:pt>
                <c:pt idx="4">
                  <c:v>5</c:v>
                </c:pt>
                <c:pt idx="5">
                  <c:v>6</c:v>
                </c:pt>
                <c:pt idx="6">
                  <c:v>7</c:v>
                </c:pt>
              </c:strCache>
            </c:strRef>
          </c:cat>
          <c:val>
            <c:numRef>
              <c:f>'Pivot Analysis'!$H$3:$H$10</c:f>
              <c:numCache>
                <c:formatCode>0.0</c:formatCode>
                <c:ptCount val="7"/>
                <c:pt idx="0">
                  <c:v>70.152317880794698</c:v>
                </c:pt>
                <c:pt idx="1">
                  <c:v>61.61</c:v>
                </c:pt>
                <c:pt idx="2">
                  <c:v>63.577777777777776</c:v>
                </c:pt>
                <c:pt idx="3">
                  <c:v>70.074766355140184</c:v>
                </c:pt>
                <c:pt idx="4">
                  <c:v>66.519230769230774</c:v>
                </c:pt>
                <c:pt idx="5">
                  <c:v>66.652777777777771</c:v>
                </c:pt>
                <c:pt idx="6">
                  <c:v>64.037499999999994</c:v>
                </c:pt>
              </c:numCache>
            </c:numRef>
          </c:val>
          <c:extLst>
            <c:ext xmlns:c16="http://schemas.microsoft.com/office/drawing/2014/chart" uri="{C3380CC4-5D6E-409C-BE32-E72D297353CC}">
              <c16:uniqueId val="{00000000-F961-42E4-B2E2-A1739304BAD6}"/>
            </c:ext>
          </c:extLst>
        </c:ser>
        <c:ser>
          <c:idx val="1"/>
          <c:order val="1"/>
          <c:tx>
            <c:strRef>
              <c:f>'Pivot Analysis'!$I$2</c:f>
              <c:strCache>
                <c:ptCount val="1"/>
                <c:pt idx="0">
                  <c:v>Average of defense</c:v>
                </c:pt>
              </c:strCache>
            </c:strRef>
          </c:tx>
          <c:spPr>
            <a:solidFill>
              <a:srgbClr val="243B53"/>
            </a:solidFill>
            <a:ln>
              <a:noFill/>
            </a:ln>
            <a:effectLst/>
          </c:spPr>
          <c:invertIfNegative val="0"/>
          <c:cat>
            <c:strRef>
              <c:f>'Pivot Analysis'!$G$3:$G$10</c:f>
              <c:strCache>
                <c:ptCount val="7"/>
                <c:pt idx="0">
                  <c:v>1</c:v>
                </c:pt>
                <c:pt idx="1">
                  <c:v>2</c:v>
                </c:pt>
                <c:pt idx="2">
                  <c:v>3</c:v>
                </c:pt>
                <c:pt idx="3">
                  <c:v>4</c:v>
                </c:pt>
                <c:pt idx="4">
                  <c:v>5</c:v>
                </c:pt>
                <c:pt idx="5">
                  <c:v>6</c:v>
                </c:pt>
                <c:pt idx="6">
                  <c:v>7</c:v>
                </c:pt>
              </c:strCache>
            </c:strRef>
          </c:cat>
          <c:val>
            <c:numRef>
              <c:f>'Pivot Analysis'!$I$3:$I$10</c:f>
              <c:numCache>
                <c:formatCode>0.0</c:formatCode>
                <c:ptCount val="7"/>
                <c:pt idx="0">
                  <c:v>70.079470198675494</c:v>
                </c:pt>
                <c:pt idx="1">
                  <c:v>71.790000000000006</c:v>
                </c:pt>
                <c:pt idx="2">
                  <c:v>72.637037037037032</c:v>
                </c:pt>
                <c:pt idx="3">
                  <c:v>76.168224299065415</c:v>
                </c:pt>
                <c:pt idx="4">
                  <c:v>71.961538461538467</c:v>
                </c:pt>
                <c:pt idx="5">
                  <c:v>73.555555555555557</c:v>
                </c:pt>
                <c:pt idx="6">
                  <c:v>78.012500000000003</c:v>
                </c:pt>
              </c:numCache>
            </c:numRef>
          </c:val>
          <c:extLst>
            <c:ext xmlns:c16="http://schemas.microsoft.com/office/drawing/2014/chart" uri="{C3380CC4-5D6E-409C-BE32-E72D297353CC}">
              <c16:uniqueId val="{00000001-F961-42E4-B2E2-A1739304BAD6}"/>
            </c:ext>
          </c:extLst>
        </c:ser>
        <c:ser>
          <c:idx val="2"/>
          <c:order val="2"/>
          <c:tx>
            <c:strRef>
              <c:f>'Pivot Analysis'!$J$2</c:f>
              <c:strCache>
                <c:ptCount val="1"/>
                <c:pt idx="0">
                  <c:v>Average of attack</c:v>
                </c:pt>
              </c:strCache>
            </c:strRef>
          </c:tx>
          <c:spPr>
            <a:solidFill>
              <a:srgbClr val="D94A4A"/>
            </a:solidFill>
            <a:ln>
              <a:noFill/>
            </a:ln>
            <a:effectLst/>
          </c:spPr>
          <c:invertIfNegative val="0"/>
          <c:cat>
            <c:strRef>
              <c:f>'Pivot Analysis'!$G$3:$G$10</c:f>
              <c:strCache>
                <c:ptCount val="7"/>
                <c:pt idx="0">
                  <c:v>1</c:v>
                </c:pt>
                <c:pt idx="1">
                  <c:v>2</c:v>
                </c:pt>
                <c:pt idx="2">
                  <c:v>3</c:v>
                </c:pt>
                <c:pt idx="3">
                  <c:v>4</c:v>
                </c:pt>
                <c:pt idx="4">
                  <c:v>5</c:v>
                </c:pt>
                <c:pt idx="5">
                  <c:v>6</c:v>
                </c:pt>
                <c:pt idx="6">
                  <c:v>7</c:v>
                </c:pt>
              </c:strCache>
            </c:strRef>
          </c:cat>
          <c:val>
            <c:numRef>
              <c:f>'Pivot Analysis'!$J$3:$J$10</c:f>
              <c:numCache>
                <c:formatCode>0.0</c:formatCode>
                <c:ptCount val="7"/>
                <c:pt idx="0">
                  <c:v>74.52980132450331</c:v>
                </c:pt>
                <c:pt idx="1">
                  <c:v>69.959999999999994</c:v>
                </c:pt>
                <c:pt idx="2">
                  <c:v>77.18518518518519</c:v>
                </c:pt>
                <c:pt idx="3">
                  <c:v>82.672897196261687</c:v>
                </c:pt>
                <c:pt idx="4">
                  <c:v>80.557692307692307</c:v>
                </c:pt>
                <c:pt idx="5">
                  <c:v>76.527777777777771</c:v>
                </c:pt>
                <c:pt idx="6">
                  <c:v>84.637500000000003</c:v>
                </c:pt>
              </c:numCache>
            </c:numRef>
          </c:val>
          <c:extLst>
            <c:ext xmlns:c16="http://schemas.microsoft.com/office/drawing/2014/chart" uri="{C3380CC4-5D6E-409C-BE32-E72D297353CC}">
              <c16:uniqueId val="{00000002-F961-42E4-B2E2-A1739304BAD6}"/>
            </c:ext>
          </c:extLst>
        </c:ser>
        <c:dLbls>
          <c:showLegendKey val="0"/>
          <c:showVal val="0"/>
          <c:showCatName val="0"/>
          <c:showSerName val="0"/>
          <c:showPercent val="0"/>
          <c:showBubbleSize val="0"/>
        </c:dLbls>
        <c:gapWidth val="219"/>
        <c:overlap val="-27"/>
        <c:axId val="146985487"/>
        <c:axId val="532397919"/>
      </c:barChart>
      <c:catAx>
        <c:axId val="146985487"/>
        <c:scaling>
          <c:orientation val="minMax"/>
        </c:scaling>
        <c:delete val="0"/>
        <c:axPos val="b"/>
        <c:numFmt formatCode="General" sourceLinked="1"/>
        <c:majorTickMark val="none"/>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532397919"/>
        <c:crosses val="autoZero"/>
        <c:auto val="1"/>
        <c:lblAlgn val="ctr"/>
        <c:lblOffset val="100"/>
        <c:noMultiLvlLbl val="0"/>
      </c:catAx>
      <c:valAx>
        <c:axId val="532397919"/>
        <c:scaling>
          <c:orientation val="minMax"/>
        </c:scaling>
        <c:delete val="0"/>
        <c:axPos val="l"/>
        <c:majorGridlines>
          <c:spPr>
            <a:ln w="9525" cap="flat" cmpd="sng" algn="ctr">
              <a:solidFill>
                <a:schemeClr val="tx1">
                  <a:lumMod val="15000"/>
                  <a:lumOff val="85000"/>
                </a:schemeClr>
              </a:solidFill>
              <a:round/>
            </a:ln>
            <a:effectLst/>
          </c:spPr>
        </c:majorGridlines>
        <c:numFmt formatCode="0.0"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146985487"/>
        <c:crosses val="autoZero"/>
        <c:crossBetween val="between"/>
      </c:valAx>
      <c:spPr>
        <a:noFill/>
        <a:ln>
          <a:noFill/>
        </a:ln>
        <a:effectLst/>
      </c:spPr>
    </c:plotArea>
    <c:legend>
      <c:legendPos val="b"/>
      <c:overlay val="0"/>
      <c:spPr>
        <a:noFill/>
        <a:ln>
          <a:noFill/>
        </a:ln>
        <a:effectLst/>
      </c:spPr>
      <c:txPr>
        <a:bodyPr rot="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legend>
    <c:plotVisOnly val="1"/>
    <c:dispBlanksAs val="gap"/>
    <c:showDLblsOverMax val="0"/>
    <c:extLst>
      <c:ext xmlns:c16r3="http://schemas.microsoft.com/office/drawing/2017/03/chart" uri="{56B9EC1D-385E-4148-901F-78D8002777C0}">
        <c16r3:dataDisplayOptions16>
          <c16r3:dispNaAsBlank val="1"/>
        </c16r3:dataDisplayOptions16>
      </c:ext>
    </c:extLst>
  </c:chart>
  <c:spPr>
    <a:solidFill>
      <a:schemeClr val="bg1"/>
    </a:solidFill>
    <a:ln w="9525" cap="flat" cmpd="sng" algn="ctr">
      <a:solidFill>
        <a:schemeClr val="tx1">
          <a:lumMod val="15000"/>
          <a:lumOff val="85000"/>
        </a:schemeClr>
      </a:solid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dropZoneSeries val="1"/>
      </c14:pivotOptions>
    </c:ext>
    <c:ext xmlns:c16="http://schemas.microsoft.com/office/drawing/2014/chart" uri="{E28EC0CA-F0BB-4C9C-879D-F8772B89E7AC}">
      <c16:pivotOptions16>
        <c16:showExpandCollapseFieldButtons val="1"/>
      </c16:pivotOptions16>
    </c:ext>
  </c:extLst>
</c:chartSpace>
</file>

<file path=xl/charts/colors1.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2.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3.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4.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style1.xml><?xml version="1.0" encoding="utf-8"?>
<cs:chartStyle xmlns:cs="http://schemas.microsoft.com/office/drawing/2012/chartStyle" xmlns:a="http://schemas.openxmlformats.org/drawingml/2006/main" id="201">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75000"/>
            <a:lumOff val="25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dk1"/>
    </cs:fontRef>
    <cs:spPr>
      <a:solidFill>
        <a:schemeClr val="lt1"/>
      </a:solidFill>
      <a:ln w="9525">
        <a:solidFill>
          <a:schemeClr val="tx1">
            <a:lumMod val="15000"/>
            <a:lumOff val="85000"/>
          </a:schemeClr>
        </a:solidFill>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2.xml><?xml version="1.0" encoding="utf-8"?>
<cs:chartStyle xmlns:cs="http://schemas.microsoft.com/office/drawing/2012/chartStyle" xmlns:a="http://schemas.openxmlformats.org/drawingml/2006/main" id="251">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9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spPr>
      <a:ln w="19050">
        <a:solidFill>
          <a:schemeClr val="lt1"/>
        </a:solidFill>
      </a:ln>
    </cs:spPr>
  </cs:dataPoint>
  <cs:dataPoint3D>
    <cs:lnRef idx="0"/>
    <cs:fillRef idx="1">
      <cs:styleClr val="auto"/>
    </cs:fillRef>
    <cs:effectRef idx="0"/>
    <cs:fontRef idx="minor">
      <a:schemeClr val="tx1"/>
    </cs:fontRef>
    <cs:spPr>
      <a:ln w="25400">
        <a:solidFill>
          <a:schemeClr val="lt1"/>
        </a:solidFill>
      </a:ln>
    </cs:spPr>
  </cs:dataPoint3D>
  <cs:dataPointLine>
    <cs:lnRef idx="0">
      <cs:styleClr val="auto"/>
    </cs:lnRef>
    <cs:fillRef idx="0"/>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0"/>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tx1"/>
    </cs:fontRef>
    <cs:spPr>
      <a:solidFill>
        <a:schemeClr val="dk1">
          <a:lumMod val="75000"/>
          <a:lumOff val="25000"/>
        </a:schemeClr>
      </a:solidFill>
      <a:ln w="9525" cap="flat" cmpd="sng" algn="ctr">
        <a:solidFill>
          <a:schemeClr val="tx1">
            <a:lumMod val="65000"/>
            <a:lumOff val="35000"/>
          </a:schemeClr>
        </a:solidFill>
        <a:round/>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50000"/>
            <a:lumOff val="50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tx1"/>
    </cs:fontRef>
    <cs:spPr>
      <a:solidFill>
        <a:schemeClr val="lt1"/>
      </a:solidFill>
      <a:ln w="9525" cap="flat" cmpd="sng" algn="ctr">
        <a:solidFill>
          <a:schemeClr val="tx1">
            <a:lumMod val="65000"/>
            <a:lumOff val="35000"/>
          </a:schemeClr>
        </a:solidFill>
        <a:round/>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3.xml><?xml version="1.0" encoding="utf-8"?>
<cs:chartStyle xmlns:cs="http://schemas.microsoft.com/office/drawing/2012/chartStyle" xmlns:a="http://schemas.openxmlformats.org/drawingml/2006/main" id="216">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tx1"/>
    </cs:fontRef>
    <cs:spPr>
      <a:solidFill>
        <a:schemeClr val="dk1">
          <a:lumMod val="75000"/>
          <a:lumOff val="25000"/>
        </a:schemeClr>
      </a:solidFill>
      <a:ln w="9525" cap="flat" cmpd="sng" algn="ctr">
        <a:solidFill>
          <a:schemeClr val="tx1">
            <a:lumMod val="65000"/>
            <a:lumOff val="35000"/>
          </a:schemeClr>
        </a:solidFill>
        <a:round/>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50000"/>
            <a:lumOff val="50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tx1"/>
    </cs:fontRef>
    <cs:spPr>
      <a:solidFill>
        <a:schemeClr val="lt1"/>
      </a:solidFill>
      <a:ln w="9525" cap="flat" cmpd="sng" algn="ctr">
        <a:solidFill>
          <a:schemeClr val="tx1">
            <a:lumMod val="65000"/>
            <a:lumOff val="35000"/>
          </a:schemeClr>
        </a:solidFill>
        <a:round/>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4.xml><?xml version="1.0" encoding="utf-8"?>
<cs:chartStyle xmlns:cs="http://schemas.microsoft.com/office/drawing/2012/chartStyle" xmlns:a="http://schemas.openxmlformats.org/drawingml/2006/main" id="201">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75000"/>
            <a:lumOff val="25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dk1"/>
    </cs:fontRef>
    <cs:spPr>
      <a:solidFill>
        <a:schemeClr val="lt1"/>
      </a:solidFill>
      <a:ln w="9525">
        <a:solidFill>
          <a:schemeClr val="tx1">
            <a:lumMod val="15000"/>
            <a:lumOff val="85000"/>
          </a:schemeClr>
        </a:solidFill>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drawings/_rels/drawing1.xml.rels><?xml version="1.0" encoding="UTF-8" standalone="yes"?>
<Relationships xmlns="http://schemas.openxmlformats.org/package/2006/relationships"><Relationship Id="rId3" Type="http://schemas.openxmlformats.org/officeDocument/2006/relationships/chart" Target="../charts/chart3.xml"/><Relationship Id="rId2" Type="http://schemas.openxmlformats.org/officeDocument/2006/relationships/chart" Target="../charts/chart2.xml"/><Relationship Id="rId1" Type="http://schemas.openxmlformats.org/officeDocument/2006/relationships/chart" Target="../charts/chart1.xml"/><Relationship Id="rId4" Type="http://schemas.openxmlformats.org/officeDocument/2006/relationships/chart" Target="../charts/chart4.xml"/></Relationships>
</file>

<file path=xl/drawings/drawing1.xml><?xml version="1.0" encoding="utf-8"?>
<xdr:wsDr xmlns:xdr="http://schemas.openxmlformats.org/drawingml/2006/spreadsheetDrawing" xmlns:a="http://schemas.openxmlformats.org/drawingml/2006/main">
  <xdr:twoCellAnchor>
    <xdr:from>
      <xdr:col>3</xdr:col>
      <xdr:colOff>41487</xdr:colOff>
      <xdr:row>14</xdr:row>
      <xdr:rowOff>109830</xdr:rowOff>
    </xdr:from>
    <xdr:to>
      <xdr:col>9</xdr:col>
      <xdr:colOff>168234</xdr:colOff>
      <xdr:row>28</xdr:row>
      <xdr:rowOff>16933</xdr:rowOff>
    </xdr:to>
    <xdr:graphicFrame macro="">
      <xdr:nvGraphicFramePr>
        <xdr:cNvPr id="3" name="PokemonGeneration">
          <a:extLst>
            <a:ext uri="{FF2B5EF4-FFF2-40B4-BE49-F238E27FC236}">
              <a16:creationId xmlns:a16="http://schemas.microsoft.com/office/drawing/2014/main" id="{3CA6D326-8419-4E21-AD54-A6BF1823EB3F}"/>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
        </a:graphicData>
      </a:graphic>
    </xdr:graphicFrame>
    <xdr:clientData/>
  </xdr:twoCellAnchor>
  <xdr:twoCellAnchor>
    <xdr:from>
      <xdr:col>9</xdr:col>
      <xdr:colOff>207818</xdr:colOff>
      <xdr:row>14</xdr:row>
      <xdr:rowOff>109830</xdr:rowOff>
    </xdr:from>
    <xdr:to>
      <xdr:col>15</xdr:col>
      <xdr:colOff>76199</xdr:colOff>
      <xdr:row>28</xdr:row>
      <xdr:rowOff>25165</xdr:rowOff>
    </xdr:to>
    <xdr:graphicFrame macro="">
      <xdr:nvGraphicFramePr>
        <xdr:cNvPr id="5" name="Legendary_vs_Non-legendary">
          <a:extLst>
            <a:ext uri="{FF2B5EF4-FFF2-40B4-BE49-F238E27FC236}">
              <a16:creationId xmlns:a16="http://schemas.microsoft.com/office/drawing/2014/main" id="{638CE85C-25F3-4395-BA18-0DA04A6FD674}"/>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2"/>
        </a:graphicData>
      </a:graphic>
    </xdr:graphicFrame>
    <xdr:clientData/>
  </xdr:twoCellAnchor>
  <xdr:twoCellAnchor editAs="oneCell">
    <xdr:from>
      <xdr:col>9</xdr:col>
      <xdr:colOff>208641</xdr:colOff>
      <xdr:row>10</xdr:row>
      <xdr:rowOff>134616</xdr:rowOff>
    </xdr:from>
    <xdr:to>
      <xdr:col>15</xdr:col>
      <xdr:colOff>71885</xdr:colOff>
      <xdr:row>14</xdr:row>
      <xdr:rowOff>93132</xdr:rowOff>
    </xdr:to>
    <mc:AlternateContent xmlns:mc="http://schemas.openxmlformats.org/markup-compatibility/2006" xmlns:a14="http://schemas.microsoft.com/office/drawing/2010/main">
      <mc:Choice Requires="a14">
        <xdr:graphicFrame macro="">
          <xdr:nvGraphicFramePr>
            <xdr:cNvPr id="7" name="is_legendary">
              <a:extLst>
                <a:ext uri="{FF2B5EF4-FFF2-40B4-BE49-F238E27FC236}">
                  <a16:creationId xmlns:a16="http://schemas.microsoft.com/office/drawing/2014/main" id="{808BA0BE-6892-422F-95C1-D069D0D8E680}"/>
                </a:ext>
              </a:extLst>
            </xdr:cNvPr>
            <xdr:cNvGraphicFramePr/>
          </xdr:nvGraphicFramePr>
          <xdr:xfrm>
            <a:off x="0" y="0"/>
            <a:ext cx="0" cy="0"/>
          </xdr:xfrm>
          <a:graphic>
            <a:graphicData uri="http://schemas.microsoft.com/office/drawing/2010/slicer">
              <sle:slicer xmlns:sle="http://schemas.microsoft.com/office/drawing/2010/slicer" name="is_legendary"/>
            </a:graphicData>
          </a:graphic>
        </xdr:graphicFrame>
      </mc:Choice>
      <mc:Fallback xmlns="">
        <xdr:sp macro="" textlink="">
          <xdr:nvSpPr>
            <xdr:cNvPr id="0" name=""/>
            <xdr:cNvSpPr>
              <a:spLocks noTextEdit="1"/>
            </xdr:cNvSpPr>
          </xdr:nvSpPr>
          <xdr:spPr>
            <a:xfrm>
              <a:off x="5717526" y="2420616"/>
              <a:ext cx="3898097" cy="708024"/>
            </a:xfrm>
            <a:prstGeom prst="rect">
              <a:avLst/>
            </a:prstGeom>
            <a:solidFill>
              <a:prstClr val="white"/>
            </a:solidFill>
            <a:ln w="1">
              <a:solidFill>
                <a:prstClr val="green"/>
              </a:solidFill>
            </a:ln>
          </xdr:spPr>
          <xdr:txBody>
            <a:bodyPr vertOverflow="clip" horzOverflow="clip"/>
            <a:lstStyle/>
            <a:p>
              <a:r>
                <a:rPr lang="en-GB" sz="1100"/>
                <a:t>This shape represents a slicer. Slicers are supported in Excel 2010 or later.
If the shape was modified in an earlier version of Excel, or if the workbook was saved in Excel 2003 or earlier, the slicer cannot be used.</a:t>
              </a:r>
            </a:p>
          </xdr:txBody>
        </xdr:sp>
      </mc:Fallback>
    </mc:AlternateContent>
    <xdr:clientData/>
  </xdr:twoCellAnchor>
  <xdr:twoCellAnchor editAs="oneCell">
    <xdr:from>
      <xdr:col>3</xdr:col>
      <xdr:colOff>59269</xdr:colOff>
      <xdr:row>10</xdr:row>
      <xdr:rowOff>134621</xdr:rowOff>
    </xdr:from>
    <xdr:to>
      <xdr:col>9</xdr:col>
      <xdr:colOff>20571</xdr:colOff>
      <xdr:row>14</xdr:row>
      <xdr:rowOff>84667</xdr:rowOff>
    </xdr:to>
    <mc:AlternateContent xmlns:mc="http://schemas.openxmlformats.org/markup-compatibility/2006" xmlns:a14="http://schemas.microsoft.com/office/drawing/2010/main">
      <mc:Choice Requires="a14">
        <xdr:graphicFrame macro="">
          <xdr:nvGraphicFramePr>
            <xdr:cNvPr id="9" name="generation">
              <a:extLst>
                <a:ext uri="{FF2B5EF4-FFF2-40B4-BE49-F238E27FC236}">
                  <a16:creationId xmlns:a16="http://schemas.microsoft.com/office/drawing/2014/main" id="{38A24821-20CD-44CA-8EBE-D726ED725805}"/>
                </a:ext>
              </a:extLst>
            </xdr:cNvPr>
            <xdr:cNvGraphicFramePr/>
          </xdr:nvGraphicFramePr>
          <xdr:xfrm>
            <a:off x="0" y="0"/>
            <a:ext cx="0" cy="0"/>
          </xdr:xfrm>
          <a:graphic>
            <a:graphicData uri="http://schemas.microsoft.com/office/drawing/2010/slicer">
              <sle:slicer xmlns:sle="http://schemas.microsoft.com/office/drawing/2010/slicer" name="generation"/>
            </a:graphicData>
          </a:graphic>
        </xdr:graphicFrame>
      </mc:Choice>
      <mc:Fallback xmlns="">
        <xdr:sp macro="" textlink="">
          <xdr:nvSpPr>
            <xdr:cNvPr id="0" name=""/>
            <xdr:cNvSpPr>
              <a:spLocks noTextEdit="1"/>
            </xdr:cNvSpPr>
          </xdr:nvSpPr>
          <xdr:spPr>
            <a:xfrm>
              <a:off x="1895564" y="2420621"/>
              <a:ext cx="3767536" cy="699554"/>
            </a:xfrm>
            <a:prstGeom prst="rect">
              <a:avLst/>
            </a:prstGeom>
            <a:solidFill>
              <a:prstClr val="white"/>
            </a:solidFill>
            <a:ln w="1">
              <a:solidFill>
                <a:prstClr val="green"/>
              </a:solidFill>
            </a:ln>
          </xdr:spPr>
          <xdr:txBody>
            <a:bodyPr vertOverflow="clip" horzOverflow="clip"/>
            <a:lstStyle/>
            <a:p>
              <a:r>
                <a:rPr lang="en-GB" sz="1100"/>
                <a:t>This shape represents a slicer. Slicers are supported in Excel 2010 or later.
If the shape was modified in an earlier version of Excel, or if the workbook was saved in Excel 2003 or earlier, the slicer cannot be used.</a:t>
              </a:r>
            </a:p>
          </xdr:txBody>
        </xdr:sp>
      </mc:Fallback>
    </mc:AlternateContent>
    <xdr:clientData/>
  </xdr:twoCellAnchor>
  <xdr:twoCellAnchor>
    <xdr:from>
      <xdr:col>9</xdr:col>
      <xdr:colOff>215348</xdr:colOff>
      <xdr:row>28</xdr:row>
      <xdr:rowOff>64147</xdr:rowOff>
    </xdr:from>
    <xdr:to>
      <xdr:col>15</xdr:col>
      <xdr:colOff>62238</xdr:colOff>
      <xdr:row>41</xdr:row>
      <xdr:rowOff>50501</xdr:rowOff>
    </xdr:to>
    <xdr:graphicFrame macro="">
      <xdr:nvGraphicFramePr>
        <xdr:cNvPr id="11" name="Pokemon by type">
          <a:extLst>
            <a:ext uri="{FF2B5EF4-FFF2-40B4-BE49-F238E27FC236}">
              <a16:creationId xmlns:a16="http://schemas.microsoft.com/office/drawing/2014/main" id="{2A7D7425-9830-4079-9C85-7645EEF1B282}"/>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3"/>
        </a:graphicData>
      </a:graphic>
    </xdr:graphicFrame>
    <xdr:clientData/>
  </xdr:twoCellAnchor>
  <xdr:twoCellAnchor>
    <xdr:from>
      <xdr:col>3</xdr:col>
      <xdr:colOff>33867</xdr:colOff>
      <xdr:row>28</xdr:row>
      <xdr:rowOff>64147</xdr:rowOff>
    </xdr:from>
    <xdr:to>
      <xdr:col>9</xdr:col>
      <xdr:colOff>178130</xdr:colOff>
      <xdr:row>41</xdr:row>
      <xdr:rowOff>59376</xdr:rowOff>
    </xdr:to>
    <xdr:graphicFrame macro="">
      <xdr:nvGraphicFramePr>
        <xdr:cNvPr id="13" name="Pokémon Battle Stats">
          <a:extLst>
            <a:ext uri="{FF2B5EF4-FFF2-40B4-BE49-F238E27FC236}">
              <a16:creationId xmlns:a16="http://schemas.microsoft.com/office/drawing/2014/main" id="{003D5753-14E2-4B00-ACEF-51E2E3454B41}"/>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4"/>
        </a:graphicData>
      </a:graphic>
    </xdr:graphicFrame>
    <xdr:clientData/>
  </xdr:twoCellAnchor>
  <xdr:twoCellAnchor>
    <xdr:from>
      <xdr:col>3</xdr:col>
      <xdr:colOff>16933</xdr:colOff>
      <xdr:row>6</xdr:row>
      <xdr:rowOff>16934</xdr:rowOff>
    </xdr:from>
    <xdr:to>
      <xdr:col>6</xdr:col>
      <xdr:colOff>482600</xdr:colOff>
      <xdr:row>10</xdr:row>
      <xdr:rowOff>101600</xdr:rowOff>
    </xdr:to>
    <xdr:grpSp>
      <xdr:nvGrpSpPr>
        <xdr:cNvPr id="18" name="Group 17">
          <a:extLst>
            <a:ext uri="{FF2B5EF4-FFF2-40B4-BE49-F238E27FC236}">
              <a16:creationId xmlns:a16="http://schemas.microsoft.com/office/drawing/2014/main" id="{CC58E0E0-1EAF-8ACF-491E-41461484CF19}"/>
            </a:ext>
          </a:extLst>
        </xdr:cNvPr>
        <xdr:cNvGrpSpPr/>
      </xdr:nvGrpSpPr>
      <xdr:grpSpPr>
        <a:xfrm>
          <a:off x="1845733" y="1564380"/>
          <a:ext cx="2294467" cy="834943"/>
          <a:chOff x="2607730" y="1312335"/>
          <a:chExt cx="1632844" cy="651932"/>
        </a:xfrm>
        <a:solidFill>
          <a:srgbClr val="DCEAF7"/>
        </a:solidFill>
      </xdr:grpSpPr>
      <xdr:sp macro="" textlink="">
        <xdr:nvSpPr>
          <xdr:cNvPr id="14" name="Rectangle: Rounded Corners 13">
            <a:extLst>
              <a:ext uri="{FF2B5EF4-FFF2-40B4-BE49-F238E27FC236}">
                <a16:creationId xmlns:a16="http://schemas.microsoft.com/office/drawing/2014/main" id="{CF78479E-BA08-5654-9586-446E2B094F52}"/>
              </a:ext>
            </a:extLst>
          </xdr:cNvPr>
          <xdr:cNvSpPr/>
        </xdr:nvSpPr>
        <xdr:spPr>
          <a:xfrm>
            <a:off x="2607730" y="1312335"/>
            <a:ext cx="1632844" cy="651932"/>
          </a:xfrm>
          <a:prstGeom prst="roundRect">
            <a:avLst/>
          </a:prstGeom>
          <a:solidFill>
            <a:srgbClr val="DCEAF7"/>
          </a:solidFill>
          <a:ln>
            <a:noFill/>
          </a:ln>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GB" sz="1800"/>
          </a:p>
        </xdr:txBody>
      </xdr:sp>
      <xdr:sp macro="" textlink="">
        <xdr:nvSpPr>
          <xdr:cNvPr id="15" name="TextBox 14">
            <a:extLst>
              <a:ext uri="{FF2B5EF4-FFF2-40B4-BE49-F238E27FC236}">
                <a16:creationId xmlns:a16="http://schemas.microsoft.com/office/drawing/2014/main" id="{93175C02-AFAC-314D-A858-51DCAE8AAD0E}"/>
              </a:ext>
            </a:extLst>
          </xdr:cNvPr>
          <xdr:cNvSpPr txBox="1"/>
        </xdr:nvSpPr>
        <xdr:spPr>
          <a:xfrm>
            <a:off x="2739174" y="1358553"/>
            <a:ext cx="1363238" cy="304800"/>
          </a:xfrm>
          <a:prstGeom prst="rect">
            <a:avLst/>
          </a:prstGeom>
          <a:grp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t"/>
          <a:lstStyle/>
          <a:p>
            <a:r>
              <a:rPr lang="en-GB" sz="1800" b="1">
                <a:solidFill>
                  <a:srgbClr val="243B53"/>
                </a:solidFill>
              </a:rPr>
              <a:t>TOTAL</a:t>
            </a:r>
            <a:r>
              <a:rPr lang="en-GB" sz="1800" b="1"/>
              <a:t> </a:t>
            </a:r>
            <a:r>
              <a:rPr lang="en-GB" sz="1800" b="1">
                <a:solidFill>
                  <a:srgbClr val="243B53"/>
                </a:solidFill>
              </a:rPr>
              <a:t>POKÉMON</a:t>
            </a:r>
          </a:p>
        </xdr:txBody>
      </xdr:sp>
      <xdr:sp macro="" textlink="PivotKPI!$A$3">
        <xdr:nvSpPr>
          <xdr:cNvPr id="16" name="TextBox 15">
            <a:extLst>
              <a:ext uri="{FF2B5EF4-FFF2-40B4-BE49-F238E27FC236}">
                <a16:creationId xmlns:a16="http://schemas.microsoft.com/office/drawing/2014/main" id="{367DC410-C502-490C-81BB-58FC72436717}"/>
              </a:ext>
            </a:extLst>
          </xdr:cNvPr>
          <xdr:cNvSpPr txBox="1"/>
        </xdr:nvSpPr>
        <xdr:spPr>
          <a:xfrm>
            <a:off x="3190552" y="1645497"/>
            <a:ext cx="482080" cy="312639"/>
          </a:xfrm>
          <a:prstGeom prst="rect">
            <a:avLst/>
          </a:prstGeom>
          <a:grp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t"/>
          <a:lstStyle/>
          <a:p>
            <a:fld id="{7859FC86-04A0-46F7-953A-D57A4441C2F7}" type="TxLink">
              <a:rPr lang="en-US" sz="1800" b="1" i="0" u="none" strike="noStrike">
                <a:solidFill>
                  <a:srgbClr val="243B53"/>
                </a:solidFill>
                <a:latin typeface="Aptos Narrow"/>
              </a:rPr>
              <a:pPr/>
              <a:t>801</a:t>
            </a:fld>
            <a:endParaRPr lang="en-GB" sz="1800" b="1">
              <a:solidFill>
                <a:srgbClr val="243B53"/>
              </a:solidFill>
            </a:endParaRPr>
          </a:p>
        </xdr:txBody>
      </xdr:sp>
    </xdr:grpSp>
    <xdr:clientData/>
  </xdr:twoCellAnchor>
  <xdr:twoCellAnchor>
    <xdr:from>
      <xdr:col>6</xdr:col>
      <xdr:colOff>502849</xdr:colOff>
      <xdr:row>6</xdr:row>
      <xdr:rowOff>16934</xdr:rowOff>
    </xdr:from>
    <xdr:to>
      <xdr:col>11</xdr:col>
      <xdr:colOff>159477</xdr:colOff>
      <xdr:row>10</xdr:row>
      <xdr:rowOff>101600</xdr:rowOff>
    </xdr:to>
    <xdr:grpSp>
      <xdr:nvGrpSpPr>
        <xdr:cNvPr id="26" name="Group 25">
          <a:extLst>
            <a:ext uri="{FF2B5EF4-FFF2-40B4-BE49-F238E27FC236}">
              <a16:creationId xmlns:a16="http://schemas.microsoft.com/office/drawing/2014/main" id="{116B6A3B-67D9-82C8-69CF-1A6CD1FF9B38}"/>
            </a:ext>
          </a:extLst>
        </xdr:cNvPr>
        <xdr:cNvGrpSpPr/>
      </xdr:nvGrpSpPr>
      <xdr:grpSpPr>
        <a:xfrm>
          <a:off x="4160449" y="1564380"/>
          <a:ext cx="2704628" cy="834943"/>
          <a:chOff x="4986867" y="1388533"/>
          <a:chExt cx="1981200" cy="651932"/>
        </a:xfrm>
        <a:solidFill>
          <a:srgbClr val="DCEAF7"/>
        </a:solidFill>
      </xdr:grpSpPr>
      <xdr:sp macro="" textlink="">
        <xdr:nvSpPr>
          <xdr:cNvPr id="20" name="Rectangle: Rounded Corners 19">
            <a:extLst>
              <a:ext uri="{FF2B5EF4-FFF2-40B4-BE49-F238E27FC236}">
                <a16:creationId xmlns:a16="http://schemas.microsoft.com/office/drawing/2014/main" id="{E4E9987D-2328-4ABE-8619-E9E93A1C2CA3}"/>
              </a:ext>
            </a:extLst>
          </xdr:cNvPr>
          <xdr:cNvSpPr/>
        </xdr:nvSpPr>
        <xdr:spPr>
          <a:xfrm>
            <a:off x="4986867" y="1388533"/>
            <a:ext cx="1981200" cy="651932"/>
          </a:xfrm>
          <a:prstGeom prst="roundRect">
            <a:avLst/>
          </a:prstGeom>
          <a:solidFill>
            <a:srgbClr val="DCEAF7"/>
          </a:solidFill>
          <a:ln>
            <a:noFill/>
          </a:ln>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GB" sz="1800"/>
          </a:p>
        </xdr:txBody>
      </xdr:sp>
      <xdr:sp macro="" textlink="">
        <xdr:nvSpPr>
          <xdr:cNvPr id="22" name="TextBox 21">
            <a:extLst>
              <a:ext uri="{FF2B5EF4-FFF2-40B4-BE49-F238E27FC236}">
                <a16:creationId xmlns:a16="http://schemas.microsoft.com/office/drawing/2014/main" id="{19E35EC4-45B1-48A1-B74C-67B36936F580}"/>
              </a:ext>
            </a:extLst>
          </xdr:cNvPr>
          <xdr:cNvSpPr txBox="1"/>
        </xdr:nvSpPr>
        <xdr:spPr>
          <a:xfrm>
            <a:off x="5037665" y="1430866"/>
            <a:ext cx="1853222" cy="304800"/>
          </a:xfrm>
          <a:prstGeom prst="rect">
            <a:avLst/>
          </a:prstGeom>
          <a:grp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t"/>
          <a:lstStyle/>
          <a:p>
            <a:r>
              <a:rPr lang="en-GB" sz="1800" b="1">
                <a:solidFill>
                  <a:srgbClr val="243B53"/>
                </a:solidFill>
              </a:rPr>
              <a:t>LEGENDARY</a:t>
            </a:r>
            <a:r>
              <a:rPr lang="en-GB" sz="1800" b="1"/>
              <a:t> </a:t>
            </a:r>
            <a:r>
              <a:rPr lang="en-GB" sz="1800" b="1">
                <a:solidFill>
                  <a:srgbClr val="243B53"/>
                </a:solidFill>
              </a:rPr>
              <a:t>POKÉMON</a:t>
            </a:r>
          </a:p>
        </xdr:txBody>
      </xdr:sp>
      <xdr:sp macro="" textlink="$M$9">
        <xdr:nvSpPr>
          <xdr:cNvPr id="25" name="TextBox 24">
            <a:extLst>
              <a:ext uri="{FF2B5EF4-FFF2-40B4-BE49-F238E27FC236}">
                <a16:creationId xmlns:a16="http://schemas.microsoft.com/office/drawing/2014/main" id="{EA6D00DA-DBFA-A366-DB79-B2E1B391587D}"/>
              </a:ext>
            </a:extLst>
          </xdr:cNvPr>
          <xdr:cNvSpPr txBox="1"/>
        </xdr:nvSpPr>
        <xdr:spPr>
          <a:xfrm>
            <a:off x="5799668" y="1710266"/>
            <a:ext cx="397933" cy="313267"/>
          </a:xfrm>
          <a:prstGeom prst="rect">
            <a:avLst/>
          </a:prstGeom>
          <a:grp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t"/>
          <a:lstStyle/>
          <a:p>
            <a:fld id="{127DF69F-C809-4E20-B04F-6EB3D047E5CB}" type="TxLink">
              <a:rPr lang="en-US" sz="1800" b="1" i="0" u="none" strike="noStrike">
                <a:solidFill>
                  <a:srgbClr val="243B53"/>
                </a:solidFill>
                <a:latin typeface="Aptos Narrow" panose="020B0004020202020204" pitchFamily="34" charset="0"/>
              </a:rPr>
              <a:pPr/>
              <a:t>70</a:t>
            </a:fld>
            <a:endParaRPr lang="en-GB" sz="1800" b="1">
              <a:solidFill>
                <a:srgbClr val="243B53"/>
              </a:solidFill>
              <a:latin typeface="Aptos Narrow" panose="020B0004020202020204" pitchFamily="34" charset="0"/>
            </a:endParaRPr>
          </a:p>
        </xdr:txBody>
      </xdr:sp>
    </xdr:grpSp>
    <xdr:clientData/>
  </xdr:twoCellAnchor>
  <xdr:twoCellAnchor>
    <xdr:from>
      <xdr:col>11</xdr:col>
      <xdr:colOff>179726</xdr:colOff>
      <xdr:row>6</xdr:row>
      <xdr:rowOff>16934</xdr:rowOff>
    </xdr:from>
    <xdr:to>
      <xdr:col>15</xdr:col>
      <xdr:colOff>33865</xdr:colOff>
      <xdr:row>10</xdr:row>
      <xdr:rowOff>110067</xdr:rowOff>
    </xdr:to>
    <xdr:grpSp>
      <xdr:nvGrpSpPr>
        <xdr:cNvPr id="33" name="Group 32">
          <a:extLst>
            <a:ext uri="{FF2B5EF4-FFF2-40B4-BE49-F238E27FC236}">
              <a16:creationId xmlns:a16="http://schemas.microsoft.com/office/drawing/2014/main" id="{02E8ACD0-4AEC-4BB1-972E-0D35A8F192BF}"/>
            </a:ext>
          </a:extLst>
        </xdr:cNvPr>
        <xdr:cNvGrpSpPr/>
      </xdr:nvGrpSpPr>
      <xdr:grpSpPr>
        <a:xfrm>
          <a:off x="6885326" y="1564380"/>
          <a:ext cx="2655954" cy="843410"/>
          <a:chOff x="5485323" y="1480725"/>
          <a:chExt cx="1981200" cy="651932"/>
        </a:xfrm>
        <a:solidFill>
          <a:srgbClr val="DCEAF7"/>
        </a:solidFill>
      </xdr:grpSpPr>
      <xdr:sp macro="" textlink="">
        <xdr:nvSpPr>
          <xdr:cNvPr id="34" name="Rectangle: Rounded Corners 33">
            <a:extLst>
              <a:ext uri="{FF2B5EF4-FFF2-40B4-BE49-F238E27FC236}">
                <a16:creationId xmlns:a16="http://schemas.microsoft.com/office/drawing/2014/main" id="{67135EAC-79F5-146C-155A-60B20F62753F}"/>
              </a:ext>
            </a:extLst>
          </xdr:cNvPr>
          <xdr:cNvSpPr/>
        </xdr:nvSpPr>
        <xdr:spPr>
          <a:xfrm>
            <a:off x="5485323" y="1480725"/>
            <a:ext cx="1981200" cy="651932"/>
          </a:xfrm>
          <a:prstGeom prst="roundRect">
            <a:avLst/>
          </a:prstGeom>
          <a:solidFill>
            <a:srgbClr val="DCEAF7"/>
          </a:solidFill>
          <a:ln>
            <a:noFill/>
          </a:ln>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GB" sz="1800"/>
          </a:p>
        </xdr:txBody>
      </xdr:sp>
      <xdr:sp macro="" textlink="">
        <xdr:nvSpPr>
          <xdr:cNvPr id="35" name="TextBox 34">
            <a:extLst>
              <a:ext uri="{FF2B5EF4-FFF2-40B4-BE49-F238E27FC236}">
                <a16:creationId xmlns:a16="http://schemas.microsoft.com/office/drawing/2014/main" id="{24CA93DF-FB75-28E6-FE0C-AB7510F07913}"/>
              </a:ext>
            </a:extLst>
          </xdr:cNvPr>
          <xdr:cNvSpPr txBox="1"/>
        </xdr:nvSpPr>
        <xdr:spPr>
          <a:xfrm>
            <a:off x="5735167" y="1538109"/>
            <a:ext cx="1481669" cy="304800"/>
          </a:xfrm>
          <a:prstGeom prst="rect">
            <a:avLst/>
          </a:prstGeom>
          <a:grp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t"/>
          <a:lstStyle/>
          <a:p>
            <a:r>
              <a:rPr lang="en-GB" sz="1800" b="1">
                <a:solidFill>
                  <a:srgbClr val="243B53"/>
                </a:solidFill>
              </a:rPr>
              <a:t>AVERAGE ATTACK</a:t>
            </a:r>
          </a:p>
        </xdr:txBody>
      </xdr:sp>
      <xdr:sp macro="" textlink="PivotKPI!$A$11">
        <xdr:nvSpPr>
          <xdr:cNvPr id="37" name="TextBox 36">
            <a:extLst>
              <a:ext uri="{FF2B5EF4-FFF2-40B4-BE49-F238E27FC236}">
                <a16:creationId xmlns:a16="http://schemas.microsoft.com/office/drawing/2014/main" id="{F2E86645-D88B-BE04-49CA-8B903FE59063}"/>
              </a:ext>
            </a:extLst>
          </xdr:cNvPr>
          <xdr:cNvSpPr txBox="1"/>
        </xdr:nvSpPr>
        <xdr:spPr>
          <a:xfrm>
            <a:off x="6178033" y="1772354"/>
            <a:ext cx="540592" cy="313267"/>
          </a:xfrm>
          <a:prstGeom prst="rect">
            <a:avLst/>
          </a:prstGeom>
          <a:grp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t"/>
          <a:lstStyle/>
          <a:p>
            <a:fld id="{1A3E74B0-3E8D-48BC-AF72-E3E38E42A649}" type="TxLink">
              <a:rPr lang="en-US" sz="1800" b="1" i="0" u="none" strike="noStrike">
                <a:solidFill>
                  <a:srgbClr val="243B53"/>
                </a:solidFill>
                <a:latin typeface="Aptos Narrow"/>
              </a:rPr>
              <a:pPr/>
              <a:t>77,9</a:t>
            </a:fld>
            <a:endParaRPr lang="en-GB" sz="1800" b="1">
              <a:solidFill>
                <a:srgbClr val="243B53"/>
              </a:solidFill>
              <a:latin typeface="Aptos Narrow" panose="020B0004020202020204" pitchFamily="34" charset="0"/>
            </a:endParaRPr>
          </a:p>
        </xdr:txBody>
      </xdr:sp>
    </xdr:grpSp>
    <xdr:clientData/>
  </xdr:twoCellAnchor>
</xdr:wsDr>
</file>

<file path=xl/pivotCache/_rels/pivotCacheDefinition1.xml.rels><?xml version="1.0" encoding="UTF-8" standalone="yes"?>
<Relationships xmlns="http://schemas.openxmlformats.org/package/2006/relationships"><Relationship Id="rId1" Type="http://schemas.openxmlformats.org/officeDocument/2006/relationships/pivotCacheRecords" Target="pivotCacheRecords1.xml"/></Relationships>
</file>

<file path=xl/pivotCache/pivotCacheDefinition1.xml><?xml version="1.0" encoding="utf-8"?>
<pivotCacheDefinition xmlns="http://schemas.openxmlformats.org/spreadsheetml/2006/main" xmlns:r="http://schemas.openxmlformats.org/officeDocument/2006/relationships" xmlns:mc="http://schemas.openxmlformats.org/markup-compatibility/2006" xmlns:xr="http://schemas.microsoft.com/office/spreadsheetml/2014/revision" mc:Ignorable="xr" r:id="rId1" refreshedBy="pc" refreshedDate="46316.519221875002" createdVersion="8" refreshedVersion="8" minRefreshableVersion="3" recordCount="801" xr:uid="{ACBDAE21-B0F6-460D-ACD4-3FF87E3C4B8B}">
  <cacheSource type="worksheet">
    <worksheetSource name="PokemonData"/>
  </cacheSource>
  <cacheFields count="47">
    <cacheField name="name" numFmtId="0">
      <sharedItems count="801">
        <s v="Bulbasaur"/>
        <s v="Ivysaur"/>
        <s v="Venusaur"/>
        <s v="Charmander"/>
        <s v="Charmeleon"/>
        <s v="Charizard"/>
        <s v="Squirtle"/>
        <s v="Wartortle"/>
        <s v="Blastoise"/>
        <s v="Caterpie"/>
        <s v="Metapod"/>
        <s v="Butterfree"/>
        <s v="Weedle"/>
        <s v="Kakuna"/>
        <s v="Beedrill"/>
        <s v="Pidgey"/>
        <s v="Pidgeotto"/>
        <s v="Pidgeot"/>
        <s v="Rattata"/>
        <s v="Raticate"/>
        <s v="Spearow"/>
        <s v="Fearow"/>
        <s v="Ekans"/>
        <s v="Arbok"/>
        <s v="Pikachu"/>
        <s v="Raichu"/>
        <s v="Sandshrew"/>
        <s v="Sandslash"/>
        <s v="Nidoran♀"/>
        <s v="Nidorina"/>
        <s v="Nidoqueen"/>
        <s v="Nidoran♂"/>
        <s v="Nidorino"/>
        <s v="Nidoking"/>
        <s v="Clefairy"/>
        <s v="Clefable"/>
        <s v="Vulpix"/>
        <s v="Ninetales"/>
        <s v="Jigglypuff"/>
        <s v="Wigglytuff"/>
        <s v="Zubat"/>
        <s v="Golbat"/>
        <s v="Oddish"/>
        <s v="Gloom"/>
        <s v="Vileplume"/>
        <s v="Paras"/>
        <s v="Parasect"/>
        <s v="Venonat"/>
        <s v="Venomoth"/>
        <s v="Diglett"/>
        <s v="Dugtrio"/>
        <s v="Meowth"/>
        <s v="Persian"/>
        <s v="Psyduck"/>
        <s v="Golduck"/>
        <s v="Mankey"/>
        <s v="Primeape"/>
        <s v="Growlithe"/>
        <s v="Arcanine"/>
        <s v="Poliwag"/>
        <s v="Poliwhirl"/>
        <s v="Poliwrath"/>
        <s v="Abra"/>
        <s v="Kadabra"/>
        <s v="Alakazam"/>
        <s v="Machop"/>
        <s v="Machoke"/>
        <s v="Machamp"/>
        <s v="Bellsprout"/>
        <s v="Weepinbell"/>
        <s v="Victreebel"/>
        <s v="Tentacool"/>
        <s v="Tentacruel"/>
        <s v="Geodude"/>
        <s v="Graveler"/>
        <s v="Golem"/>
        <s v="Ponyta"/>
        <s v="Rapidash"/>
        <s v="Slowpoke"/>
        <s v="Slowbro"/>
        <s v="Magnemite"/>
        <s v="Magneton"/>
        <s v="Farfetch'd"/>
        <s v="Doduo"/>
        <s v="Dodrio"/>
        <s v="Seel"/>
        <s v="Dewgong"/>
        <s v="Grimer"/>
        <s v="Muk"/>
        <s v="Shellder"/>
        <s v="Cloyster"/>
        <s v="Gastly"/>
        <s v="Haunter"/>
        <s v="Gengar"/>
        <s v="Onix"/>
        <s v="Drowzee"/>
        <s v="Hypno"/>
        <s v="Krabby"/>
        <s v="Kingler"/>
        <s v="Voltorb"/>
        <s v="Electrode"/>
        <s v="Exeggcute"/>
        <s v="Exeggutor"/>
        <s v="Cubone"/>
        <s v="Marowak"/>
        <s v="Hitmonlee"/>
        <s v="Hitmonchan"/>
        <s v="Lickitung"/>
        <s v="Koffing"/>
        <s v="Weezing"/>
        <s v="Rhyhorn"/>
        <s v="Rhydon"/>
        <s v="Chansey"/>
        <s v="Tangela"/>
        <s v="Kangaskhan"/>
        <s v="Horsea"/>
        <s v="Seadra"/>
        <s v="Goldeen"/>
        <s v="Seaking"/>
        <s v="Staryu"/>
        <s v="Starmie"/>
        <s v="Mr, Mime"/>
        <s v="Scyther"/>
        <s v="Jynx"/>
        <s v="Electabuzz"/>
        <s v="Magmar"/>
        <s v="Pinsir"/>
        <s v="Tauros"/>
        <s v="Magikarp"/>
        <s v="Gyarados"/>
        <s v="Lapras"/>
        <s v="Ditto"/>
        <s v="Eevee"/>
        <s v="Vaporeon"/>
        <s v="Jolteon"/>
        <s v="Flareon"/>
        <s v="Porygon"/>
        <s v="Omanyte"/>
        <s v="Omastar"/>
        <s v="Kabuto"/>
        <s v="Kabutops"/>
        <s v="Aerodactyl"/>
        <s v="Snorlax"/>
        <s v="Articuno"/>
        <s v="Zapdos"/>
        <s v="Moltres"/>
        <s v="Dratini"/>
        <s v="Dragonair"/>
        <s v="Dragonite"/>
        <s v="Mewtwo"/>
        <s v="Mew"/>
        <s v="Chikorita"/>
        <s v="Bayleef"/>
        <s v="Meganium"/>
        <s v="Cyndaquil"/>
        <s v="Quilava"/>
        <s v="Typhlosion"/>
        <s v="Totodile"/>
        <s v="Croconaw"/>
        <s v="Feraligatr"/>
        <s v="Sentret"/>
        <s v="Furret"/>
        <s v="Hoothoot"/>
        <s v="Noctowl"/>
        <s v="Ledyba"/>
        <s v="Ledian"/>
        <s v="Spinarak"/>
        <s v="Ariados"/>
        <s v="Crobat"/>
        <s v="Chinchou"/>
        <s v="Lanturn"/>
        <s v="Pichu"/>
        <s v="Cleffa"/>
        <s v="Igglybuff"/>
        <s v="Togepi"/>
        <s v="Togetic"/>
        <s v="Natu"/>
        <s v="Xatu"/>
        <s v="Mareep"/>
        <s v="Flaaffy"/>
        <s v="Ampharos"/>
        <s v="Bellossom"/>
        <s v="Marill"/>
        <s v="Azumarill"/>
        <s v="Sudowoodo"/>
        <s v="Politoed"/>
        <s v="Hoppip"/>
        <s v="Skiploom"/>
        <s v="Jumpluff"/>
        <s v="Aipom"/>
        <s v="Sunkern"/>
        <s v="Sunflora"/>
        <s v="Yanma"/>
        <s v="Wooper"/>
        <s v="Quagsire"/>
        <s v="Espeon"/>
        <s v="Umbreon"/>
        <s v="Murkrow"/>
        <s v="Slowking"/>
        <s v="Misdreavus"/>
        <s v="Unown"/>
        <s v="Wobbuffet"/>
        <s v="Girafarig"/>
        <s v="Pineco"/>
        <s v="Forretress"/>
        <s v="Dunsparce"/>
        <s v="Gligar"/>
        <s v="Steelix"/>
        <s v="Snubbull"/>
        <s v="Granbull"/>
        <s v="Qwilfish"/>
        <s v="Scizor"/>
        <s v="Shuckle"/>
        <s v="Heracross"/>
        <s v="Sneasel"/>
        <s v="Teddiursa"/>
        <s v="Ursaring"/>
        <s v="Slugma"/>
        <s v="Magcargo"/>
        <s v="Swinub"/>
        <s v="Piloswine"/>
        <s v="Corsola"/>
        <s v="Remoraid"/>
        <s v="Octillery"/>
        <s v="Delibird"/>
        <s v="Mantine"/>
        <s v="Skarmory"/>
        <s v="Houndour"/>
        <s v="Houndoom"/>
        <s v="Kingdra"/>
        <s v="Phanpy"/>
        <s v="Donphan"/>
        <s v="Porygon2"/>
        <s v="Stantler"/>
        <s v="Smeargle"/>
        <s v="Tyrogue"/>
        <s v="Hitmontop"/>
        <s v="Smoochum"/>
        <s v="Elekid"/>
        <s v="Magby"/>
        <s v="Miltank"/>
        <s v="Blissey"/>
        <s v="Raikou"/>
        <s v="Entei"/>
        <s v="Suicune"/>
        <s v="Larvitar"/>
        <s v="Pupitar"/>
        <s v="Tyranitar"/>
        <s v="Lugia"/>
        <s v="Ho-Oh"/>
        <s v="Celebi"/>
        <s v="Treecko"/>
        <s v="Grovyle"/>
        <s v="Sceptile"/>
        <s v="Torchic"/>
        <s v="Combusken"/>
        <s v="Blaziken"/>
        <s v="Mudkip"/>
        <s v="Marshtomp"/>
        <s v="Swampert"/>
        <s v="Poochyena"/>
        <s v="Mightyena"/>
        <s v="Zigzagoon"/>
        <s v="Linoone"/>
        <s v="Wurmple"/>
        <s v="Silcoon"/>
        <s v="Beautifly"/>
        <s v="Cascoon"/>
        <s v="Dustox"/>
        <s v="Lotad"/>
        <s v="Lombre"/>
        <s v="Ludicolo"/>
        <s v="Seedot"/>
        <s v="Nuzleaf"/>
        <s v="Shiftry"/>
        <s v="Taillow"/>
        <s v="Swellow"/>
        <s v="Wingull"/>
        <s v="Pelipper"/>
        <s v="Ralts"/>
        <s v="Kirlia"/>
        <s v="Gardevoir"/>
        <s v="Surskit"/>
        <s v="Masquerain"/>
        <s v="Shroomish"/>
        <s v="Breloom"/>
        <s v="Slakoth"/>
        <s v="Vigoroth"/>
        <s v="Slaking"/>
        <s v="Nincada"/>
        <s v="Ninjask"/>
        <s v="Shedinja"/>
        <s v="Whismur"/>
        <s v="Loudred"/>
        <s v="Exploud"/>
        <s v="Makuhita"/>
        <s v="Hariyama"/>
        <s v="Azurill"/>
        <s v="Nosepass"/>
        <s v="Skitty"/>
        <s v="Delcatty"/>
        <s v="Sableye"/>
        <s v="Mawile"/>
        <s v="Aron"/>
        <s v="Lairon"/>
        <s v="Aggron"/>
        <s v="Meditite"/>
        <s v="Medicham"/>
        <s v="Electrike"/>
        <s v="Manectric"/>
        <s v="Plusle"/>
        <s v="Minun"/>
        <s v="Volbeat"/>
        <s v="Illumise"/>
        <s v="Roselia"/>
        <s v="Gulpin"/>
        <s v="Swalot"/>
        <s v="Carvanha"/>
        <s v="Sharpedo"/>
        <s v="Wailmer"/>
        <s v="Wailord"/>
        <s v="Numel"/>
        <s v="Camerupt"/>
        <s v="Torkoal"/>
        <s v="Spoink"/>
        <s v="Grumpig"/>
        <s v="Spinda"/>
        <s v="Trapinch"/>
        <s v="Vibrava"/>
        <s v="Flygon"/>
        <s v="Cacnea"/>
        <s v="Cacturne"/>
        <s v="Swablu"/>
        <s v="Altaria"/>
        <s v="Zangoose"/>
        <s v="Seviper"/>
        <s v="Lunatone"/>
        <s v="Solrock"/>
        <s v="Barboach"/>
        <s v="Whiscash"/>
        <s v="Corphish"/>
        <s v="Crawdaunt"/>
        <s v="Baltoy"/>
        <s v="Claydol"/>
        <s v="Lileep"/>
        <s v="Cradily"/>
        <s v="Anorith"/>
        <s v="Armaldo"/>
        <s v="Feebas"/>
        <s v="Milotic"/>
        <s v="Castform"/>
        <s v="Kecleon"/>
        <s v="Shuppet"/>
        <s v="Banette"/>
        <s v="Duskull"/>
        <s v="Dusclops"/>
        <s v="Tropius"/>
        <s v="Chimecho"/>
        <s v="Absol"/>
        <s v="Wynaut"/>
        <s v="Snorunt"/>
        <s v="Glalie"/>
        <s v="Spheal"/>
        <s v="Sealeo"/>
        <s v="Walrein"/>
        <s v="Clamperl"/>
        <s v="Huntail"/>
        <s v="Gorebyss"/>
        <s v="Relicanth"/>
        <s v="Luvdisc"/>
        <s v="Bagon"/>
        <s v="Shelgon"/>
        <s v="Salamence"/>
        <s v="Beldum"/>
        <s v="Metang"/>
        <s v="Metagross"/>
        <s v="Regirock"/>
        <s v="Regice"/>
        <s v="Registeel"/>
        <s v="Latias"/>
        <s v="Latios"/>
        <s v="Kyogre"/>
        <s v="Groudon"/>
        <s v="Rayquaza"/>
        <s v="Jirachi"/>
        <s v="Deoxys"/>
        <s v="Turtwig"/>
        <s v="Grotle"/>
        <s v="Torterra"/>
        <s v="Chimchar"/>
        <s v="Monferno"/>
        <s v="Infernape"/>
        <s v="Piplup"/>
        <s v="Prinplup"/>
        <s v="Empoleon"/>
        <s v="Starly"/>
        <s v="Staravia"/>
        <s v="Staraptor"/>
        <s v="Bidoof"/>
        <s v="Bibarel"/>
        <s v="Kricketot"/>
        <s v="Kricketune"/>
        <s v="Shinx"/>
        <s v="Luxio"/>
        <s v="Luxray"/>
        <s v="Budew"/>
        <s v="Roserade"/>
        <s v="Cranidos"/>
        <s v="Rampardos"/>
        <s v="Shieldon"/>
        <s v="Bastiodon"/>
        <s v="Burmy"/>
        <s v="Wormadam"/>
        <s v="Mothim"/>
        <s v="Combee"/>
        <s v="Vespiquen"/>
        <s v="Pachirisu"/>
        <s v="Buizel"/>
        <s v="Floatzel"/>
        <s v="Cherubi"/>
        <s v="Cherrim"/>
        <s v="Shellos"/>
        <s v="Gastrodon"/>
        <s v="Ambipom"/>
        <s v="Drifloon"/>
        <s v="Drifblim"/>
        <s v="Buneary"/>
        <s v="Lopunny"/>
        <s v="Mismagius"/>
        <s v="Honchkrow"/>
        <s v="Glameow"/>
        <s v="Purugly"/>
        <s v="Chingling"/>
        <s v="Stunky"/>
        <s v="Skuntank"/>
        <s v="Bronzor"/>
        <s v="Bronzong"/>
        <s v="Bonsly"/>
        <s v="Mime Jr,"/>
        <s v="Happiny"/>
        <s v="Chatot"/>
        <s v="Spiritomb"/>
        <s v="Gible"/>
        <s v="Gabite"/>
        <s v="Garchomp"/>
        <s v="Munchlax"/>
        <s v="Riolu"/>
        <s v="Lucario"/>
        <s v="Hippopotas"/>
        <s v="Hippowdon"/>
        <s v="Skorupi"/>
        <s v="Drapion"/>
        <s v="Croagunk"/>
        <s v="Toxicroak"/>
        <s v="Carnivine"/>
        <s v="Finneon"/>
        <s v="Lumineon"/>
        <s v="Mantyke"/>
        <s v="Snover"/>
        <s v="Abomasnow"/>
        <s v="Weavile"/>
        <s v="Magnezone"/>
        <s v="Lickilicky"/>
        <s v="Rhyperior"/>
        <s v="Tangrowth"/>
        <s v="Electivire"/>
        <s v="Magmortar"/>
        <s v="Togekiss"/>
        <s v="Yanmega"/>
        <s v="Leafeon"/>
        <s v="Glaceon"/>
        <s v="Gliscor"/>
        <s v="Mamoswine"/>
        <s v="Porygon-Z"/>
        <s v="Gallade"/>
        <s v="Probopass"/>
        <s v="Dusknoir"/>
        <s v="Froslass"/>
        <s v="Rotom"/>
        <s v="Uxie"/>
        <s v="Mesprit"/>
        <s v="Azelf"/>
        <s v="Dialga"/>
        <s v="Palkia"/>
        <s v="Heatran"/>
        <s v="Regigigas"/>
        <s v="Giratina"/>
        <s v="Cresselia"/>
        <s v="Phione"/>
        <s v="Manaphy"/>
        <s v="Darkrai"/>
        <s v="Shaymin"/>
        <s v="Arceus"/>
        <s v="Victini"/>
        <s v="Snivy"/>
        <s v="Servine"/>
        <s v="Serperior"/>
        <s v="Tepig"/>
        <s v="Pignite"/>
        <s v="Emboar"/>
        <s v="Oshawott"/>
        <s v="Dewott"/>
        <s v="Samurott"/>
        <s v="Patrat"/>
        <s v="Watchog"/>
        <s v="Lillipup"/>
        <s v="Herdier"/>
        <s v="Stoutland"/>
        <s v="Purrloin"/>
        <s v="Liepard"/>
        <s v="Pansage"/>
        <s v="Simisage"/>
        <s v="Pansear"/>
        <s v="Simisear"/>
        <s v="Panpour"/>
        <s v="Simipour"/>
        <s v="Munna"/>
        <s v="Musharna"/>
        <s v="Pidove"/>
        <s v="Tranquill"/>
        <s v="Unfezant"/>
        <s v="Blitzle"/>
        <s v="Zebstrika"/>
        <s v="Roggenrola"/>
        <s v="Boldore"/>
        <s v="Gigalith"/>
        <s v="Woobat"/>
        <s v="Swoobat"/>
        <s v="Drilbur"/>
        <s v="Excadrill"/>
        <s v="Audino"/>
        <s v="Timburr"/>
        <s v="Gurdurr"/>
        <s v="Conkeldurr"/>
        <s v="Tympole"/>
        <s v="Palpitoad"/>
        <s v="Seismitoad"/>
        <s v="Throh"/>
        <s v="Sawk"/>
        <s v="Sewaddle"/>
        <s v="Swadloon"/>
        <s v="Leavanny"/>
        <s v="Venipede"/>
        <s v="Whirlipede"/>
        <s v="Scolipede"/>
        <s v="Cottonee"/>
        <s v="Whimsicott"/>
        <s v="Petilil"/>
        <s v="Lilligant"/>
        <s v="Basculin"/>
        <s v="Sandile"/>
        <s v="Krokorok"/>
        <s v="Krookodile"/>
        <s v="Darumaka"/>
        <s v="Darmanitan"/>
        <s v="Maractus"/>
        <s v="Dwebble"/>
        <s v="Crustle"/>
        <s v="Scraggy"/>
        <s v="Scrafty"/>
        <s v="Sigilyph"/>
        <s v="Yamask"/>
        <s v="Cofagrigus"/>
        <s v="Tirtouga"/>
        <s v="Carracosta"/>
        <s v="Archen"/>
        <s v="Archeops"/>
        <s v="Trubbish"/>
        <s v="Garbodor"/>
        <s v="Zorua"/>
        <s v="Zoroark"/>
        <s v="Minccino"/>
        <s v="Cinccino"/>
        <s v="Gothita"/>
        <s v="Gothorita"/>
        <s v="Gothitelle"/>
        <s v="Solosis"/>
        <s v="Duosion"/>
        <s v="Reuniclus"/>
        <s v="Ducklett"/>
        <s v="Swanna"/>
        <s v="Vanillite"/>
        <s v="Vanillish"/>
        <s v="Vanilluxe"/>
        <s v="Deerling"/>
        <s v="Sawsbuck"/>
        <s v="Emolga"/>
        <s v="Karrablast"/>
        <s v="Escavalier"/>
        <s v="Foongus"/>
        <s v="Amoonguss"/>
        <s v="Frillish"/>
        <s v="Jellicent"/>
        <s v="Alomomola"/>
        <s v="Joltik"/>
        <s v="Galvantula"/>
        <s v="Ferroseed"/>
        <s v="Ferrothorn"/>
        <s v="Klink"/>
        <s v="Klang"/>
        <s v="Klinklang"/>
        <s v="Tynamo"/>
        <s v="Eelektrik"/>
        <s v="Eelektross"/>
        <s v="Elgyem"/>
        <s v="Beheeyem"/>
        <s v="Litwick"/>
        <s v="Lampent"/>
        <s v="Chandelure"/>
        <s v="Axew"/>
        <s v="Fraxure"/>
        <s v="Haxorus"/>
        <s v="Cubchoo"/>
        <s v="Beartic"/>
        <s v="Cryogonal"/>
        <s v="Shelmet"/>
        <s v="Accelgor"/>
        <s v="Stunfisk"/>
        <s v="Mienfoo"/>
        <s v="Mienshao"/>
        <s v="Druddigon"/>
        <s v="Golett"/>
        <s v="Golurk"/>
        <s v="Pawniard"/>
        <s v="Bisharp"/>
        <s v="Bouffalant"/>
        <s v="Rufflet"/>
        <s v="Braviary"/>
        <s v="Vullaby"/>
        <s v="Mandibuzz"/>
        <s v="Heatmor"/>
        <s v="Durant"/>
        <s v="Deino"/>
        <s v="Zweilous"/>
        <s v="Hydreigon"/>
        <s v="Larvesta"/>
        <s v="Volcarona"/>
        <s v="Cobalion"/>
        <s v="Terrakion"/>
        <s v="Virizion"/>
        <s v="Tornadus"/>
        <s v="Thundurus"/>
        <s v="Reshiram"/>
        <s v="Zekrom"/>
        <s v="Landorus"/>
        <s v="Kyurem"/>
        <s v="Keldeo"/>
        <s v="Meloetta"/>
        <s v="Genesect"/>
        <s v="Chespin"/>
        <s v="Quilladin"/>
        <s v="Chesnaught"/>
        <s v="Fennekin"/>
        <s v="Braixen"/>
        <s v="Delphox"/>
        <s v="Froakie"/>
        <s v="Frogadier"/>
        <s v="Greninja"/>
        <s v="Bunnelby"/>
        <s v="Diggersby"/>
        <s v="Fletchling"/>
        <s v="Fletchinder"/>
        <s v="Talonflame"/>
        <s v="Scatterbug"/>
        <s v="Spewpa"/>
        <s v="Vivillon"/>
        <s v="Litleo"/>
        <s v="Pyroar"/>
        <s v="Flabébé"/>
        <s v="Floette"/>
        <s v="Florges"/>
        <s v="Skiddo"/>
        <s v="Gogoat"/>
        <s v="Pancham"/>
        <s v="Pangoro"/>
        <s v="Furfrou"/>
        <s v="Espurr"/>
        <s v="Meowstic"/>
        <s v="Honedge"/>
        <s v="Doublade"/>
        <s v="Aegislash"/>
        <s v="Spritzee"/>
        <s v="Aromatisse"/>
        <s v="Swirlix"/>
        <s v="Slurpuff"/>
        <s v="Inkay"/>
        <s v="Malamar"/>
        <s v="Binacle"/>
        <s v="Barbaracle"/>
        <s v="Skrelp"/>
        <s v="Dragalge"/>
        <s v="Clauncher"/>
        <s v="Clawitzer"/>
        <s v="Helioptile"/>
        <s v="Heliolisk"/>
        <s v="Tyrunt"/>
        <s v="Tyrantrum"/>
        <s v="Amaura"/>
        <s v="Aurorus"/>
        <s v="Sylveon"/>
        <s v="Hawlucha"/>
        <s v="Dedenne"/>
        <s v="Carbink"/>
        <s v="Goomy"/>
        <s v="Sliggoo"/>
        <s v="Goodra"/>
        <s v="Klefki"/>
        <s v="Phantump"/>
        <s v="Trevenant"/>
        <s v="Pumpkaboo"/>
        <s v="Gourgeist"/>
        <s v="Bergmite"/>
        <s v="Avalugg"/>
        <s v="Noibat"/>
        <s v="Noivern"/>
        <s v="Xerneas"/>
        <s v="Yveltal"/>
        <s v="Zygarde"/>
        <s v="Diancie"/>
        <s v="Hoopa"/>
        <s v="Volcanion"/>
        <s v="Rowlet"/>
        <s v="Dartrix"/>
        <s v="Decidueye"/>
        <s v="Litten"/>
        <s v="Torracat"/>
        <s v="Incineroar"/>
        <s v="Popplio"/>
        <s v="Brionne"/>
        <s v="Primarina"/>
        <s v="Pikipek"/>
        <s v="Trumbeak"/>
        <s v="Toucannon"/>
        <s v="Yungoos"/>
        <s v="Gumshoos"/>
        <s v="Grubbin"/>
        <s v="Charjabug"/>
        <s v="Vikavolt"/>
        <s v="Crabrawler"/>
        <s v="Crabominable"/>
        <s v="Oricorio"/>
        <s v="Cutiefly"/>
        <s v="Ribombee"/>
        <s v="Rockruff"/>
        <s v="Lycanroc"/>
        <s v="Wishiwashi"/>
        <s v="Mareanie"/>
        <s v="Toxapex"/>
        <s v="Mudbray"/>
        <s v="Mudsdale"/>
        <s v="Dewpider"/>
        <s v="Araquanid"/>
        <s v="Fomantis"/>
        <s v="Lurantis"/>
        <s v="Morelull"/>
        <s v="Shiinotic"/>
        <s v="Salandit"/>
        <s v="Salazzle"/>
        <s v="Stufful"/>
        <s v="Bewear"/>
        <s v="Bounsweet"/>
        <s v="Steenee"/>
        <s v="Tsareena"/>
        <s v="Comfey"/>
        <s v="Oranguru"/>
        <s v="Passimian"/>
        <s v="Wimpod"/>
        <s v="Golisopod"/>
        <s v="Sandygast"/>
        <s v="Palossand"/>
        <s v="Pyukumuku"/>
        <s v="Type: Null"/>
        <s v="Silvally"/>
        <s v="Minior"/>
        <s v="Komala"/>
        <s v="Turtonator"/>
        <s v="Togedemaru"/>
        <s v="Mimikyu"/>
        <s v="Bruxish"/>
        <s v="Drampa"/>
        <s v="Dhelmise"/>
        <s v="Jangmo-o"/>
        <s v="Hakamo-o"/>
        <s v="Kommo-o"/>
        <s v="Tapu Koko"/>
        <s v="Tapu Lele"/>
        <s v="Tapu Bulu"/>
        <s v="Tapu Fini"/>
        <s v="Cosmog"/>
        <s v="Cosmoem"/>
        <s v="Solgaleo"/>
        <s v="Lunala"/>
        <s v="Nihilego"/>
        <s v="Buzzwole"/>
        <s v="Pheromosa"/>
        <s v="Xurkitree"/>
        <s v="Celesteela"/>
        <s v="Kartana"/>
        <s v="Guzzlord"/>
        <s v="Necrozma"/>
        <s v="Magearna"/>
      </sharedItems>
    </cacheField>
    <cacheField name="japanese_name" numFmtId="0">
      <sharedItems/>
    </cacheField>
    <cacheField name="type1" numFmtId="0">
      <sharedItems count="18">
        <s v="grass"/>
        <s v="fire"/>
        <s v="water"/>
        <s v="bug"/>
        <s v="normal"/>
        <s v="poison"/>
        <s v="electric"/>
        <s v="ground"/>
        <s v="fairy"/>
        <s v="fighting"/>
        <s v="psychic"/>
        <s v="rock"/>
        <s v="ghost"/>
        <s v="ice"/>
        <s v="dragon"/>
        <s v="dark"/>
        <s v="steel"/>
        <s v="flying"/>
      </sharedItems>
    </cacheField>
    <cacheField name="type2" numFmtId="0">
      <sharedItems count="19">
        <s v="poison"/>
        <s v=""/>
        <s v="flying"/>
        <s v="dark"/>
        <s v="electric"/>
        <s v="ice"/>
        <s v="ground"/>
        <s v="fairy"/>
        <s v="grass"/>
        <s v="fighting"/>
        <s v="psychic"/>
        <s v="steel"/>
        <s v="fire"/>
        <s v="rock"/>
        <s v="water"/>
        <s v="dragon"/>
        <s v="ghost"/>
        <s v="bug"/>
        <s v="normal"/>
      </sharedItems>
    </cacheField>
    <cacheField name="classification" numFmtId="0">
      <sharedItems count="588">
        <s v="Seed Pokémon"/>
        <s v="Lizard Pokémon"/>
        <s v="Flame Pokémon"/>
        <s v="Tiny Turtle Pokémon"/>
        <s v="Turtle Pokémon"/>
        <s v="Shellfish Pokémon"/>
        <s v="Worm Pokémon"/>
        <s v="Cocoon Pokémon"/>
        <s v="Butterfly Pokémon"/>
        <s v="Hairy Pokémon"/>
        <s v="Poison Bee Pokémon"/>
        <s v="Tiny Bird Pokémon"/>
        <s v="Bird Pokémon"/>
        <s v="Mouse Pokémon"/>
        <s v="Beak Pokémon"/>
        <s v="Snake Pokémon"/>
        <s v="Cobra Pokémon"/>
        <s v="Poison Pin Pokémon"/>
        <s v="Drill Pokémon"/>
        <s v="Fairy Pokémon"/>
        <s v="Fox Pokémon"/>
        <s v="Balloon Pokémon"/>
        <s v="Bat Pokémon"/>
        <s v="Weed Pokémon"/>
        <s v="Flower Pokémon"/>
        <s v="Mushroom Pokémon"/>
        <s v="Insect Pokémon"/>
        <s v="Poison Moth Pokémon"/>
        <s v="Mole Pokémon"/>
        <s v="Scratch Cat Pokémon"/>
        <s v="Classy Cat Pokémon"/>
        <s v="Duck Pokémon"/>
        <s v="Pig Monkey Pokémon"/>
        <s v="Puppy Pokémon"/>
        <s v="Legendary Pokémon"/>
        <s v="Tadpole Pokémon"/>
        <s v="Psi Pokémon"/>
        <s v="Superpower Pokémon"/>
        <s v="Flycatcher Pokémon"/>
        <s v="Jellyfish Pokémon"/>
        <s v="Rock Pokémon"/>
        <s v="Megaton Pokémon"/>
        <s v="Fire Horse Pokémon"/>
        <s v="Dopey Pokémon"/>
        <s v="Hermit Crab Pokémon"/>
        <s v="Magnet Pokémon"/>
        <s v="Wild Duck Pokémon"/>
        <s v="Twin Bird Pokémon"/>
        <s v="Triple Bird Pokémon"/>
        <s v="Sea Lion Pokémon"/>
        <s v="Sludge Pokémon"/>
        <s v="Bivalve Pokémon"/>
        <s v="Gas Pokémon"/>
        <s v="Shadow Pokémon"/>
        <s v="Rock Snake Pokémon"/>
        <s v="Hypnosis Pokémon"/>
        <s v="River Crab Pokémon"/>
        <s v="Pincer Pokémon"/>
        <s v="Ball Pokémon"/>
        <s v="Egg Pokémon"/>
        <s v="Coconut Pokémon"/>
        <s v="Lonely Pokémon"/>
        <s v="Bone Keeper Pokémon"/>
        <s v="Kicking Pokémon"/>
        <s v="Punching Pokémon"/>
        <s v="Licking Pokémon"/>
        <s v="Poison Gas Pokémon"/>
        <s v="Spikes Pokémon"/>
        <s v="Vine Pokémon"/>
        <s v="Parent Pokémon"/>
        <s v="Dragon Pokémon"/>
        <s v="Goldfish Pokémon"/>
        <s v="Starshape Pokémon"/>
        <s v="Mysterious Pokémon"/>
        <s v="Barrier Pokémon"/>
        <s v="Mantis Pokémon"/>
        <s v="Humanshape Pokémon"/>
        <s v="Electric Pokémon"/>
        <s v="Spitfire Pokémon"/>
        <s v="Stagbeetle Pokémon"/>
        <s v="Wild Bull Pokémon"/>
        <s v="Fish Pokémon"/>
        <s v="Atrocious Pokémon"/>
        <s v="Transport Pokémon"/>
        <s v="Transform Pokémon"/>
        <s v="Evolution Pokémon"/>
        <s v="Bubble Jet Pokémon"/>
        <s v="Lightning Pokémon"/>
        <s v="Virtual Pokémon"/>
        <s v="Spiral Pokémon"/>
        <s v="Fossil Pokémon"/>
        <s v="Sleeping Pokémon"/>
        <s v="Freeze Pokémon"/>
        <s v="Genetic Pokémon"/>
        <s v="New Species Pokémon"/>
        <s v="Leaf Pokémon"/>
        <s v="Herb Pokémon"/>
        <s v="Fire Mouse Pokémon"/>
        <s v="Volcano Pokémon"/>
        <s v="Big Jaw Pokémon"/>
        <s v="Scout Pokémon"/>
        <s v="Long Body Pokémon"/>
        <s v="Owl Pokémon"/>
        <s v="Five Star Pokémon"/>
        <s v="String Spit Pokémon"/>
        <s v="Long Leg Pokémon"/>
        <s v="Angler Pokémon"/>
        <s v="Light Pokémon"/>
        <s v="Tiny Mouse Pokémon"/>
        <s v="Star Shape Pokémon"/>
        <s v="Spike Ball Pokémon"/>
        <s v="Happiness Pokémon"/>
        <s v="Little Bird Pokémon"/>
        <s v="Mystic Pokémon"/>
        <s v="Wool Pokémon"/>
        <s v="Aquamouse Pokémon"/>
        <s v="Aquarabbit Pokémon"/>
        <s v="Imitation Pokémon"/>
        <s v="Frog Pokémon"/>
        <s v="Cottonweed Pokémon"/>
        <s v="Long Tail Pokémon"/>
        <s v="Sun Pokémon"/>
        <s v="Clear Wing Pokémon"/>
        <s v="Water Fish Pokémon"/>
        <s v="Moonlight Pokémon"/>
        <s v="Darkness Pokémon"/>
        <s v="Royal Pokémon"/>
        <s v="Screech Pokémon"/>
        <s v="Symbol Pokémon"/>
        <s v="Patient Pokémon"/>
        <s v="Long Neck Pokémon"/>
        <s v="Bagworm Pokémon"/>
        <s v="Land Snake Pokémon"/>
        <s v="Flyscorpion Pokémon"/>
        <s v="Iron Snake Pokémon"/>
        <s v="Mold Pokémon"/>
        <s v="Singlehorn Pokémon"/>
        <s v="Sharp Claw Pokémon"/>
        <s v="Little Bear Pokémon"/>
        <s v="Hibernator Pokémon"/>
        <s v="Lava Pokémon"/>
        <s v="Pig Pokémon"/>
        <s v="Swine Pokémon"/>
        <s v="Coral Pokémon"/>
        <s v="Jet Pokémon"/>
        <s v="Delivery Pokémon"/>
        <s v="Kite Pokémon"/>
        <s v="Armor Bird Pokémon"/>
        <s v="Dark Pokémon"/>
        <s v="Long Nose Pokémon"/>
        <s v="Armor Pokémon"/>
        <s v="Big Horn Pokémon"/>
        <s v="Painter Pokémon"/>
        <s v="Scuffle Pokémon"/>
        <s v="Handstand Pokémon"/>
        <s v="Kiss Pokémon"/>
        <s v="Live Coal Pokémon"/>
        <s v="Milk Cow Pokémon"/>
        <s v="Thunder Pokémon"/>
        <s v="Aurora Pokémon"/>
        <s v="Rock Skin Pokémon"/>
        <s v="Hard Shell Pokémon"/>
        <s v="Diving Pokémon"/>
        <s v="Rainbow Pokémon"/>
        <s v="Time Travel Pokémon"/>
        <s v="Wood Gecko Pokémon"/>
        <s v="Forest Pokémon"/>
        <s v="Chick Pokémon"/>
        <s v="Young Fowl Pokémon"/>
        <s v="Blaze Pokémon"/>
        <s v="Mud Fish Pokémon"/>
        <s v="Bite Pokémon"/>
        <s v="Tiny Racoon Pokémon"/>
        <s v="Rush Pokémon"/>
        <s v="Water Weed Pokémon"/>
        <s v="Jolly Pokémon"/>
        <s v="Carefree Pokémon"/>
        <s v="Acorn Pokémon"/>
        <s v="Wily Pokémon"/>
        <s v="Wickid Pokémon"/>
        <s v="TinySwallow Pokémon"/>
        <s v="Swallow Pokémon"/>
        <s v="Seagull Pokémon"/>
        <s v="Water Bird Pokémon"/>
        <s v="Feeling Pokémon"/>
        <s v="Emotion Pokémon"/>
        <s v="Embrace Pokémon"/>
        <s v="Pond Skater Pokémon"/>
        <s v="Eyeball Pokémon"/>
        <s v="Slacker Pokémon"/>
        <s v="Wild Monkey Pokémon"/>
        <s v="Lazy Pokémon"/>
        <s v="Trainee Pokémon"/>
        <s v="Ninja Pokémon"/>
        <s v="Shed Pokémon"/>
        <s v="Whisper Pokémon"/>
        <s v="Big Voice Pokémon"/>
        <s v="Loud Noise Pokémon"/>
        <s v="Guts Pokémon"/>
        <s v="Arm Thrust Pokémon"/>
        <s v="Polka Dot Pokémon"/>
        <s v="Compass Pokémon"/>
        <s v="Kitten Pokémon"/>
        <s v="Prim Pokémon"/>
        <s v="Deceiver Pokémon"/>
        <s v="Iron Armor Pokémon"/>
        <s v="Meditate Pokémon"/>
        <s v="Discharge Pokémon"/>
        <s v="Cheering Pokémon"/>
        <s v="Firefly Pokémon"/>
        <s v="Thorn Pokémon"/>
        <s v="Stomach Pokémon"/>
        <s v="Poison Bag Pokémon"/>
        <s v="Savage Pokémon"/>
        <s v="Brutal Pokémon"/>
        <s v="Ball Whale Pokémon"/>
        <s v="Float Whale Pokémon"/>
        <s v="Numb Pokémon"/>
        <s v="Eruption Pokémon"/>
        <s v="Coal Pokémon"/>
        <s v="Bounce Pokémon"/>
        <s v="Manipulate Pokémon"/>
        <s v="Spot Panda Pokémon"/>
        <s v="Ant Pit Pokémon"/>
        <s v="Vibration Pokémon"/>
        <s v="Cactus Pokémon"/>
        <s v="Scarecrow Pokémon"/>
        <s v="Cotton Bird Pokémon"/>
        <s v="Humming Pokémon"/>
        <s v="Cat Ferret Pokémon"/>
        <s v="Fang Snake Pokémon"/>
        <s v="Meteorite Pokémon"/>
        <s v="Whiskers Pokémon"/>
        <s v="Ruffian Pokémon"/>
        <s v="Rogue Pokémon"/>
        <s v="Clay Doll Pokémon"/>
        <s v="Sea Lily Pokémon"/>
        <s v="Barnacle Pokémon"/>
        <s v="Old Shrimp Pokémon"/>
        <s v="Plate Pokémon"/>
        <s v="Tender Pokémon"/>
        <s v="Weather Pokémon"/>
        <s v="Color Swap Pokémon"/>
        <s v="Puppet Pokémon"/>
        <s v="Marionette Pokémon"/>
        <s v="Requiem Pokémon"/>
        <s v="Beckon Pokémon"/>
        <s v="Fruit Pokémon"/>
        <s v="Wind Chime Pokémon"/>
        <s v="Disaster Pokémon"/>
        <s v="Bright Pokémon"/>
        <s v="Snow Hat Pokémon"/>
        <s v="Face Pokémon"/>
        <s v="Clap Pokémon"/>
        <s v="Ball Roll Pokémon"/>
        <s v="Ice Break Pokémon"/>
        <s v="Deep Sea Pokémon"/>
        <s v="South Sea Pokémon"/>
        <s v="Longevity Pokémon"/>
        <s v="Rendezvous Pokémon"/>
        <s v="Rock Head Pokémon"/>
        <s v="Endurance Pokémon"/>
        <s v="Iron Ball Pokémon"/>
        <s v="Iron Claw Pokémon"/>
        <s v="Iron Leg Pokémon"/>
        <s v="Rock Peak Pokémon"/>
        <s v="Iceberg Pokémon"/>
        <s v="Iron Pokémon"/>
        <s v="Eon Pokémon"/>
        <s v="Sea Basin Pokémon"/>
        <s v="Continent Pokémon"/>
        <s v="Sky High Pokémon"/>
        <s v="Wish Pokémon"/>
        <s v="DNA Pokémon"/>
        <s v="Tiny Leaf Pokémon"/>
        <s v="Grove Pokémon"/>
        <s v="Chimp Pokémon"/>
        <s v="Playful Pokémon"/>
        <s v="Penguin Pokémon"/>
        <s v="Emperor Pokémon"/>
        <s v="Starling Pokémon"/>
        <s v="Predator Pokémon"/>
        <s v="Plump Mouse Pokémon"/>
        <s v="Beaver Pokémon"/>
        <s v="Cricket Pokémon"/>
        <s v="Flash Pokémon"/>
        <s v="Spark Pokémon"/>
        <s v="Gleam Eyes Pokémon"/>
        <s v="Bud Pokémon"/>
        <s v="Bouquet Pokémon"/>
        <s v="Head Butt Pokémon"/>
        <s v="Shield Pokémon"/>
        <s v="Moth Pokémon"/>
        <s v="Tiny Bee Pokémon"/>
        <s v="Beehive Pokémon"/>
        <s v="EleSquirrel Pokémon"/>
        <s v="Sea Weasel Pokémon"/>
        <s v="Cherry Pokémon"/>
        <s v="Blossom Pokémon"/>
        <s v="Sea Slug Pokémon"/>
        <s v="Blimp Pokémon"/>
        <s v="Rabbit Pokémon"/>
        <s v="Magical Pokémon"/>
        <s v="Big Boss Pokémon"/>
        <s v="Catty Pokémon"/>
        <s v="Tiger Cat Pokémon"/>
        <s v="Bell Pokémon"/>
        <s v="Skunk Pokémon"/>
        <s v="Bronze Pokémon"/>
        <s v="Bronze Bell Pokémon"/>
        <s v="Bonsai Pokémon"/>
        <s v="Mime Pokémon"/>
        <s v="Playhouse Pokémon"/>
        <s v="Music Note Pokémon"/>
        <s v="Forbidden Pokémon"/>
        <s v="Land Shark Pokémon"/>
        <s v="Cave Pokémon"/>
        <s v="Mach Pokémon"/>
        <s v="Big Eater Pokémon"/>
        <s v="Emanation Pokémon"/>
        <s v="Aura Pokémon"/>
        <s v="Hippo Pokémon"/>
        <s v="Heavyweight Pokémon"/>
        <s v="Scorpion Pokémon"/>
        <s v="Ogre Scorp Pokémon"/>
        <s v="Toxic Mouth Pokémon"/>
        <s v="Bug Catcher Pokémon"/>
        <s v="Wing Fish Pokémon"/>
        <s v="Neon Pokémon"/>
        <s v="Frosted Tree Pokémon"/>
        <s v="Magnet Area Pokémon"/>
        <s v="Thunderbolt Pokémon"/>
        <s v="Blast Pokémon"/>
        <s v="Jubilee Pokémon"/>
        <s v="Ogre Darner Pokémon"/>
        <s v="Verdant Pokémon"/>
        <s v="Fresh Snow Pokémon"/>
        <s v="Fang Scorp Pokémon"/>
        <s v="Twin Tusk Pokémon"/>
        <s v="Blade Pokémon"/>
        <s v="Gripper Pokémon"/>
        <s v="Snow Land Pokémon"/>
        <s v="Plasma Pokémon"/>
        <s v="Knowledge Pokémon"/>
        <s v="Willpower Pokémon"/>
        <s v="Temporal Pokémon"/>
        <s v="Spatial Pokémon"/>
        <s v="Lava Dome Pokémon"/>
        <s v="Colossal Pokémon"/>
        <s v="Renegade Pokémon"/>
        <s v="Lunar Pokémon"/>
        <s v="Sea Drifter Pokémon"/>
        <s v="Seafaring Pokémon"/>
        <s v="Pitch-Black Pokémon"/>
        <s v="Gratitude Pokémon"/>
        <s v="Alpha Pokémon"/>
        <s v="Victory Pokémon"/>
        <s v="Grass Snake Pokémon"/>
        <s v="Regal Pokémon"/>
        <s v="Fire Pig Pokémon"/>
        <s v="Mega Fire Pig Pokémon"/>
        <s v="Sea Otter Pokémon"/>
        <s v="Discipline Pokémon"/>
        <s v="Formidable Pokémon"/>
        <s v="Lookout Pokémon"/>
        <s v="Loyal Dog Pokémon"/>
        <s v="Big-Hearted Pokémon"/>
        <s v="Devious Pokémon"/>
        <s v="Cruel Pokémon"/>
        <s v="Grass Monkey Pokémon"/>
        <s v="Thorn Monkey Pokémon"/>
        <s v="High Temp Pokémon"/>
        <s v="Ember Pokémon"/>
        <s v="Spray Pokémon"/>
        <s v="Geyser Pokémon"/>
        <s v="Dream Eater Pokémon"/>
        <s v="Drowsing Pokémon"/>
        <s v="Tiny Pigeon Pokémon"/>
        <s v="Wild Pigeon Pokémon"/>
        <s v="Proud Pokémon"/>
        <s v="Electrified Pokémon"/>
        <s v="Mantle Pokémon"/>
        <s v="Ore Pokémon"/>
        <s v="Compressed Pokémon"/>
        <s v="Courting Pokémon"/>
        <s v="Subterrene Pokémon"/>
        <s v="Hearing Pokémon"/>
        <s v="Muscular Pokémon"/>
        <s v="Judo Pokémon"/>
        <s v="Karate Pokémon"/>
        <s v="Sewing Pokémon"/>
        <s v="Leaf-Wrapped Pokémon"/>
        <s v="Nurturing Pokémon"/>
        <s v="Centipede Pokémon"/>
        <s v="Curlipede Pokémon"/>
        <s v="Megapede Pokémon"/>
        <s v="Cotton Puff Pokémon"/>
        <s v="Windveiled Pokémon"/>
        <s v="Bulb Pokémon"/>
        <s v="Flowering Pokémon"/>
        <s v="Hostile Pokémon"/>
        <s v="Desert Croc Pokémon"/>
        <s v="Intimidation Pokémon"/>
        <s v="Zen Charm Pokémon"/>
        <s v="Blazing Pokémon"/>
        <s v="Rock Inn Pokémon"/>
        <s v="Stone Home Pokémon"/>
        <s v="Shedding Pokémon"/>
        <s v="Hoodlum Pokémon"/>
        <s v="Avianoid Pokémon"/>
        <s v="Spirit Pokémon"/>
        <s v="Coffin Pokémon"/>
        <s v="Prototurtle Pokémon"/>
        <s v="First Bird Pokémon"/>
        <s v="Trash Bag Pokémon"/>
        <s v="Trash Heap Pokémon"/>
        <s v="Tricky Fox Pokémon"/>
        <s v="Illusion Fox Pokémon"/>
        <s v="Chinchilla Pokémon"/>
        <s v="Scarf Pokémon"/>
        <s v="Fixation Pokémon"/>
        <s v="Astral Body Pokémon"/>
        <s v="Cell Pokémon"/>
        <s v="Mitosis Pokémon"/>
        <s v="Multiplying Pokémon"/>
        <s v="White Bird Pokémon"/>
        <s v="Icy Snow Pokémon"/>
        <s v="Snowstorm Pokémon"/>
        <s v="Season Pokémon"/>
        <s v="Sky Squirrel Pokémon"/>
        <s v="Clamping Pokémon"/>
        <s v="Cavalry Pokémon"/>
        <s v="Floating Pokémon"/>
        <s v="Caring Pokémon"/>
        <s v="Attaching Pokémon"/>
        <s v="EleSpider Pokémon"/>
        <s v="Thorn Seed Pokémon"/>
        <s v="Thorn Pod Pokémon"/>
        <s v="Gear Pokémon"/>
        <s v="EleFish Pokémon"/>
        <s v="Cerebral Pokémon"/>
        <s v="Candle Pokémon"/>
        <s v="Lamp Pokémon"/>
        <s v="Luring Pokémon"/>
        <s v="Tusk Pokémon"/>
        <s v="Axe Jaw Pokémon"/>
        <s v="Chill Pokémon"/>
        <s v="Freezing Pokémon"/>
        <s v="Crystallizing Pokémon"/>
        <s v="Snail Pokémon"/>
        <s v="Shell Out Pokémon"/>
        <s v="Trap Pokémon"/>
        <s v="Martial Arts Pokémon"/>
        <s v="Automaton Pokémon"/>
        <s v="Sharp Blade Pokémon"/>
        <s v="Sword Blade Pokémon"/>
        <s v="Bash Buffalo Pokémon"/>
        <s v="Eaglet Pokémon"/>
        <s v="Valiant Pokémon"/>
        <s v="Diapered Pokémon"/>
        <s v="Bone Vulture Pokémon"/>
        <s v="Anteater Pokémon"/>
        <s v="Iron Ant Pokémon"/>
        <s v="Irate Pokémon"/>
        <s v="Torch Pokémon"/>
        <s v="Iron Will Pokémon"/>
        <s v="Cavern Pokémon"/>
        <s v="Grassland Pokémon"/>
        <s v="Cyclone Pokémon"/>
        <s v="Bolt Strike Pokémon"/>
        <s v="Vast White Pokémon"/>
        <s v="Deep Black Pokémon"/>
        <s v="Abundance Pokémon"/>
        <s v="Boundary Pokémon"/>
        <s v="Colt Pokémon"/>
        <s v="Melody Pokémon"/>
        <s v="Paleozoic Pokémon"/>
        <s v="Spiky Nut Pokémon"/>
        <s v="Spiny Armor Pokémon"/>
        <s v="Bubble Frog Pokémon"/>
        <s v="Digging Pokémon"/>
        <s v="Tiny Robin Pokémon"/>
        <s v="Scorching Pokémon"/>
        <s v="Scatterdust Pokémon"/>
        <s v="Scale Pokémon"/>
        <s v="Lion Cub Pokémon"/>
        <s v="Single Bloom Pokémon"/>
        <s v="Garden Pokémon"/>
        <s v="Mount Pokémon"/>
        <s v="Daunting Pokémon"/>
        <s v="Poodle Pokémon"/>
        <s v="Restraint Pokémon"/>
        <s v="Constraint Pokémon"/>
        <s v="Sword Pokémon"/>
        <s v="Royal Sword Pokémon"/>
        <s v="Perfume Pokémon"/>
        <s v="Fragrance Pokémon"/>
        <s v="Cotton Candy Pokémon"/>
        <s v="Meringue Pokémon"/>
        <s v="Revolving Pokémon"/>
        <s v="Overturning Pokémon"/>
        <s v="Two-Handed Pokémon"/>
        <s v="Collective Pokémon"/>
        <s v="Mock Kelp Pokémon"/>
        <s v="Water Gun Pokémon"/>
        <s v="Howitzer Pokémon"/>
        <s v="Generator Pokémon"/>
        <s v="Royal Heir Pokémon"/>
        <s v="Despot Pokémon"/>
        <s v="Tundra Pokémon"/>
        <s v="Intertwining Pokémon"/>
        <s v="Wrestling Pokémon"/>
        <s v="Antenna Pokémon"/>
        <s v="Jewel Pokémon"/>
        <s v="Soft Tissue Pokémon"/>
        <s v="Key Ring Pokémon"/>
        <s v="Stump Pokémon"/>
        <s v="Elder Tree Pokémon"/>
        <s v="Pumpkin Pokémon"/>
        <s v="Ice Chunk Pokémon"/>
        <s v="Sound Wave Pokémon"/>
        <s v="Life Pokémon"/>
        <s v="Destruction Pokémon"/>
        <s v="Order Pokémon"/>
        <s v="Mischief Pokémon (Confined)Djinn Pokémonn (Unbound)"/>
        <s v="Steam Pokémon"/>
        <s v="Grass Quill Pokémon"/>
        <s v="Blade Quill Pokémon"/>
        <s v="Arrow Quill Pokémon"/>
        <s v="Fire Cat Pokémon"/>
        <s v="Heel Pokémon"/>
        <s v="Pop Star Pokémon"/>
        <s v="Soloist Pokémon"/>
        <s v="Woodpecker Pokémon"/>
        <s v="Bugle Beak Pokémon"/>
        <s v="Cannon Pokémon"/>
        <s v="Loitering Pokémon"/>
        <s v="Stakeout Pokémon"/>
        <s v="Larva Pokémon"/>
        <s v="Battery Pokémon"/>
        <s v="Stag Beetle Pokémon"/>
        <s v="Boxing Pokémon"/>
        <s v="Woolly Crab Pokémon"/>
        <s v="Dancing Pokémon"/>
        <s v="Bee Fly Pokémon"/>
        <s v="Wolf Pokémon"/>
        <s v="Small Fry Pokémon"/>
        <s v="Brutal Star Pokémon"/>
        <s v="Donkey Pokémon"/>
        <s v="Draft Horse Pokémon"/>
        <s v="Water Bubble Pokémon"/>
        <s v="Sickle Grass Pokémon"/>
        <s v="Bloom Sickle Pokémon"/>
        <s v="Illuminating Pokémon"/>
        <s v="Toxic Lizard Pokémon"/>
        <s v="Flailing Pokémon"/>
        <s v="Strong Arm Pokémon"/>
        <s v="Posy Picker Pokémon"/>
        <s v="Sage Pokémon"/>
        <s v="Teamwork Pokémon"/>
        <s v="Turn Tail Pokémon"/>
        <s v="Hard Scale Pokémon"/>
        <s v="Sand Heap Pokémon"/>
        <s v="Sand Castle Pokémon"/>
        <s v="Sea Cucumber Pokémon"/>
        <s v="Synthetic Pokémon"/>
        <s v="Meteor Pokémon"/>
        <s v="Blast Turtle Pokémon"/>
        <s v="Roly-Poly Pokémon"/>
        <s v="Disguise Pokémon"/>
        <s v="Gnash Teeth Pokémon"/>
        <s v="Placid Pokémon"/>
        <s v="Sea Creeper Pokémon"/>
        <s v="Scaly Pokémon"/>
        <s v="Land Spirit Pokémon"/>
        <s v="Nebula Pokémon"/>
        <s v="Protostar Pokémon"/>
        <s v="Sunne Pokémon"/>
        <s v="Moone Pokémon"/>
        <s v="Parasite Pokémon"/>
        <s v="Swollen Pokémon"/>
        <s v="Lissome Pokémon"/>
        <s v="Glowing Pokémon"/>
        <s v="Launch Pokémon"/>
        <s v="Drawn Sword Pokémon"/>
        <s v="Junkivore Pokémon"/>
        <s v="Prism Pokémon"/>
        <s v="Artificial Pokémon"/>
      </sharedItems>
    </cacheField>
    <cacheField name="Ability 1" numFmtId="0">
      <sharedItems/>
    </cacheField>
    <cacheField name="Ability 2" numFmtId="0">
      <sharedItems/>
    </cacheField>
    <cacheField name="Ability 3" numFmtId="0">
      <sharedItems/>
    </cacheField>
    <cacheField name="Ability 4" numFmtId="0">
      <sharedItems/>
    </cacheField>
    <cacheField name="Ability 5" numFmtId="0">
      <sharedItems/>
    </cacheField>
    <cacheField name="Ability 6" numFmtId="0">
      <sharedItems/>
    </cacheField>
    <cacheField name="against_bug" numFmtId="2">
      <sharedItems containsSemiMixedTypes="0" containsString="0" containsNumber="1" minValue="0.25" maxValue="4"/>
    </cacheField>
    <cacheField name="against_dark" numFmtId="2">
      <sharedItems containsSemiMixedTypes="0" containsString="0" containsNumber="1" minValue="0.25" maxValue="4"/>
    </cacheField>
    <cacheField name="against_dragon" numFmtId="2">
      <sharedItems containsSemiMixedTypes="0" containsString="0" containsNumber="1" minValue="0" maxValue="2"/>
    </cacheField>
    <cacheField name="against_electric" numFmtId="2">
      <sharedItems containsSemiMixedTypes="0" containsString="0" containsNumber="1" minValue="0" maxValue="4"/>
    </cacheField>
    <cacheField name="against_fairy" numFmtId="2">
      <sharedItems containsSemiMixedTypes="0" containsString="0" containsNumber="1" minValue="0.25" maxValue="4"/>
    </cacheField>
    <cacheField name="against_fight" numFmtId="2">
      <sharedItems containsSemiMixedTypes="0" containsString="0" containsNumber="1" minValue="0" maxValue="4"/>
    </cacheField>
    <cacheField name="against_fire" numFmtId="2">
      <sharedItems containsSemiMixedTypes="0" containsString="0" containsNumber="1" minValue="0.25" maxValue="4"/>
    </cacheField>
    <cacheField name="against_flying" numFmtId="2">
      <sharedItems containsSemiMixedTypes="0" containsString="0" containsNumber="1" minValue="0.25" maxValue="4"/>
    </cacheField>
    <cacheField name="against_ghost" numFmtId="2">
      <sharedItems containsSemiMixedTypes="0" containsString="0" containsNumber="1" minValue="0" maxValue="4"/>
    </cacheField>
    <cacheField name="against_grass" numFmtId="2">
      <sharedItems containsSemiMixedTypes="0" containsString="0" containsNumber="1" minValue="0.25" maxValue="4"/>
    </cacheField>
    <cacheField name="against_ground" numFmtId="2">
      <sharedItems containsSemiMixedTypes="0" containsString="0" containsNumber="1" minValue="0" maxValue="4"/>
    </cacheField>
    <cacheField name="against_ice" numFmtId="2">
      <sharedItems containsSemiMixedTypes="0" containsString="0" containsNumber="1" minValue="0.25" maxValue="4"/>
    </cacheField>
    <cacheField name="against_normal" numFmtId="2">
      <sharedItems containsSemiMixedTypes="0" containsString="0" containsNumber="1" minValue="0" maxValue="1"/>
    </cacheField>
    <cacheField name="against_poison" numFmtId="2">
      <sharedItems containsSemiMixedTypes="0" containsString="0" containsNumber="1" minValue="0" maxValue="4"/>
    </cacheField>
    <cacheField name="against_psychic" numFmtId="2">
      <sharedItems containsSemiMixedTypes="0" containsString="0" containsNumber="1" minValue="0" maxValue="4"/>
    </cacheField>
    <cacheField name="against_rock" numFmtId="2">
      <sharedItems containsSemiMixedTypes="0" containsString="0" containsNumber="1" minValue="0.25" maxValue="4"/>
    </cacheField>
    <cacheField name="against_steel" numFmtId="2">
      <sharedItems containsSemiMixedTypes="0" containsString="0" containsNumber="1" minValue="0.25" maxValue="4"/>
    </cacheField>
    <cacheField name="against_water" numFmtId="2">
      <sharedItems containsSemiMixedTypes="0" containsString="0" containsNumber="1" minValue="0.25" maxValue="4"/>
    </cacheField>
    <cacheField name="attack" numFmtId="2">
      <sharedItems containsSemiMixedTypes="0" containsString="0" containsNumber="1" containsInteger="1" minValue="5" maxValue="185"/>
    </cacheField>
    <cacheField name="base_egg_steps" numFmtId="2">
      <sharedItems containsSemiMixedTypes="0" containsString="0" containsNumber="1" containsInteger="1" minValue="1280" maxValue="30720"/>
    </cacheField>
    <cacheField name="base_happiness" numFmtId="2">
      <sharedItems containsSemiMixedTypes="0" containsString="0" containsNumber="1" containsInteger="1" minValue="0" maxValue="140"/>
    </cacheField>
    <cacheField name="base_total" numFmtId="2">
      <sharedItems containsSemiMixedTypes="0" containsString="0" containsNumber="1" containsInteger="1" minValue="180" maxValue="780"/>
    </cacheField>
    <cacheField name="capture_rate" numFmtId="2">
      <sharedItems containsString="0" containsBlank="1" containsNumber="1" containsInteger="1" minValue="3" maxValue="255"/>
    </cacheField>
    <cacheField name="defense" numFmtId="2">
      <sharedItems containsSemiMixedTypes="0" containsString="0" containsNumber="1" containsInteger="1" minValue="5" maxValue="230"/>
    </cacheField>
    <cacheField name="experience_growth" numFmtId="0">
      <sharedItems containsSemiMixedTypes="0" containsString="0" containsNumber="1" containsInteger="1" minValue="600000" maxValue="1640000"/>
    </cacheField>
    <cacheField name="height_m" numFmtId="0">
      <sharedItems containsSemiMixedTypes="0" containsString="0" containsNumber="1" minValue="0.1" maxValue="14.5"/>
    </cacheField>
    <cacheField name="hp" numFmtId="0">
      <sharedItems containsSemiMixedTypes="0" containsString="0" containsNumber="1" containsInteger="1" minValue="1" maxValue="255"/>
    </cacheField>
    <cacheField name="percentage_male" numFmtId="2">
      <sharedItems containsMixedTypes="1" containsNumber="1" minValue="0" maxValue="100"/>
    </cacheField>
    <cacheField name="Percentage_Female" numFmtId="2">
      <sharedItems containsMixedTypes="1" containsNumber="1" minValue="0" maxValue="100"/>
    </cacheField>
    <cacheField name="pokedex_number" numFmtId="1">
      <sharedItems containsSemiMixedTypes="0" containsString="0" containsNumber="1" containsInteger="1" minValue="1" maxValue="801"/>
    </cacheField>
    <cacheField name="sp_attack" numFmtId="1">
      <sharedItems containsSemiMixedTypes="0" containsString="0" containsNumber="1" containsInteger="1" minValue="10" maxValue="194"/>
    </cacheField>
    <cacheField name="sp_defense" numFmtId="1">
      <sharedItems containsSemiMixedTypes="0" containsString="0" containsNumber="1" containsInteger="1" minValue="20" maxValue="230"/>
    </cacheField>
    <cacheField name="speed" numFmtId="1">
      <sharedItems containsSemiMixedTypes="0" containsString="0" containsNumber="1" containsInteger="1" minValue="5" maxValue="180"/>
    </cacheField>
    <cacheField name="weight_kg" numFmtId="0">
      <sharedItems containsSemiMixedTypes="0" containsString="0" containsNumber="1" minValue="0.1" maxValue="999.9"/>
    </cacheField>
    <cacheField name="generation" numFmtId="1">
      <sharedItems containsSemiMixedTypes="0" containsString="0" containsNumber="1" containsInteger="1" minValue="1" maxValue="7" count="7">
        <n v="1"/>
        <n v="2"/>
        <n v="3"/>
        <n v="4"/>
        <n v="5"/>
        <n v="6"/>
        <n v="7"/>
      </sharedItems>
    </cacheField>
    <cacheField name="is_legendary" numFmtId="1">
      <sharedItems count="2">
        <s v="No"/>
        <s v="Yes"/>
      </sharedItems>
    </cacheField>
  </cacheFields>
  <extLst>
    <ext xmlns:x14="http://schemas.microsoft.com/office/spreadsheetml/2009/9/main" uri="{725AE2AE-9491-48be-B2B4-4EB974FC3084}">
      <x14:pivotCacheDefinition pivotCacheId="140825241"/>
    </ext>
  </extLst>
</pivotCacheDefinition>
</file>

<file path=xl/pivotCache/pivotCacheRecords1.xml><?xml version="1.0" encoding="utf-8"?>
<pivotCacheRecords xmlns="http://schemas.openxmlformats.org/spreadsheetml/2006/main" xmlns:r="http://schemas.openxmlformats.org/officeDocument/2006/relationships" xmlns:mc="http://schemas.openxmlformats.org/markup-compatibility/2006" xmlns:xr="http://schemas.microsoft.com/office/spreadsheetml/2014/revision" mc:Ignorable="xr" count="801">
  <r>
    <x v="0"/>
    <s v="Fushigidaneフシギダネ"/>
    <x v="0"/>
    <x v="0"/>
    <x v="0"/>
    <s v="Overgrow"/>
    <s v="Chlorophyll"/>
    <s v=""/>
    <s v=""/>
    <s v=""/>
    <s v=""/>
    <n v="1"/>
    <n v="1"/>
    <n v="1"/>
    <n v="0.5"/>
    <n v="0.5"/>
    <n v="0.5"/>
    <n v="2"/>
    <n v="2"/>
    <n v="1"/>
    <n v="0.25"/>
    <n v="1"/>
    <n v="2"/>
    <n v="1"/>
    <n v="1"/>
    <n v="2"/>
    <n v="1"/>
    <n v="1"/>
    <n v="0.5"/>
    <n v="49"/>
    <n v="5120"/>
    <n v="70"/>
    <n v="318"/>
    <n v="45"/>
    <n v="49"/>
    <n v="1059860"/>
    <n v="0.7"/>
    <n v="45"/>
    <n v="88.1"/>
    <n v="11.900000000000006"/>
    <n v="1"/>
    <n v="65"/>
    <n v="65"/>
    <n v="45"/>
    <n v="6.9"/>
    <x v="0"/>
    <x v="0"/>
  </r>
  <r>
    <x v="1"/>
    <s v="Fushigisouフシギソウ"/>
    <x v="0"/>
    <x v="0"/>
    <x v="0"/>
    <s v="Overgrow"/>
    <s v="Chlorophyll"/>
    <s v=""/>
    <s v=""/>
    <s v=""/>
    <s v=""/>
    <n v="1"/>
    <n v="1"/>
    <n v="1"/>
    <n v="0.5"/>
    <n v="0.5"/>
    <n v="0.5"/>
    <n v="2"/>
    <n v="2"/>
    <n v="1"/>
    <n v="0.25"/>
    <n v="1"/>
    <n v="2"/>
    <n v="1"/>
    <n v="1"/>
    <n v="2"/>
    <n v="1"/>
    <n v="1"/>
    <n v="0.5"/>
    <n v="62"/>
    <n v="5120"/>
    <n v="70"/>
    <n v="405"/>
    <n v="45"/>
    <n v="63"/>
    <n v="1059860"/>
    <n v="1"/>
    <n v="60"/>
    <n v="88.1"/>
    <n v="11.900000000000006"/>
    <n v="2"/>
    <n v="80"/>
    <n v="80"/>
    <n v="60"/>
    <n v="13"/>
    <x v="0"/>
    <x v="0"/>
  </r>
  <r>
    <x v="2"/>
    <s v="Fushigibanaフシギバナ"/>
    <x v="0"/>
    <x v="0"/>
    <x v="0"/>
    <s v="Overgrow"/>
    <s v="Chlorophyll"/>
    <s v=""/>
    <s v=""/>
    <s v=""/>
    <s v=""/>
    <n v="1"/>
    <n v="1"/>
    <n v="1"/>
    <n v="0.5"/>
    <n v="0.5"/>
    <n v="0.5"/>
    <n v="2"/>
    <n v="2"/>
    <n v="1"/>
    <n v="0.25"/>
    <n v="1"/>
    <n v="2"/>
    <n v="1"/>
    <n v="1"/>
    <n v="2"/>
    <n v="1"/>
    <n v="1"/>
    <n v="0.5"/>
    <n v="100"/>
    <n v="5120"/>
    <n v="70"/>
    <n v="625"/>
    <n v="45"/>
    <n v="123"/>
    <n v="1059860"/>
    <n v="2"/>
    <n v="80"/>
    <n v="88.1"/>
    <n v="11.900000000000006"/>
    <n v="3"/>
    <n v="122"/>
    <n v="120"/>
    <n v="80"/>
    <n v="100"/>
    <x v="0"/>
    <x v="0"/>
  </r>
  <r>
    <x v="3"/>
    <s v="Hitokageヒトカゲ"/>
    <x v="1"/>
    <x v="1"/>
    <x v="1"/>
    <s v="Blaze"/>
    <s v="Solar Power"/>
    <s v=""/>
    <s v=""/>
    <s v=""/>
    <s v=""/>
    <n v="0.5"/>
    <n v="1"/>
    <n v="1"/>
    <n v="1"/>
    <n v="0.5"/>
    <n v="1"/>
    <n v="0.5"/>
    <n v="1"/>
    <n v="1"/>
    <n v="0.5"/>
    <n v="2"/>
    <n v="0.5"/>
    <n v="1"/>
    <n v="1"/>
    <n v="1"/>
    <n v="2"/>
    <n v="0.5"/>
    <n v="2"/>
    <n v="52"/>
    <n v="5120"/>
    <n v="70"/>
    <n v="309"/>
    <n v="45"/>
    <n v="43"/>
    <n v="1059860"/>
    <n v="0.6"/>
    <n v="39"/>
    <n v="88.1"/>
    <n v="11.900000000000006"/>
    <n v="4"/>
    <n v="60"/>
    <n v="50"/>
    <n v="65"/>
    <n v="8.5"/>
    <x v="0"/>
    <x v="0"/>
  </r>
  <r>
    <x v="4"/>
    <s v="Lizardoリザード"/>
    <x v="1"/>
    <x v="1"/>
    <x v="2"/>
    <s v="Blaze"/>
    <s v="Solar Power"/>
    <s v=""/>
    <s v=""/>
    <s v=""/>
    <s v=""/>
    <n v="0.5"/>
    <n v="1"/>
    <n v="1"/>
    <n v="1"/>
    <n v="0.5"/>
    <n v="1"/>
    <n v="0.5"/>
    <n v="1"/>
    <n v="1"/>
    <n v="0.5"/>
    <n v="2"/>
    <n v="0.5"/>
    <n v="1"/>
    <n v="1"/>
    <n v="1"/>
    <n v="2"/>
    <n v="0.5"/>
    <n v="2"/>
    <n v="64"/>
    <n v="5120"/>
    <n v="70"/>
    <n v="405"/>
    <n v="45"/>
    <n v="58"/>
    <n v="1059860"/>
    <n v="1.1000000000000001"/>
    <n v="58"/>
    <n v="88.1"/>
    <n v="11.900000000000006"/>
    <n v="5"/>
    <n v="80"/>
    <n v="65"/>
    <n v="80"/>
    <n v="19"/>
    <x v="0"/>
    <x v="0"/>
  </r>
  <r>
    <x v="5"/>
    <s v="Lizardonリザードン"/>
    <x v="1"/>
    <x v="2"/>
    <x v="2"/>
    <s v="Blaze"/>
    <s v="Solar Power"/>
    <s v=""/>
    <s v=""/>
    <s v=""/>
    <s v=""/>
    <n v="0.25"/>
    <n v="1"/>
    <n v="1"/>
    <n v="2"/>
    <n v="0.5"/>
    <n v="0.5"/>
    <n v="0.5"/>
    <n v="1"/>
    <n v="1"/>
    <n v="0.25"/>
    <n v="0"/>
    <n v="1"/>
    <n v="1"/>
    <n v="1"/>
    <n v="1"/>
    <n v="4"/>
    <n v="0.5"/>
    <n v="2"/>
    <n v="104"/>
    <n v="5120"/>
    <n v="70"/>
    <n v="634"/>
    <n v="45"/>
    <n v="78"/>
    <n v="1059860"/>
    <n v="1.7"/>
    <n v="78"/>
    <n v="88.1"/>
    <n v="11.900000000000006"/>
    <n v="6"/>
    <n v="159"/>
    <n v="115"/>
    <n v="100"/>
    <n v="90.5"/>
    <x v="0"/>
    <x v="0"/>
  </r>
  <r>
    <x v="6"/>
    <s v="Zenigameゼニガメ"/>
    <x v="2"/>
    <x v="1"/>
    <x v="3"/>
    <s v="Torrent"/>
    <s v="Rain Dish"/>
    <s v=""/>
    <s v=""/>
    <s v=""/>
    <s v=""/>
    <n v="1"/>
    <n v="1"/>
    <n v="1"/>
    <n v="2"/>
    <n v="1"/>
    <n v="1"/>
    <n v="0.5"/>
    <n v="1"/>
    <n v="1"/>
    <n v="2"/>
    <n v="1"/>
    <n v="0.5"/>
    <n v="1"/>
    <n v="1"/>
    <n v="1"/>
    <n v="1"/>
    <n v="0.5"/>
    <n v="0.5"/>
    <n v="48"/>
    <n v="5120"/>
    <n v="70"/>
    <n v="314"/>
    <n v="45"/>
    <n v="65"/>
    <n v="1059860"/>
    <n v="0.5"/>
    <n v="44"/>
    <n v="88.1"/>
    <n v="11.900000000000006"/>
    <n v="7"/>
    <n v="50"/>
    <n v="64"/>
    <n v="43"/>
    <n v="9"/>
    <x v="0"/>
    <x v="0"/>
  </r>
  <r>
    <x v="7"/>
    <s v="Kameilカメール"/>
    <x v="2"/>
    <x v="1"/>
    <x v="4"/>
    <s v="Torrent"/>
    <s v="Rain Dish"/>
    <s v=""/>
    <s v=""/>
    <s v=""/>
    <s v=""/>
    <n v="1"/>
    <n v="1"/>
    <n v="1"/>
    <n v="2"/>
    <n v="1"/>
    <n v="1"/>
    <n v="0.5"/>
    <n v="1"/>
    <n v="1"/>
    <n v="2"/>
    <n v="1"/>
    <n v="0.5"/>
    <n v="1"/>
    <n v="1"/>
    <n v="1"/>
    <n v="1"/>
    <n v="0.5"/>
    <n v="0.5"/>
    <n v="63"/>
    <n v="5120"/>
    <n v="70"/>
    <n v="405"/>
    <n v="45"/>
    <n v="80"/>
    <n v="1059860"/>
    <n v="1"/>
    <n v="59"/>
    <n v="88.1"/>
    <n v="11.900000000000006"/>
    <n v="8"/>
    <n v="65"/>
    <n v="80"/>
    <n v="58"/>
    <n v="22.5"/>
    <x v="0"/>
    <x v="0"/>
  </r>
  <r>
    <x v="8"/>
    <s v="Kamexカメックス"/>
    <x v="2"/>
    <x v="1"/>
    <x v="5"/>
    <s v="Torrent"/>
    <s v="Rain Dish"/>
    <s v=""/>
    <s v=""/>
    <s v=""/>
    <s v=""/>
    <n v="1"/>
    <n v="1"/>
    <n v="1"/>
    <n v="2"/>
    <n v="1"/>
    <n v="1"/>
    <n v="0.5"/>
    <n v="1"/>
    <n v="1"/>
    <n v="2"/>
    <n v="1"/>
    <n v="0.5"/>
    <n v="1"/>
    <n v="1"/>
    <n v="1"/>
    <n v="1"/>
    <n v="0.5"/>
    <n v="0.5"/>
    <n v="103"/>
    <n v="5120"/>
    <n v="70"/>
    <n v="630"/>
    <n v="45"/>
    <n v="120"/>
    <n v="1059860"/>
    <n v="1.6"/>
    <n v="79"/>
    <n v="88.1"/>
    <n v="11.900000000000006"/>
    <n v="9"/>
    <n v="135"/>
    <n v="115"/>
    <n v="78"/>
    <n v="85.5"/>
    <x v="0"/>
    <x v="0"/>
  </r>
  <r>
    <x v="9"/>
    <s v="Caterpieキャタピー"/>
    <x v="3"/>
    <x v="1"/>
    <x v="6"/>
    <s v="Shield Dust"/>
    <s v="Run Away"/>
    <s v=""/>
    <s v=""/>
    <s v=""/>
    <s v=""/>
    <n v="1"/>
    <n v="1"/>
    <n v="1"/>
    <n v="1"/>
    <n v="1"/>
    <n v="0.5"/>
    <n v="2"/>
    <n v="2"/>
    <n v="1"/>
    <n v="0.5"/>
    <n v="0.5"/>
    <n v="1"/>
    <n v="1"/>
    <n v="1"/>
    <n v="1"/>
    <n v="2"/>
    <n v="1"/>
    <n v="1"/>
    <n v="30"/>
    <n v="3840"/>
    <n v="70"/>
    <n v="195"/>
    <n v="255"/>
    <n v="35"/>
    <n v="1000000"/>
    <n v="0.3"/>
    <n v="45"/>
    <n v="50"/>
    <n v="50"/>
    <n v="10"/>
    <n v="20"/>
    <n v="20"/>
    <n v="45"/>
    <n v="2.9"/>
    <x v="0"/>
    <x v="0"/>
  </r>
  <r>
    <x v="10"/>
    <s v="Transelトランセル"/>
    <x v="3"/>
    <x v="1"/>
    <x v="7"/>
    <s v="Shed Skin"/>
    <s v=""/>
    <s v=""/>
    <s v=""/>
    <s v=""/>
    <s v=""/>
    <n v="1"/>
    <n v="1"/>
    <n v="1"/>
    <n v="1"/>
    <n v="1"/>
    <n v="0.5"/>
    <n v="2"/>
    <n v="2"/>
    <n v="1"/>
    <n v="0.5"/>
    <n v="0.5"/>
    <n v="1"/>
    <n v="1"/>
    <n v="1"/>
    <n v="1"/>
    <n v="2"/>
    <n v="1"/>
    <n v="1"/>
    <n v="20"/>
    <n v="3840"/>
    <n v="70"/>
    <n v="205"/>
    <n v="120"/>
    <n v="55"/>
    <n v="1000000"/>
    <n v="0.7"/>
    <n v="50"/>
    <n v="50"/>
    <n v="50"/>
    <n v="11"/>
    <n v="25"/>
    <n v="25"/>
    <n v="30"/>
    <n v="9.9"/>
    <x v="0"/>
    <x v="0"/>
  </r>
  <r>
    <x v="11"/>
    <s v="Butterfreeバタフリー"/>
    <x v="3"/>
    <x v="2"/>
    <x v="8"/>
    <s v="Compoundeyes"/>
    <s v="Tinted Lens"/>
    <s v=""/>
    <s v=""/>
    <s v=""/>
    <s v=""/>
    <n v="0.5"/>
    <n v="1"/>
    <n v="1"/>
    <n v="2"/>
    <n v="1"/>
    <n v="0.25"/>
    <n v="2"/>
    <n v="2"/>
    <n v="1"/>
    <n v="0.25"/>
    <n v="0"/>
    <n v="2"/>
    <n v="1"/>
    <n v="1"/>
    <n v="1"/>
    <n v="4"/>
    <n v="1"/>
    <n v="1"/>
    <n v="45"/>
    <n v="3840"/>
    <n v="70"/>
    <n v="395"/>
    <n v="45"/>
    <n v="50"/>
    <n v="1000000"/>
    <n v="1.1000000000000001"/>
    <n v="60"/>
    <n v="50"/>
    <n v="50"/>
    <n v="12"/>
    <n v="90"/>
    <n v="80"/>
    <n v="70"/>
    <n v="32"/>
    <x v="0"/>
    <x v="0"/>
  </r>
  <r>
    <x v="12"/>
    <s v="Beedleビードル"/>
    <x v="3"/>
    <x v="0"/>
    <x v="9"/>
    <s v="Shield Dust"/>
    <s v="Run Away"/>
    <s v=""/>
    <s v=""/>
    <s v=""/>
    <s v=""/>
    <n v="0.5"/>
    <n v="1"/>
    <n v="1"/>
    <n v="1"/>
    <n v="0.5"/>
    <n v="0.25"/>
    <n v="2"/>
    <n v="2"/>
    <n v="1"/>
    <n v="0.25"/>
    <n v="1"/>
    <n v="1"/>
    <n v="1"/>
    <n v="0.5"/>
    <n v="2"/>
    <n v="2"/>
    <n v="1"/>
    <n v="1"/>
    <n v="35"/>
    <n v="3840"/>
    <n v="70"/>
    <n v="195"/>
    <n v="255"/>
    <n v="30"/>
    <n v="1000000"/>
    <n v="0.3"/>
    <n v="40"/>
    <n v="50"/>
    <n v="50"/>
    <n v="13"/>
    <n v="20"/>
    <n v="20"/>
    <n v="50"/>
    <n v="3.2"/>
    <x v="0"/>
    <x v="0"/>
  </r>
  <r>
    <x v="13"/>
    <s v="Cocoonコクーン"/>
    <x v="3"/>
    <x v="0"/>
    <x v="7"/>
    <s v="Shed Skin"/>
    <s v=""/>
    <s v=""/>
    <s v=""/>
    <s v=""/>
    <s v=""/>
    <n v="0.5"/>
    <n v="1"/>
    <n v="1"/>
    <n v="1"/>
    <n v="0.5"/>
    <n v="0.25"/>
    <n v="2"/>
    <n v="2"/>
    <n v="1"/>
    <n v="0.25"/>
    <n v="1"/>
    <n v="1"/>
    <n v="1"/>
    <n v="0.5"/>
    <n v="2"/>
    <n v="2"/>
    <n v="1"/>
    <n v="1"/>
    <n v="25"/>
    <n v="3840"/>
    <n v="70"/>
    <n v="205"/>
    <n v="120"/>
    <n v="50"/>
    <n v="1000000"/>
    <n v="0.6"/>
    <n v="45"/>
    <n v="50"/>
    <n v="50"/>
    <n v="14"/>
    <n v="25"/>
    <n v="25"/>
    <n v="35"/>
    <n v="10"/>
    <x v="0"/>
    <x v="0"/>
  </r>
  <r>
    <x v="14"/>
    <s v="Spearスピアー"/>
    <x v="3"/>
    <x v="0"/>
    <x v="10"/>
    <s v="Swarm"/>
    <s v="Sniper"/>
    <s v=""/>
    <s v=""/>
    <s v=""/>
    <s v=""/>
    <n v="0.5"/>
    <n v="1"/>
    <n v="1"/>
    <n v="1"/>
    <n v="0.5"/>
    <n v="0.25"/>
    <n v="2"/>
    <n v="2"/>
    <n v="1"/>
    <n v="0.25"/>
    <n v="1"/>
    <n v="1"/>
    <n v="1"/>
    <n v="0.5"/>
    <n v="2"/>
    <n v="2"/>
    <n v="1"/>
    <n v="1"/>
    <n v="150"/>
    <n v="3840"/>
    <n v="70"/>
    <n v="495"/>
    <n v="45"/>
    <n v="40"/>
    <n v="1000000"/>
    <n v="1"/>
    <n v="65"/>
    <n v="50"/>
    <n v="50"/>
    <n v="15"/>
    <n v="15"/>
    <n v="80"/>
    <n v="145"/>
    <n v="29.5"/>
    <x v="0"/>
    <x v="0"/>
  </r>
  <r>
    <x v="15"/>
    <s v="Poppoポッポ"/>
    <x v="4"/>
    <x v="2"/>
    <x v="11"/>
    <s v="Keen Eye"/>
    <s v="Tangled Feet"/>
    <s v="Big Pecks"/>
    <s v=""/>
    <s v=""/>
    <s v=""/>
    <n v="0.5"/>
    <n v="1"/>
    <n v="1"/>
    <n v="2"/>
    <n v="1"/>
    <n v="1"/>
    <n v="1"/>
    <n v="1"/>
    <n v="0"/>
    <n v="0.5"/>
    <n v="0"/>
    <n v="2"/>
    <n v="1"/>
    <n v="1"/>
    <n v="1"/>
    <n v="2"/>
    <n v="1"/>
    <n v="1"/>
    <n v="45"/>
    <n v="3840"/>
    <n v="70"/>
    <n v="251"/>
    <n v="255"/>
    <n v="40"/>
    <n v="1059860"/>
    <n v="0.3"/>
    <n v="40"/>
    <n v="50"/>
    <n v="50"/>
    <n v="16"/>
    <n v="35"/>
    <n v="35"/>
    <n v="56"/>
    <n v="1.8"/>
    <x v="0"/>
    <x v="0"/>
  </r>
  <r>
    <x v="16"/>
    <s v="Pigeonピジョン"/>
    <x v="4"/>
    <x v="2"/>
    <x v="12"/>
    <s v="Keen Eye"/>
    <s v="Tangled Feet"/>
    <s v="Big Pecks"/>
    <s v=""/>
    <s v=""/>
    <s v=""/>
    <n v="0.5"/>
    <n v="1"/>
    <n v="1"/>
    <n v="2"/>
    <n v="1"/>
    <n v="1"/>
    <n v="1"/>
    <n v="1"/>
    <n v="0"/>
    <n v="0.5"/>
    <n v="0"/>
    <n v="2"/>
    <n v="1"/>
    <n v="1"/>
    <n v="1"/>
    <n v="2"/>
    <n v="1"/>
    <n v="1"/>
    <n v="60"/>
    <n v="3840"/>
    <n v="70"/>
    <n v="349"/>
    <n v="120"/>
    <n v="55"/>
    <n v="1059860"/>
    <n v="1.1000000000000001"/>
    <n v="63"/>
    <n v="50"/>
    <n v="50"/>
    <n v="17"/>
    <n v="50"/>
    <n v="50"/>
    <n v="71"/>
    <n v="30"/>
    <x v="0"/>
    <x v="0"/>
  </r>
  <r>
    <x v="17"/>
    <s v="Pigeotピジョット"/>
    <x v="4"/>
    <x v="2"/>
    <x v="12"/>
    <s v="Keen Eye"/>
    <s v="Tangled Feet"/>
    <s v="Big Pecks"/>
    <s v=""/>
    <s v=""/>
    <s v=""/>
    <n v="0.5"/>
    <n v="1"/>
    <n v="1"/>
    <n v="2"/>
    <n v="1"/>
    <n v="1"/>
    <n v="1"/>
    <n v="1"/>
    <n v="0"/>
    <n v="0.5"/>
    <n v="0"/>
    <n v="2"/>
    <n v="1"/>
    <n v="1"/>
    <n v="1"/>
    <n v="2"/>
    <n v="1"/>
    <n v="1"/>
    <n v="80"/>
    <n v="3840"/>
    <n v="70"/>
    <n v="579"/>
    <n v="45"/>
    <n v="80"/>
    <n v="1059860"/>
    <n v="1.5"/>
    <n v="83"/>
    <n v="50"/>
    <n v="50"/>
    <n v="18"/>
    <n v="135"/>
    <n v="80"/>
    <n v="121"/>
    <n v="39.5"/>
    <x v="0"/>
    <x v="0"/>
  </r>
  <r>
    <x v="18"/>
    <s v="Korattaコラッタ"/>
    <x v="4"/>
    <x v="3"/>
    <x v="13"/>
    <s v="Run Away"/>
    <s v="Guts"/>
    <s v="Hustle"/>
    <s v="Gluttony"/>
    <s v="Hustle"/>
    <s v="Thick Fat"/>
    <n v="1"/>
    <n v="1"/>
    <n v="1"/>
    <n v="1"/>
    <n v="1"/>
    <n v="2"/>
    <n v="1"/>
    <n v="1"/>
    <n v="0"/>
    <n v="1"/>
    <n v="1"/>
    <n v="1"/>
    <n v="1"/>
    <n v="1"/>
    <n v="1"/>
    <n v="1"/>
    <n v="1"/>
    <n v="1"/>
    <n v="56"/>
    <n v="3840"/>
    <n v="70"/>
    <n v="253"/>
    <n v="255"/>
    <n v="35"/>
    <n v="1000000"/>
    <n v="0.3"/>
    <n v="30"/>
    <n v="50"/>
    <n v="50"/>
    <n v="19"/>
    <n v="25"/>
    <n v="35"/>
    <n v="72"/>
    <n v="3.5"/>
    <x v="0"/>
    <x v="0"/>
  </r>
  <r>
    <x v="19"/>
    <s v="Rattaラッタ"/>
    <x v="4"/>
    <x v="3"/>
    <x v="13"/>
    <s v="Run Away"/>
    <s v="Guts"/>
    <s v="Hustle"/>
    <s v="Gluttony"/>
    <s v="Hustle"/>
    <s v="Thick Fat"/>
    <n v="1"/>
    <n v="1"/>
    <n v="1"/>
    <n v="1"/>
    <n v="1"/>
    <n v="2"/>
    <n v="1"/>
    <n v="1"/>
    <n v="0"/>
    <n v="1"/>
    <n v="1"/>
    <n v="1"/>
    <n v="1"/>
    <n v="1"/>
    <n v="1"/>
    <n v="1"/>
    <n v="1"/>
    <n v="1"/>
    <n v="71"/>
    <n v="3840"/>
    <n v="70"/>
    <n v="413"/>
    <n v="127"/>
    <n v="70"/>
    <n v="1000000"/>
    <n v="0.7"/>
    <n v="75"/>
    <n v="50"/>
    <n v="50"/>
    <n v="20"/>
    <n v="40"/>
    <n v="80"/>
    <n v="77"/>
    <n v="18.5"/>
    <x v="0"/>
    <x v="0"/>
  </r>
  <r>
    <x v="20"/>
    <s v="Onisuzumeオニスズメ"/>
    <x v="4"/>
    <x v="2"/>
    <x v="11"/>
    <s v="Keen Eye"/>
    <s v="Sniper"/>
    <s v=""/>
    <s v=""/>
    <s v=""/>
    <s v=""/>
    <n v="0.5"/>
    <n v="1"/>
    <n v="1"/>
    <n v="2"/>
    <n v="1"/>
    <n v="1"/>
    <n v="1"/>
    <n v="1"/>
    <n v="0"/>
    <n v="0.5"/>
    <n v="0"/>
    <n v="2"/>
    <n v="1"/>
    <n v="1"/>
    <n v="1"/>
    <n v="2"/>
    <n v="1"/>
    <n v="1"/>
    <n v="60"/>
    <n v="3840"/>
    <n v="70"/>
    <n v="262"/>
    <n v="255"/>
    <n v="30"/>
    <n v="1000000"/>
    <n v="0.3"/>
    <n v="40"/>
    <n v="50"/>
    <n v="50"/>
    <n v="21"/>
    <n v="31"/>
    <n v="31"/>
    <n v="70"/>
    <n v="2"/>
    <x v="0"/>
    <x v="0"/>
  </r>
  <r>
    <x v="21"/>
    <s v="Onidrillオニドリル"/>
    <x v="4"/>
    <x v="2"/>
    <x v="14"/>
    <s v="Keen Eye"/>
    <s v="Sniper"/>
    <s v=""/>
    <s v=""/>
    <s v=""/>
    <s v=""/>
    <n v="0.5"/>
    <n v="1"/>
    <n v="1"/>
    <n v="2"/>
    <n v="1"/>
    <n v="1"/>
    <n v="1"/>
    <n v="1"/>
    <n v="0"/>
    <n v="0.5"/>
    <n v="0"/>
    <n v="2"/>
    <n v="1"/>
    <n v="1"/>
    <n v="1"/>
    <n v="2"/>
    <n v="1"/>
    <n v="1"/>
    <n v="90"/>
    <n v="3840"/>
    <n v="70"/>
    <n v="442"/>
    <n v="90"/>
    <n v="65"/>
    <n v="1000000"/>
    <n v="1.2"/>
    <n v="65"/>
    <n v="50"/>
    <n v="50"/>
    <n v="22"/>
    <n v="61"/>
    <n v="61"/>
    <n v="100"/>
    <n v="38"/>
    <x v="0"/>
    <x v="0"/>
  </r>
  <r>
    <x v="22"/>
    <s v="Arboアーボ"/>
    <x v="5"/>
    <x v="1"/>
    <x v="15"/>
    <s v="Intimidate"/>
    <s v="Shed Skin"/>
    <s v="Unnerve"/>
    <s v=""/>
    <s v=""/>
    <s v=""/>
    <n v="0.5"/>
    <n v="1"/>
    <n v="1"/>
    <n v="1"/>
    <n v="0.5"/>
    <n v="0.5"/>
    <n v="1"/>
    <n v="1"/>
    <n v="1"/>
    <n v="0.5"/>
    <n v="2"/>
    <n v="1"/>
    <n v="1"/>
    <n v="0.5"/>
    <n v="2"/>
    <n v="1"/>
    <n v="1"/>
    <n v="1"/>
    <n v="60"/>
    <n v="5120"/>
    <n v="70"/>
    <n v="288"/>
    <n v="255"/>
    <n v="44"/>
    <n v="1000000"/>
    <n v="2"/>
    <n v="35"/>
    <n v="50"/>
    <n v="50"/>
    <n v="23"/>
    <n v="40"/>
    <n v="54"/>
    <n v="55"/>
    <n v="6.9"/>
    <x v="0"/>
    <x v="0"/>
  </r>
  <r>
    <x v="23"/>
    <s v="Arbokアーボック"/>
    <x v="5"/>
    <x v="1"/>
    <x v="16"/>
    <s v="Intimidate"/>
    <s v="Shed Skin"/>
    <s v="Unnerve"/>
    <s v=""/>
    <s v=""/>
    <s v=""/>
    <n v="0.5"/>
    <n v="1"/>
    <n v="1"/>
    <n v="1"/>
    <n v="0.5"/>
    <n v="0.5"/>
    <n v="1"/>
    <n v="1"/>
    <n v="1"/>
    <n v="0.5"/>
    <n v="2"/>
    <n v="1"/>
    <n v="1"/>
    <n v="0.5"/>
    <n v="2"/>
    <n v="1"/>
    <n v="1"/>
    <n v="1"/>
    <n v="95"/>
    <n v="5120"/>
    <n v="70"/>
    <n v="448"/>
    <n v="90"/>
    <n v="69"/>
    <n v="1000000"/>
    <n v="3.5"/>
    <n v="60"/>
    <n v="50"/>
    <n v="50"/>
    <n v="24"/>
    <n v="65"/>
    <n v="79"/>
    <n v="80"/>
    <n v="65"/>
    <x v="0"/>
    <x v="0"/>
  </r>
  <r>
    <x v="24"/>
    <s v="Pikachuピカチュウ"/>
    <x v="6"/>
    <x v="1"/>
    <x v="13"/>
    <s v="Static"/>
    <s v="Lightningrod"/>
    <s v=""/>
    <s v=""/>
    <s v=""/>
    <s v=""/>
    <n v="1"/>
    <n v="1"/>
    <n v="1"/>
    <n v="0.5"/>
    <n v="1"/>
    <n v="1"/>
    <n v="1"/>
    <n v="0.5"/>
    <n v="1"/>
    <n v="1"/>
    <n v="2"/>
    <n v="1"/>
    <n v="1"/>
    <n v="1"/>
    <n v="1"/>
    <n v="1"/>
    <n v="0.5"/>
    <n v="1"/>
    <n v="55"/>
    <n v="2560"/>
    <n v="70"/>
    <n v="320"/>
    <n v="190"/>
    <n v="40"/>
    <n v="1000000"/>
    <n v="0.4"/>
    <n v="35"/>
    <n v="50"/>
    <n v="50"/>
    <n v="25"/>
    <n v="50"/>
    <n v="50"/>
    <n v="90"/>
    <n v="6"/>
    <x v="0"/>
    <x v="0"/>
  </r>
  <r>
    <x v="25"/>
    <s v="Raichuライチュウ"/>
    <x v="6"/>
    <x v="4"/>
    <x v="13"/>
    <s v="Static"/>
    <s v="Lightningrod"/>
    <s v="Surge Surfer"/>
    <s v=""/>
    <s v=""/>
    <s v=""/>
    <n v="1"/>
    <n v="1"/>
    <n v="1"/>
    <n v="0.5"/>
    <n v="1"/>
    <n v="1"/>
    <n v="1"/>
    <n v="0.5"/>
    <n v="1"/>
    <n v="1"/>
    <n v="2"/>
    <n v="1"/>
    <n v="1"/>
    <n v="1"/>
    <n v="1"/>
    <n v="1"/>
    <n v="0.5"/>
    <n v="1"/>
    <n v="85"/>
    <n v="2560"/>
    <n v="70"/>
    <n v="485"/>
    <n v="75"/>
    <n v="50"/>
    <n v="1000000"/>
    <n v="0.8"/>
    <n v="60"/>
    <n v="50"/>
    <n v="50"/>
    <n v="26"/>
    <n v="95"/>
    <n v="85"/>
    <n v="110"/>
    <n v="30"/>
    <x v="0"/>
    <x v="0"/>
  </r>
  <r>
    <x v="26"/>
    <s v="Sandサンド"/>
    <x v="7"/>
    <x v="5"/>
    <x v="13"/>
    <s v="Sand Veil"/>
    <s v="Sand Rush"/>
    <s v="Snow Cloak"/>
    <s v="Slush Rush"/>
    <s v=""/>
    <s v=""/>
    <n v="1"/>
    <n v="1"/>
    <n v="1"/>
    <n v="0"/>
    <n v="1"/>
    <n v="1"/>
    <n v="1"/>
    <n v="1"/>
    <n v="1"/>
    <n v="2"/>
    <n v="1"/>
    <n v="2"/>
    <n v="1"/>
    <n v="0.5"/>
    <n v="1"/>
    <n v="0.5"/>
    <n v="1"/>
    <n v="2"/>
    <n v="75"/>
    <n v="5120"/>
    <n v="70"/>
    <n v="300"/>
    <n v="255"/>
    <n v="90"/>
    <n v="1000000"/>
    <n v="0.6"/>
    <n v="50"/>
    <n v="50"/>
    <n v="50"/>
    <n v="27"/>
    <n v="10"/>
    <n v="35"/>
    <n v="40"/>
    <n v="12"/>
    <x v="0"/>
    <x v="0"/>
  </r>
  <r>
    <x v="27"/>
    <s v="Sandpanサンドパン"/>
    <x v="7"/>
    <x v="5"/>
    <x v="13"/>
    <s v="Sand Veil"/>
    <s v="Sand Rush"/>
    <s v="Snow Cloak"/>
    <s v="Slush Rush"/>
    <s v=""/>
    <s v=""/>
    <n v="1"/>
    <n v="1"/>
    <n v="1"/>
    <n v="0"/>
    <n v="1"/>
    <n v="1"/>
    <n v="1"/>
    <n v="1"/>
    <n v="1"/>
    <n v="2"/>
    <n v="1"/>
    <n v="2"/>
    <n v="1"/>
    <n v="0.5"/>
    <n v="1"/>
    <n v="0.5"/>
    <n v="1"/>
    <n v="2"/>
    <n v="100"/>
    <n v="5120"/>
    <n v="70"/>
    <n v="450"/>
    <n v="90"/>
    <n v="120"/>
    <n v="1000000"/>
    <n v="1"/>
    <n v="75"/>
    <n v="50"/>
    <n v="50"/>
    <n v="28"/>
    <n v="25"/>
    <n v="65"/>
    <n v="65"/>
    <n v="29.5"/>
    <x v="0"/>
    <x v="0"/>
  </r>
  <r>
    <x v="28"/>
    <s v="Nidoran?ニドラン♀"/>
    <x v="5"/>
    <x v="1"/>
    <x v="17"/>
    <s v="Poison Point"/>
    <s v="Rivalry"/>
    <s v="Hustle"/>
    <s v=""/>
    <s v=""/>
    <s v=""/>
    <n v="0.5"/>
    <n v="1"/>
    <n v="1"/>
    <n v="1"/>
    <n v="0.5"/>
    <n v="0.5"/>
    <n v="1"/>
    <n v="1"/>
    <n v="1"/>
    <n v="0.5"/>
    <n v="2"/>
    <n v="1"/>
    <n v="1"/>
    <n v="0.5"/>
    <n v="2"/>
    <n v="1"/>
    <n v="1"/>
    <n v="1"/>
    <n v="47"/>
    <n v="5120"/>
    <n v="70"/>
    <n v="275"/>
    <n v="235"/>
    <n v="52"/>
    <n v="1059860"/>
    <n v="0.4"/>
    <n v="55"/>
    <n v="0"/>
    <n v="100"/>
    <n v="29"/>
    <n v="40"/>
    <n v="40"/>
    <n v="41"/>
    <n v="7"/>
    <x v="0"/>
    <x v="0"/>
  </r>
  <r>
    <x v="29"/>
    <s v="Nidorinaニドリーナ"/>
    <x v="5"/>
    <x v="1"/>
    <x v="17"/>
    <s v="Poison Point"/>
    <s v="Rivalry"/>
    <s v="Hustle"/>
    <s v=""/>
    <s v=""/>
    <s v=""/>
    <n v="0.5"/>
    <n v="1"/>
    <n v="1"/>
    <n v="1"/>
    <n v="0.5"/>
    <n v="0.5"/>
    <n v="1"/>
    <n v="1"/>
    <n v="1"/>
    <n v="0.5"/>
    <n v="2"/>
    <n v="1"/>
    <n v="1"/>
    <n v="0.5"/>
    <n v="2"/>
    <n v="1"/>
    <n v="1"/>
    <n v="1"/>
    <n v="62"/>
    <n v="5120"/>
    <n v="70"/>
    <n v="365"/>
    <n v="120"/>
    <n v="67"/>
    <n v="1059860"/>
    <n v="0.8"/>
    <n v="70"/>
    <n v="0"/>
    <n v="100"/>
    <n v="30"/>
    <n v="55"/>
    <n v="55"/>
    <n v="56"/>
    <n v="20"/>
    <x v="0"/>
    <x v="0"/>
  </r>
  <r>
    <x v="30"/>
    <s v="Nidoqueenニドクイン"/>
    <x v="5"/>
    <x v="6"/>
    <x v="18"/>
    <s v="Poison Point"/>
    <s v="Rivalry"/>
    <s v="Sheer Force"/>
    <s v=""/>
    <s v=""/>
    <s v=""/>
    <n v="0.5"/>
    <n v="1"/>
    <n v="1"/>
    <n v="0"/>
    <n v="0.5"/>
    <n v="0.5"/>
    <n v="1"/>
    <n v="1"/>
    <n v="1"/>
    <n v="1"/>
    <n v="2"/>
    <n v="2"/>
    <n v="1"/>
    <n v="0.25"/>
    <n v="2"/>
    <n v="0.5"/>
    <n v="1"/>
    <n v="2"/>
    <n v="92"/>
    <n v="5120"/>
    <n v="70"/>
    <n v="505"/>
    <n v="45"/>
    <n v="87"/>
    <n v="1059860"/>
    <n v="1.3"/>
    <n v="90"/>
    <n v="0"/>
    <n v="100"/>
    <n v="31"/>
    <n v="75"/>
    <n v="85"/>
    <n v="76"/>
    <n v="60"/>
    <x v="0"/>
    <x v="0"/>
  </r>
  <r>
    <x v="31"/>
    <s v="Nidoran?ニドラン♂"/>
    <x v="5"/>
    <x v="1"/>
    <x v="17"/>
    <s v="Poison Point"/>
    <s v="Rivalry"/>
    <s v="Hustle"/>
    <s v=""/>
    <s v=""/>
    <s v=""/>
    <n v="0.5"/>
    <n v="1"/>
    <n v="1"/>
    <n v="1"/>
    <n v="0.5"/>
    <n v="0.5"/>
    <n v="1"/>
    <n v="1"/>
    <n v="1"/>
    <n v="0.5"/>
    <n v="2"/>
    <n v="1"/>
    <n v="1"/>
    <n v="0.5"/>
    <n v="2"/>
    <n v="1"/>
    <n v="1"/>
    <n v="1"/>
    <n v="57"/>
    <n v="5120"/>
    <n v="70"/>
    <n v="273"/>
    <n v="235"/>
    <n v="40"/>
    <n v="1059860"/>
    <n v="0.5"/>
    <n v="46"/>
    <n v="100"/>
    <n v="0"/>
    <n v="32"/>
    <n v="40"/>
    <n v="40"/>
    <n v="50"/>
    <n v="9"/>
    <x v="0"/>
    <x v="0"/>
  </r>
  <r>
    <x v="32"/>
    <s v="Nidorinoニドリーノ"/>
    <x v="5"/>
    <x v="1"/>
    <x v="17"/>
    <s v="Poison Point"/>
    <s v="Rivalry"/>
    <s v="Hustle"/>
    <s v=""/>
    <s v=""/>
    <s v=""/>
    <n v="0.5"/>
    <n v="1"/>
    <n v="1"/>
    <n v="1"/>
    <n v="0.5"/>
    <n v="0.5"/>
    <n v="1"/>
    <n v="1"/>
    <n v="1"/>
    <n v="0.5"/>
    <n v="2"/>
    <n v="1"/>
    <n v="1"/>
    <n v="0.5"/>
    <n v="2"/>
    <n v="1"/>
    <n v="1"/>
    <n v="1"/>
    <n v="72"/>
    <n v="5120"/>
    <n v="70"/>
    <n v="365"/>
    <n v="120"/>
    <n v="57"/>
    <n v="1059860"/>
    <n v="0.9"/>
    <n v="61"/>
    <n v="100"/>
    <n v="0"/>
    <n v="33"/>
    <n v="55"/>
    <n v="55"/>
    <n v="65"/>
    <n v="19.5"/>
    <x v="0"/>
    <x v="0"/>
  </r>
  <r>
    <x v="33"/>
    <s v="Nidokingニドキング"/>
    <x v="5"/>
    <x v="6"/>
    <x v="18"/>
    <s v="Poison Point"/>
    <s v="Rivalry"/>
    <s v="Sheer Force"/>
    <s v=""/>
    <s v=""/>
    <s v=""/>
    <n v="0.5"/>
    <n v="1"/>
    <n v="1"/>
    <n v="0"/>
    <n v="0.5"/>
    <n v="0.5"/>
    <n v="1"/>
    <n v="1"/>
    <n v="1"/>
    <n v="1"/>
    <n v="2"/>
    <n v="2"/>
    <n v="1"/>
    <n v="0.25"/>
    <n v="2"/>
    <n v="0.5"/>
    <n v="1"/>
    <n v="2"/>
    <n v="102"/>
    <n v="5120"/>
    <n v="70"/>
    <n v="505"/>
    <n v="45"/>
    <n v="77"/>
    <n v="1059860"/>
    <n v="1.4"/>
    <n v="81"/>
    <n v="100"/>
    <n v="0"/>
    <n v="34"/>
    <n v="85"/>
    <n v="75"/>
    <n v="85"/>
    <n v="62"/>
    <x v="0"/>
    <x v="0"/>
  </r>
  <r>
    <x v="34"/>
    <s v="Pippiピッピ"/>
    <x v="8"/>
    <x v="1"/>
    <x v="19"/>
    <s v="Cute Charm"/>
    <s v="Magic Guard"/>
    <s v="Friend Guard"/>
    <s v=""/>
    <s v=""/>
    <s v=""/>
    <n v="0.5"/>
    <n v="0.5"/>
    <n v="0"/>
    <n v="1"/>
    <n v="1"/>
    <n v="0.5"/>
    <n v="1"/>
    <n v="1"/>
    <n v="1"/>
    <n v="1"/>
    <n v="1"/>
    <n v="1"/>
    <n v="1"/>
    <n v="2"/>
    <n v="1"/>
    <n v="1"/>
    <n v="2"/>
    <n v="1"/>
    <n v="45"/>
    <n v="2560"/>
    <n v="140"/>
    <n v="323"/>
    <n v="150"/>
    <n v="48"/>
    <n v="800000"/>
    <n v="0.6"/>
    <n v="70"/>
    <n v="24.6"/>
    <n v="75.400000000000006"/>
    <n v="35"/>
    <n v="60"/>
    <n v="65"/>
    <n v="35"/>
    <n v="7.5"/>
    <x v="0"/>
    <x v="0"/>
  </r>
  <r>
    <x v="35"/>
    <s v="Pixyピクシー"/>
    <x v="8"/>
    <x v="1"/>
    <x v="19"/>
    <s v="Cute Charm"/>
    <s v="Magic Guard"/>
    <s v="Unaware"/>
    <s v=""/>
    <s v=""/>
    <s v=""/>
    <n v="0.5"/>
    <n v="0.5"/>
    <n v="0"/>
    <n v="1"/>
    <n v="1"/>
    <n v="0.5"/>
    <n v="1"/>
    <n v="1"/>
    <n v="1"/>
    <n v="1"/>
    <n v="1"/>
    <n v="1"/>
    <n v="1"/>
    <n v="2"/>
    <n v="1"/>
    <n v="1"/>
    <n v="2"/>
    <n v="1"/>
    <n v="70"/>
    <n v="2560"/>
    <n v="140"/>
    <n v="483"/>
    <n v="25"/>
    <n v="73"/>
    <n v="800000"/>
    <n v="1.3"/>
    <n v="95"/>
    <n v="24.6"/>
    <n v="75.400000000000006"/>
    <n v="36"/>
    <n v="95"/>
    <n v="90"/>
    <n v="60"/>
    <n v="40"/>
    <x v="0"/>
    <x v="0"/>
  </r>
  <r>
    <x v="36"/>
    <s v="Rokonロコン"/>
    <x v="1"/>
    <x v="5"/>
    <x v="20"/>
    <s v="Flash Fire"/>
    <s v="Drought"/>
    <s v="Snow Cloak"/>
    <s v="Snow Warning"/>
    <s v=""/>
    <s v=""/>
    <n v="0.5"/>
    <n v="1"/>
    <n v="1"/>
    <n v="1"/>
    <n v="0.5"/>
    <n v="1"/>
    <n v="0.5"/>
    <n v="1"/>
    <n v="1"/>
    <n v="0.5"/>
    <n v="2"/>
    <n v="0.5"/>
    <n v="1"/>
    <n v="1"/>
    <n v="1"/>
    <n v="2"/>
    <n v="0.5"/>
    <n v="2"/>
    <n v="41"/>
    <n v="5120"/>
    <n v="70"/>
    <n v="299"/>
    <n v="190"/>
    <n v="40"/>
    <n v="1000000"/>
    <n v="0.6"/>
    <n v="38"/>
    <n v="24.6"/>
    <n v="75.400000000000006"/>
    <n v="37"/>
    <n v="50"/>
    <n v="65"/>
    <n v="65"/>
    <n v="9.9"/>
    <x v="0"/>
    <x v="0"/>
  </r>
  <r>
    <x v="37"/>
    <s v="Kyukonキュウコン"/>
    <x v="1"/>
    <x v="5"/>
    <x v="20"/>
    <s v="Flash Fire"/>
    <s v="Drought"/>
    <s v="Snow Cloak"/>
    <s v="Snow Warning"/>
    <s v=""/>
    <s v=""/>
    <n v="0.5"/>
    <n v="1"/>
    <n v="1"/>
    <n v="1"/>
    <n v="0.5"/>
    <n v="1"/>
    <n v="0.5"/>
    <n v="1"/>
    <n v="1"/>
    <n v="0.5"/>
    <n v="2"/>
    <n v="0.5"/>
    <n v="1"/>
    <n v="1"/>
    <n v="1"/>
    <n v="2"/>
    <n v="0.5"/>
    <n v="2"/>
    <n v="67"/>
    <n v="5120"/>
    <n v="70"/>
    <n v="505"/>
    <n v="75"/>
    <n v="75"/>
    <n v="1000000"/>
    <n v="1.1000000000000001"/>
    <n v="73"/>
    <n v="24.6"/>
    <n v="75.400000000000006"/>
    <n v="38"/>
    <n v="81"/>
    <n v="100"/>
    <n v="109"/>
    <n v="19.899999999999999"/>
    <x v="0"/>
    <x v="0"/>
  </r>
  <r>
    <x v="38"/>
    <s v="Purinプリン"/>
    <x v="4"/>
    <x v="7"/>
    <x v="21"/>
    <s v="Cute Charm"/>
    <s v="Competitive"/>
    <s v="Friend Guard"/>
    <s v=""/>
    <s v=""/>
    <s v=""/>
    <n v="0.5"/>
    <n v="0.5"/>
    <n v="0"/>
    <n v="1"/>
    <n v="1"/>
    <n v="1"/>
    <n v="1"/>
    <n v="1"/>
    <n v="0"/>
    <n v="1"/>
    <n v="1"/>
    <n v="1"/>
    <n v="1"/>
    <n v="2"/>
    <n v="1"/>
    <n v="1"/>
    <n v="2"/>
    <n v="1"/>
    <n v="45"/>
    <n v="2560"/>
    <n v="70"/>
    <n v="270"/>
    <n v="170"/>
    <n v="20"/>
    <n v="800000"/>
    <n v="0.5"/>
    <n v="115"/>
    <n v="24.6"/>
    <n v="75.400000000000006"/>
    <n v="39"/>
    <n v="45"/>
    <n v="25"/>
    <n v="20"/>
    <n v="5.5"/>
    <x v="0"/>
    <x v="0"/>
  </r>
  <r>
    <x v="39"/>
    <s v="Pukurinプクリン"/>
    <x v="4"/>
    <x v="7"/>
    <x v="21"/>
    <s v="Cute Charm"/>
    <s v="Competitive"/>
    <s v="Frisk"/>
    <s v=""/>
    <s v=""/>
    <s v=""/>
    <n v="0.5"/>
    <n v="0.5"/>
    <n v="0"/>
    <n v="1"/>
    <n v="1"/>
    <n v="1"/>
    <n v="1"/>
    <n v="1"/>
    <n v="0"/>
    <n v="1"/>
    <n v="1"/>
    <n v="1"/>
    <n v="1"/>
    <n v="2"/>
    <n v="1"/>
    <n v="1"/>
    <n v="2"/>
    <n v="1"/>
    <n v="70"/>
    <n v="2560"/>
    <n v="70"/>
    <n v="435"/>
    <n v="50"/>
    <n v="45"/>
    <n v="800000"/>
    <n v="1"/>
    <n v="140"/>
    <n v="24.6"/>
    <n v="75.400000000000006"/>
    <n v="40"/>
    <n v="85"/>
    <n v="50"/>
    <n v="45"/>
    <n v="12"/>
    <x v="0"/>
    <x v="0"/>
  </r>
  <r>
    <x v="40"/>
    <s v="Zubatズバット"/>
    <x v="5"/>
    <x v="2"/>
    <x v="22"/>
    <s v="Inner Focus"/>
    <s v="Infiltrator"/>
    <s v=""/>
    <s v=""/>
    <s v=""/>
    <s v=""/>
    <n v="0.25"/>
    <n v="1"/>
    <n v="1"/>
    <n v="2"/>
    <n v="0.5"/>
    <n v="0.25"/>
    <n v="1"/>
    <n v="1"/>
    <n v="1"/>
    <n v="0.25"/>
    <n v="0"/>
    <n v="2"/>
    <n v="1"/>
    <n v="0.5"/>
    <n v="2"/>
    <n v="2"/>
    <n v="1"/>
    <n v="1"/>
    <n v="45"/>
    <n v="3840"/>
    <n v="70"/>
    <n v="245"/>
    <n v="255"/>
    <n v="35"/>
    <n v="1000000"/>
    <n v="0.8"/>
    <n v="40"/>
    <n v="50"/>
    <n v="50"/>
    <n v="41"/>
    <n v="30"/>
    <n v="40"/>
    <n v="55"/>
    <n v="7.5"/>
    <x v="0"/>
    <x v="0"/>
  </r>
  <r>
    <x v="41"/>
    <s v="Golbatゴルバット"/>
    <x v="5"/>
    <x v="2"/>
    <x v="22"/>
    <s v="Inner Focus"/>
    <s v="Infiltrator"/>
    <s v=""/>
    <s v=""/>
    <s v=""/>
    <s v=""/>
    <n v="0.25"/>
    <n v="1"/>
    <n v="1"/>
    <n v="2"/>
    <n v="0.5"/>
    <n v="0.25"/>
    <n v="1"/>
    <n v="1"/>
    <n v="1"/>
    <n v="0.25"/>
    <n v="0"/>
    <n v="2"/>
    <n v="1"/>
    <n v="0.5"/>
    <n v="2"/>
    <n v="2"/>
    <n v="1"/>
    <n v="1"/>
    <n v="80"/>
    <n v="3840"/>
    <n v="70"/>
    <n v="455"/>
    <n v="90"/>
    <n v="70"/>
    <n v="1000000"/>
    <n v="1.6"/>
    <n v="75"/>
    <n v="50"/>
    <n v="50"/>
    <n v="42"/>
    <n v="65"/>
    <n v="75"/>
    <n v="90"/>
    <n v="55"/>
    <x v="0"/>
    <x v="0"/>
  </r>
  <r>
    <x v="42"/>
    <s v="Nazonokusaナゾノクサ"/>
    <x v="0"/>
    <x v="0"/>
    <x v="23"/>
    <s v="Chlorophyll"/>
    <s v="Run Away"/>
    <s v=""/>
    <s v=""/>
    <s v=""/>
    <s v=""/>
    <n v="1"/>
    <n v="1"/>
    <n v="1"/>
    <n v="0.5"/>
    <n v="0.5"/>
    <n v="0.5"/>
    <n v="2"/>
    <n v="2"/>
    <n v="1"/>
    <n v="0.25"/>
    <n v="1"/>
    <n v="2"/>
    <n v="1"/>
    <n v="1"/>
    <n v="2"/>
    <n v="1"/>
    <n v="1"/>
    <n v="0.5"/>
    <n v="50"/>
    <n v="5120"/>
    <n v="70"/>
    <n v="320"/>
    <n v="255"/>
    <n v="55"/>
    <n v="1059860"/>
    <n v="0.5"/>
    <n v="45"/>
    <n v="50"/>
    <n v="50"/>
    <n v="43"/>
    <n v="75"/>
    <n v="65"/>
    <n v="30"/>
    <n v="5.4"/>
    <x v="0"/>
    <x v="0"/>
  </r>
  <r>
    <x v="43"/>
    <s v="Kusaihanaクサイハナ"/>
    <x v="0"/>
    <x v="0"/>
    <x v="23"/>
    <s v="Chlorophyll"/>
    <s v="Stench"/>
    <s v=""/>
    <s v=""/>
    <s v=""/>
    <s v=""/>
    <n v="1"/>
    <n v="1"/>
    <n v="1"/>
    <n v="0.5"/>
    <n v="0.5"/>
    <n v="0.5"/>
    <n v="2"/>
    <n v="2"/>
    <n v="1"/>
    <n v="0.25"/>
    <n v="1"/>
    <n v="2"/>
    <n v="1"/>
    <n v="1"/>
    <n v="2"/>
    <n v="1"/>
    <n v="1"/>
    <n v="0.5"/>
    <n v="65"/>
    <n v="5120"/>
    <n v="70"/>
    <n v="395"/>
    <n v="120"/>
    <n v="70"/>
    <n v="1059860"/>
    <n v="0.8"/>
    <n v="60"/>
    <n v="50"/>
    <n v="50"/>
    <n v="44"/>
    <n v="85"/>
    <n v="75"/>
    <n v="40"/>
    <n v="8.6"/>
    <x v="0"/>
    <x v="0"/>
  </r>
  <r>
    <x v="44"/>
    <s v="Ruffresiaラフレシア"/>
    <x v="0"/>
    <x v="0"/>
    <x v="24"/>
    <s v="Chlorophyll"/>
    <s v="Effect Spore"/>
    <s v=""/>
    <s v=""/>
    <s v=""/>
    <s v=""/>
    <n v="1"/>
    <n v="1"/>
    <n v="1"/>
    <n v="0.5"/>
    <n v="0.5"/>
    <n v="0.5"/>
    <n v="2"/>
    <n v="2"/>
    <n v="1"/>
    <n v="0.25"/>
    <n v="1"/>
    <n v="2"/>
    <n v="1"/>
    <n v="1"/>
    <n v="2"/>
    <n v="1"/>
    <n v="1"/>
    <n v="0.5"/>
    <n v="80"/>
    <n v="5120"/>
    <n v="70"/>
    <n v="490"/>
    <n v="45"/>
    <n v="85"/>
    <n v="1059860"/>
    <n v="1.2"/>
    <n v="75"/>
    <n v="50"/>
    <n v="50"/>
    <n v="45"/>
    <n v="110"/>
    <n v="90"/>
    <n v="50"/>
    <n v="18.600000000000001"/>
    <x v="0"/>
    <x v="0"/>
  </r>
  <r>
    <x v="45"/>
    <s v="Parasパラス"/>
    <x v="3"/>
    <x v="8"/>
    <x v="25"/>
    <s v="Effect Spore"/>
    <s v="Dry Skin"/>
    <s v="Damp"/>
    <s v=""/>
    <s v=""/>
    <s v=""/>
    <n v="2"/>
    <n v="1"/>
    <n v="1"/>
    <n v="0.5"/>
    <n v="1"/>
    <n v="0.5"/>
    <n v="4"/>
    <n v="4"/>
    <n v="1"/>
    <n v="0.25"/>
    <n v="0.25"/>
    <n v="2"/>
    <n v="1"/>
    <n v="2"/>
    <n v="1"/>
    <n v="2"/>
    <n v="1"/>
    <n v="0.5"/>
    <n v="70"/>
    <n v="5120"/>
    <n v="70"/>
    <n v="285"/>
    <n v="190"/>
    <n v="55"/>
    <n v="1000000"/>
    <n v="0.3"/>
    <n v="35"/>
    <n v="50"/>
    <n v="50"/>
    <n v="46"/>
    <n v="45"/>
    <n v="55"/>
    <n v="25"/>
    <n v="5.4"/>
    <x v="0"/>
    <x v="0"/>
  </r>
  <r>
    <x v="46"/>
    <s v="Parasectパラセクト"/>
    <x v="3"/>
    <x v="8"/>
    <x v="25"/>
    <s v="Effect Spore"/>
    <s v="Dry Skin"/>
    <s v="Damp"/>
    <s v=""/>
    <s v=""/>
    <s v=""/>
    <n v="2"/>
    <n v="1"/>
    <n v="1"/>
    <n v="0.5"/>
    <n v="1"/>
    <n v="0.5"/>
    <n v="4"/>
    <n v="4"/>
    <n v="1"/>
    <n v="0.25"/>
    <n v="0.25"/>
    <n v="2"/>
    <n v="1"/>
    <n v="2"/>
    <n v="1"/>
    <n v="2"/>
    <n v="1"/>
    <n v="0.5"/>
    <n v="95"/>
    <n v="5120"/>
    <n v="70"/>
    <n v="405"/>
    <n v="75"/>
    <n v="80"/>
    <n v="1000000"/>
    <n v="1"/>
    <n v="60"/>
    <n v="50"/>
    <n v="50"/>
    <n v="47"/>
    <n v="60"/>
    <n v="80"/>
    <n v="30"/>
    <n v="29.5"/>
    <x v="0"/>
    <x v="0"/>
  </r>
  <r>
    <x v="47"/>
    <s v="Kongpangコンパン"/>
    <x v="3"/>
    <x v="0"/>
    <x v="26"/>
    <s v="Compoundeyes"/>
    <s v="Tinted Lens"/>
    <s v="Run Away"/>
    <s v=""/>
    <s v=""/>
    <s v=""/>
    <n v="0.5"/>
    <n v="1"/>
    <n v="1"/>
    <n v="1"/>
    <n v="0.5"/>
    <n v="0.25"/>
    <n v="2"/>
    <n v="2"/>
    <n v="1"/>
    <n v="0.25"/>
    <n v="1"/>
    <n v="1"/>
    <n v="1"/>
    <n v="0.5"/>
    <n v="2"/>
    <n v="2"/>
    <n v="1"/>
    <n v="1"/>
    <n v="55"/>
    <n v="5120"/>
    <n v="70"/>
    <n v="305"/>
    <n v="190"/>
    <n v="50"/>
    <n v="1000000"/>
    <n v="1"/>
    <n v="60"/>
    <n v="50"/>
    <n v="50"/>
    <n v="48"/>
    <n v="40"/>
    <n v="55"/>
    <n v="45"/>
    <n v="30"/>
    <x v="0"/>
    <x v="0"/>
  </r>
  <r>
    <x v="48"/>
    <s v="Morphonモルフォン"/>
    <x v="3"/>
    <x v="0"/>
    <x v="27"/>
    <s v="Shield Dust"/>
    <s v="Tinted Lens"/>
    <s v="Wonder Skin"/>
    <s v=""/>
    <s v=""/>
    <s v=""/>
    <n v="0.5"/>
    <n v="1"/>
    <n v="1"/>
    <n v="1"/>
    <n v="0.5"/>
    <n v="0.25"/>
    <n v="2"/>
    <n v="2"/>
    <n v="1"/>
    <n v="0.25"/>
    <n v="1"/>
    <n v="1"/>
    <n v="1"/>
    <n v="0.5"/>
    <n v="2"/>
    <n v="2"/>
    <n v="1"/>
    <n v="1"/>
    <n v="65"/>
    <n v="5120"/>
    <n v="70"/>
    <n v="450"/>
    <n v="75"/>
    <n v="60"/>
    <n v="1000000"/>
    <n v="1.5"/>
    <n v="70"/>
    <n v="50"/>
    <n v="50"/>
    <n v="49"/>
    <n v="90"/>
    <n v="75"/>
    <n v="90"/>
    <n v="12.5"/>
    <x v="0"/>
    <x v="0"/>
  </r>
  <r>
    <x v="49"/>
    <s v="Digdaディグダ"/>
    <x v="7"/>
    <x v="6"/>
    <x v="28"/>
    <s v="Sand Veil"/>
    <s v="Arena Trap"/>
    <s v="Sand Force"/>
    <s v="Sand Veil"/>
    <s v="Tangling Hair"/>
    <s v="Sand Force"/>
    <n v="1"/>
    <n v="1"/>
    <n v="1"/>
    <n v="0"/>
    <n v="1"/>
    <n v="1"/>
    <n v="1"/>
    <n v="1"/>
    <n v="1"/>
    <n v="2"/>
    <n v="1"/>
    <n v="2"/>
    <n v="1"/>
    <n v="0.5"/>
    <n v="1"/>
    <n v="0.5"/>
    <n v="1"/>
    <n v="2"/>
    <n v="55"/>
    <n v="5120"/>
    <n v="70"/>
    <n v="265"/>
    <n v="255"/>
    <n v="30"/>
    <n v="1000000"/>
    <n v="0.2"/>
    <n v="10"/>
    <n v="50"/>
    <n v="50"/>
    <n v="50"/>
    <n v="35"/>
    <n v="45"/>
    <n v="90"/>
    <n v="0.8"/>
    <x v="0"/>
    <x v="0"/>
  </r>
  <r>
    <x v="50"/>
    <s v="Dugtrioダグトリオ"/>
    <x v="7"/>
    <x v="6"/>
    <x v="28"/>
    <s v="Sand Veil"/>
    <s v="Arena Trap"/>
    <s v="Sand Force"/>
    <s v="Sand Veil"/>
    <s v="Tangling Hair"/>
    <s v="Sand Force"/>
    <n v="1"/>
    <n v="1"/>
    <n v="1"/>
    <n v="0"/>
    <n v="1"/>
    <n v="1"/>
    <n v="1"/>
    <n v="1"/>
    <n v="1"/>
    <n v="2"/>
    <n v="1"/>
    <n v="2"/>
    <n v="1"/>
    <n v="0.5"/>
    <n v="1"/>
    <n v="0.5"/>
    <n v="1"/>
    <n v="2"/>
    <n v="100"/>
    <n v="5120"/>
    <n v="70"/>
    <n v="425"/>
    <n v="50"/>
    <n v="60"/>
    <n v="1000000"/>
    <n v="0.7"/>
    <n v="35"/>
    <n v="50"/>
    <n v="50"/>
    <n v="51"/>
    <n v="50"/>
    <n v="70"/>
    <n v="110"/>
    <n v="33.299999999999997"/>
    <x v="0"/>
    <x v="0"/>
  </r>
  <r>
    <x v="51"/>
    <s v="Nyarthニャース"/>
    <x v="4"/>
    <x v="3"/>
    <x v="29"/>
    <s v="Pickup"/>
    <s v="Technician"/>
    <s v="Unnerve"/>
    <s v="Pickup"/>
    <s v="Technician"/>
    <s v="Rattled"/>
    <n v="1"/>
    <n v="1"/>
    <n v="1"/>
    <n v="1"/>
    <n v="1"/>
    <n v="2"/>
    <n v="1"/>
    <n v="1"/>
    <n v="0"/>
    <n v="1"/>
    <n v="1"/>
    <n v="1"/>
    <n v="1"/>
    <n v="1"/>
    <n v="1"/>
    <n v="1"/>
    <n v="1"/>
    <n v="1"/>
    <n v="35"/>
    <n v="5120"/>
    <n v="70"/>
    <n v="290"/>
    <n v="255"/>
    <n v="35"/>
    <n v="1000000"/>
    <n v="0.4"/>
    <n v="40"/>
    <n v="50"/>
    <n v="50"/>
    <n v="52"/>
    <n v="50"/>
    <n v="40"/>
    <n v="90"/>
    <n v="4.2"/>
    <x v="0"/>
    <x v="0"/>
  </r>
  <r>
    <x v="52"/>
    <s v="Persianペルシアン"/>
    <x v="4"/>
    <x v="3"/>
    <x v="30"/>
    <s v="Limber"/>
    <s v="Technician"/>
    <s v="Unnerve"/>
    <s v="Fur Coat"/>
    <s v="Technician"/>
    <s v="Rattled"/>
    <n v="1"/>
    <n v="1"/>
    <n v="1"/>
    <n v="1"/>
    <n v="1"/>
    <n v="2"/>
    <n v="1"/>
    <n v="1"/>
    <n v="0"/>
    <n v="1"/>
    <n v="1"/>
    <n v="1"/>
    <n v="1"/>
    <n v="1"/>
    <n v="1"/>
    <n v="1"/>
    <n v="1"/>
    <n v="1"/>
    <n v="60"/>
    <n v="5120"/>
    <n v="70"/>
    <n v="440"/>
    <n v="90"/>
    <n v="60"/>
    <n v="1000000"/>
    <n v="1"/>
    <n v="65"/>
    <n v="50"/>
    <n v="50"/>
    <n v="53"/>
    <n v="75"/>
    <n v="65"/>
    <n v="115"/>
    <n v="32"/>
    <x v="0"/>
    <x v="0"/>
  </r>
  <r>
    <x v="53"/>
    <s v="Koduckコダック"/>
    <x v="2"/>
    <x v="1"/>
    <x v="31"/>
    <s v="Damp"/>
    <s v="Cloud Nine"/>
    <s v="Swift Swim"/>
    <s v=""/>
    <s v=""/>
    <s v=""/>
    <n v="1"/>
    <n v="1"/>
    <n v="1"/>
    <n v="2"/>
    <n v="1"/>
    <n v="1"/>
    <n v="0.5"/>
    <n v="1"/>
    <n v="1"/>
    <n v="2"/>
    <n v="1"/>
    <n v="0.5"/>
    <n v="1"/>
    <n v="1"/>
    <n v="1"/>
    <n v="1"/>
    <n v="0.5"/>
    <n v="0.5"/>
    <n v="52"/>
    <n v="5120"/>
    <n v="70"/>
    <n v="320"/>
    <n v="190"/>
    <n v="48"/>
    <n v="1000000"/>
    <n v="0.8"/>
    <n v="50"/>
    <n v="50"/>
    <n v="50"/>
    <n v="54"/>
    <n v="65"/>
    <n v="50"/>
    <n v="55"/>
    <n v="19.600000000000001"/>
    <x v="0"/>
    <x v="0"/>
  </r>
  <r>
    <x v="54"/>
    <s v="Golduckゴルダック"/>
    <x v="2"/>
    <x v="1"/>
    <x v="31"/>
    <s v="Damp"/>
    <s v="Cloud Nine"/>
    <s v="Swift Swim"/>
    <s v=""/>
    <s v=""/>
    <s v=""/>
    <n v="1"/>
    <n v="1"/>
    <n v="1"/>
    <n v="2"/>
    <n v="1"/>
    <n v="1"/>
    <n v="0.5"/>
    <n v="1"/>
    <n v="1"/>
    <n v="2"/>
    <n v="1"/>
    <n v="0.5"/>
    <n v="1"/>
    <n v="1"/>
    <n v="1"/>
    <n v="1"/>
    <n v="0.5"/>
    <n v="0.5"/>
    <n v="82"/>
    <n v="5120"/>
    <n v="70"/>
    <n v="500"/>
    <n v="75"/>
    <n v="78"/>
    <n v="1000000"/>
    <n v="1.7"/>
    <n v="80"/>
    <n v="50"/>
    <n v="50"/>
    <n v="55"/>
    <n v="95"/>
    <n v="80"/>
    <n v="85"/>
    <n v="76.599999999999994"/>
    <x v="0"/>
    <x v="0"/>
  </r>
  <r>
    <x v="55"/>
    <s v="Mankeyマンキー"/>
    <x v="9"/>
    <x v="1"/>
    <x v="32"/>
    <s v="Vital Spirit"/>
    <s v="Anger Point"/>
    <s v="Defiant"/>
    <s v=""/>
    <s v=""/>
    <s v=""/>
    <n v="0.5"/>
    <n v="0.5"/>
    <n v="1"/>
    <n v="1"/>
    <n v="2"/>
    <n v="1"/>
    <n v="1"/>
    <n v="2"/>
    <n v="1"/>
    <n v="1"/>
    <n v="1"/>
    <n v="1"/>
    <n v="1"/>
    <n v="1"/>
    <n v="2"/>
    <n v="0.5"/>
    <n v="1"/>
    <n v="1"/>
    <n v="80"/>
    <n v="5120"/>
    <n v="70"/>
    <n v="305"/>
    <n v="190"/>
    <n v="35"/>
    <n v="1000000"/>
    <n v="0.5"/>
    <n v="40"/>
    <n v="50"/>
    <n v="50"/>
    <n v="56"/>
    <n v="35"/>
    <n v="45"/>
    <n v="70"/>
    <n v="28"/>
    <x v="0"/>
    <x v="0"/>
  </r>
  <r>
    <x v="56"/>
    <s v="Okorizaruオコリザル"/>
    <x v="9"/>
    <x v="1"/>
    <x v="32"/>
    <s v="Vital Spirit"/>
    <s v="Anger Point"/>
    <s v="Defiant"/>
    <s v=""/>
    <s v=""/>
    <s v=""/>
    <n v="0.5"/>
    <n v="0.5"/>
    <n v="1"/>
    <n v="1"/>
    <n v="2"/>
    <n v="1"/>
    <n v="1"/>
    <n v="2"/>
    <n v="1"/>
    <n v="1"/>
    <n v="1"/>
    <n v="1"/>
    <n v="1"/>
    <n v="1"/>
    <n v="2"/>
    <n v="0.5"/>
    <n v="1"/>
    <n v="1"/>
    <n v="105"/>
    <n v="5120"/>
    <n v="70"/>
    <n v="455"/>
    <n v="75"/>
    <n v="60"/>
    <n v="1000000"/>
    <n v="1"/>
    <n v="65"/>
    <n v="50"/>
    <n v="50"/>
    <n v="57"/>
    <n v="60"/>
    <n v="70"/>
    <n v="95"/>
    <n v="32"/>
    <x v="0"/>
    <x v="0"/>
  </r>
  <r>
    <x v="57"/>
    <s v="Gardieガーディ"/>
    <x v="1"/>
    <x v="1"/>
    <x v="33"/>
    <s v="Intimidate"/>
    <s v="Flash Fire"/>
    <s v="Justified"/>
    <s v=""/>
    <s v=""/>
    <s v=""/>
    <n v="0.5"/>
    <n v="1"/>
    <n v="1"/>
    <n v="1"/>
    <n v="0.5"/>
    <n v="1"/>
    <n v="0.5"/>
    <n v="1"/>
    <n v="1"/>
    <n v="0.5"/>
    <n v="2"/>
    <n v="0.5"/>
    <n v="1"/>
    <n v="1"/>
    <n v="1"/>
    <n v="2"/>
    <n v="0.5"/>
    <n v="2"/>
    <n v="70"/>
    <n v="5120"/>
    <n v="70"/>
    <n v="350"/>
    <n v="190"/>
    <n v="45"/>
    <n v="1250000"/>
    <n v="0.7"/>
    <n v="55"/>
    <n v="75.400000000000006"/>
    <n v="24.599999999999994"/>
    <n v="58"/>
    <n v="70"/>
    <n v="50"/>
    <n v="60"/>
    <n v="19"/>
    <x v="0"/>
    <x v="0"/>
  </r>
  <r>
    <x v="58"/>
    <s v="Windieウインディ"/>
    <x v="1"/>
    <x v="1"/>
    <x v="34"/>
    <s v="Intimidate"/>
    <s v="Flash Fire"/>
    <s v="Justified"/>
    <s v=""/>
    <s v=""/>
    <s v=""/>
    <n v="0.5"/>
    <n v="1"/>
    <n v="1"/>
    <n v="1"/>
    <n v="0.5"/>
    <n v="1"/>
    <n v="0.5"/>
    <n v="1"/>
    <n v="1"/>
    <n v="0.5"/>
    <n v="2"/>
    <n v="0.5"/>
    <n v="1"/>
    <n v="1"/>
    <n v="1"/>
    <n v="2"/>
    <n v="0.5"/>
    <n v="2"/>
    <n v="110"/>
    <n v="5120"/>
    <n v="70"/>
    <n v="555"/>
    <n v="75"/>
    <n v="80"/>
    <n v="1250000"/>
    <n v="1.9"/>
    <n v="90"/>
    <n v="75.400000000000006"/>
    <n v="24.599999999999994"/>
    <n v="59"/>
    <n v="100"/>
    <n v="80"/>
    <n v="95"/>
    <n v="155"/>
    <x v="0"/>
    <x v="0"/>
  </r>
  <r>
    <x v="59"/>
    <s v="Nyoromoニョロモ"/>
    <x v="2"/>
    <x v="1"/>
    <x v="35"/>
    <s v="Water Absorb"/>
    <s v="Damp"/>
    <s v="Swift Swim"/>
    <s v=""/>
    <s v=""/>
    <s v=""/>
    <n v="1"/>
    <n v="1"/>
    <n v="1"/>
    <n v="2"/>
    <n v="1"/>
    <n v="1"/>
    <n v="0.5"/>
    <n v="1"/>
    <n v="1"/>
    <n v="2"/>
    <n v="1"/>
    <n v="0.5"/>
    <n v="1"/>
    <n v="1"/>
    <n v="1"/>
    <n v="1"/>
    <n v="0.5"/>
    <n v="0.5"/>
    <n v="50"/>
    <n v="5120"/>
    <n v="70"/>
    <n v="300"/>
    <n v="255"/>
    <n v="40"/>
    <n v="1059860"/>
    <n v="0.6"/>
    <n v="40"/>
    <n v="50"/>
    <n v="50"/>
    <n v="60"/>
    <n v="40"/>
    <n v="40"/>
    <n v="90"/>
    <n v="12.4"/>
    <x v="0"/>
    <x v="0"/>
  </r>
  <r>
    <x v="60"/>
    <s v="Nyorozoニョロゾ"/>
    <x v="2"/>
    <x v="1"/>
    <x v="35"/>
    <s v="Water Absorb"/>
    <s v="Damp"/>
    <s v="Swift Swim"/>
    <s v=""/>
    <s v=""/>
    <s v=""/>
    <n v="1"/>
    <n v="1"/>
    <n v="1"/>
    <n v="2"/>
    <n v="1"/>
    <n v="1"/>
    <n v="0.5"/>
    <n v="1"/>
    <n v="1"/>
    <n v="2"/>
    <n v="1"/>
    <n v="0.5"/>
    <n v="1"/>
    <n v="1"/>
    <n v="1"/>
    <n v="1"/>
    <n v="0.5"/>
    <n v="0.5"/>
    <n v="65"/>
    <n v="5120"/>
    <n v="70"/>
    <n v="385"/>
    <n v="120"/>
    <n v="65"/>
    <n v="1059860"/>
    <n v="1"/>
    <n v="65"/>
    <n v="50"/>
    <n v="50"/>
    <n v="61"/>
    <n v="50"/>
    <n v="50"/>
    <n v="90"/>
    <n v="20"/>
    <x v="0"/>
    <x v="0"/>
  </r>
  <r>
    <x v="61"/>
    <s v="Nyorobonニョロボン"/>
    <x v="2"/>
    <x v="9"/>
    <x v="35"/>
    <s v="Water Absorb"/>
    <s v="Damp"/>
    <s v="Swift Swim"/>
    <s v=""/>
    <s v=""/>
    <s v=""/>
    <n v="0.5"/>
    <n v="0.5"/>
    <n v="1"/>
    <n v="2"/>
    <n v="2"/>
    <n v="1"/>
    <n v="0.5"/>
    <n v="2"/>
    <n v="1"/>
    <n v="2"/>
    <n v="1"/>
    <n v="0.5"/>
    <n v="1"/>
    <n v="1"/>
    <n v="2"/>
    <n v="0.5"/>
    <n v="0.5"/>
    <n v="0.5"/>
    <n v="95"/>
    <n v="5120"/>
    <n v="70"/>
    <n v="510"/>
    <n v="45"/>
    <n v="95"/>
    <n v="1059860"/>
    <n v="1.3"/>
    <n v="90"/>
    <n v="50"/>
    <n v="50"/>
    <n v="62"/>
    <n v="70"/>
    <n v="90"/>
    <n v="70"/>
    <n v="54"/>
    <x v="0"/>
    <x v="0"/>
  </r>
  <r>
    <x v="62"/>
    <s v="Caseyケーシィ"/>
    <x v="10"/>
    <x v="1"/>
    <x v="36"/>
    <s v="Synchronize"/>
    <s v="Inner Focus"/>
    <s v="Magic Guard"/>
    <s v=""/>
    <s v=""/>
    <s v=""/>
    <n v="2"/>
    <n v="2"/>
    <n v="1"/>
    <n v="1"/>
    <n v="1"/>
    <n v="0.5"/>
    <n v="1"/>
    <n v="1"/>
    <n v="2"/>
    <n v="1"/>
    <n v="1"/>
    <n v="1"/>
    <n v="1"/>
    <n v="1"/>
    <n v="0.5"/>
    <n v="1"/>
    <n v="1"/>
    <n v="1"/>
    <n v="20"/>
    <n v="5120"/>
    <n v="70"/>
    <n v="310"/>
    <n v="200"/>
    <n v="15"/>
    <n v="1059860"/>
    <n v="0.9"/>
    <n v="25"/>
    <n v="75.400000000000006"/>
    <n v="24.599999999999994"/>
    <n v="63"/>
    <n v="105"/>
    <n v="55"/>
    <n v="90"/>
    <n v="19.5"/>
    <x v="0"/>
    <x v="0"/>
  </r>
  <r>
    <x v="63"/>
    <s v="Yungererユンゲラー"/>
    <x v="10"/>
    <x v="1"/>
    <x v="36"/>
    <s v="Synchronize"/>
    <s v="Inner Focus"/>
    <s v="Magic Guard"/>
    <s v=""/>
    <s v=""/>
    <s v=""/>
    <n v="2"/>
    <n v="2"/>
    <n v="1"/>
    <n v="1"/>
    <n v="1"/>
    <n v="0.5"/>
    <n v="1"/>
    <n v="1"/>
    <n v="2"/>
    <n v="1"/>
    <n v="1"/>
    <n v="1"/>
    <n v="1"/>
    <n v="1"/>
    <n v="0.5"/>
    <n v="1"/>
    <n v="1"/>
    <n v="1"/>
    <n v="35"/>
    <n v="5120"/>
    <n v="70"/>
    <n v="400"/>
    <n v="100"/>
    <n v="30"/>
    <n v="1059860"/>
    <n v="1.3"/>
    <n v="40"/>
    <n v="75.400000000000006"/>
    <n v="24.599999999999994"/>
    <n v="64"/>
    <n v="120"/>
    <n v="70"/>
    <n v="105"/>
    <n v="56.5"/>
    <x v="0"/>
    <x v="0"/>
  </r>
  <r>
    <x v="64"/>
    <s v="Foodinフーディン"/>
    <x v="10"/>
    <x v="1"/>
    <x v="36"/>
    <s v="Synchronize"/>
    <s v="Inner Focus"/>
    <s v="Magic Guard"/>
    <s v=""/>
    <s v=""/>
    <s v=""/>
    <n v="2"/>
    <n v="2"/>
    <n v="1"/>
    <n v="1"/>
    <n v="1"/>
    <n v="0.5"/>
    <n v="1"/>
    <n v="1"/>
    <n v="2"/>
    <n v="1"/>
    <n v="1"/>
    <n v="1"/>
    <n v="1"/>
    <n v="1"/>
    <n v="0.5"/>
    <n v="1"/>
    <n v="1"/>
    <n v="1"/>
    <n v="50"/>
    <n v="5120"/>
    <n v="70"/>
    <n v="600"/>
    <n v="50"/>
    <n v="65"/>
    <n v="1059860"/>
    <n v="1.5"/>
    <n v="55"/>
    <n v="75.400000000000006"/>
    <n v="24.599999999999994"/>
    <n v="65"/>
    <n v="175"/>
    <n v="105"/>
    <n v="150"/>
    <n v="48"/>
    <x v="0"/>
    <x v="0"/>
  </r>
  <r>
    <x v="65"/>
    <s v="Wanrikyワンリキー"/>
    <x v="9"/>
    <x v="1"/>
    <x v="37"/>
    <s v="Guts"/>
    <s v="No Guard"/>
    <s v="Steadfast"/>
    <s v=""/>
    <s v=""/>
    <s v=""/>
    <n v="0.5"/>
    <n v="0.5"/>
    <n v="1"/>
    <n v="1"/>
    <n v="2"/>
    <n v="1"/>
    <n v="1"/>
    <n v="2"/>
    <n v="1"/>
    <n v="1"/>
    <n v="1"/>
    <n v="1"/>
    <n v="1"/>
    <n v="1"/>
    <n v="2"/>
    <n v="0.5"/>
    <n v="1"/>
    <n v="1"/>
    <n v="80"/>
    <n v="5120"/>
    <n v="70"/>
    <n v="305"/>
    <n v="180"/>
    <n v="50"/>
    <n v="1059860"/>
    <n v="0.8"/>
    <n v="70"/>
    <n v="75.400000000000006"/>
    <n v="24.599999999999994"/>
    <n v="66"/>
    <n v="35"/>
    <n v="35"/>
    <n v="35"/>
    <n v="19.5"/>
    <x v="0"/>
    <x v="0"/>
  </r>
  <r>
    <x v="66"/>
    <s v="Gorikyゴーリキー"/>
    <x v="9"/>
    <x v="1"/>
    <x v="37"/>
    <s v="Guts"/>
    <s v="No Guard"/>
    <s v="Steadfast"/>
    <s v=""/>
    <s v=""/>
    <s v=""/>
    <n v="0.5"/>
    <n v="0.5"/>
    <n v="1"/>
    <n v="1"/>
    <n v="2"/>
    <n v="1"/>
    <n v="1"/>
    <n v="2"/>
    <n v="1"/>
    <n v="1"/>
    <n v="1"/>
    <n v="1"/>
    <n v="1"/>
    <n v="1"/>
    <n v="2"/>
    <n v="0.5"/>
    <n v="1"/>
    <n v="1"/>
    <n v="100"/>
    <n v="5120"/>
    <n v="70"/>
    <n v="405"/>
    <n v="90"/>
    <n v="70"/>
    <n v="1059860"/>
    <n v="1.5"/>
    <n v="80"/>
    <n v="75.400000000000006"/>
    <n v="24.599999999999994"/>
    <n v="67"/>
    <n v="50"/>
    <n v="60"/>
    <n v="45"/>
    <n v="70.5"/>
    <x v="0"/>
    <x v="0"/>
  </r>
  <r>
    <x v="67"/>
    <s v="Kairikyカイリキー"/>
    <x v="9"/>
    <x v="1"/>
    <x v="37"/>
    <s v="Guts"/>
    <s v="No Guard"/>
    <s v="Steadfast"/>
    <s v=""/>
    <s v=""/>
    <s v=""/>
    <n v="0.5"/>
    <n v="0.5"/>
    <n v="1"/>
    <n v="1"/>
    <n v="2"/>
    <n v="1"/>
    <n v="1"/>
    <n v="2"/>
    <n v="1"/>
    <n v="1"/>
    <n v="1"/>
    <n v="1"/>
    <n v="1"/>
    <n v="1"/>
    <n v="2"/>
    <n v="0.5"/>
    <n v="1"/>
    <n v="1"/>
    <n v="130"/>
    <n v="5120"/>
    <n v="70"/>
    <n v="505"/>
    <n v="45"/>
    <n v="80"/>
    <n v="1059860"/>
    <n v="1.6"/>
    <n v="90"/>
    <n v="75.400000000000006"/>
    <n v="24.599999999999994"/>
    <n v="68"/>
    <n v="65"/>
    <n v="85"/>
    <n v="55"/>
    <n v="130"/>
    <x v="0"/>
    <x v="0"/>
  </r>
  <r>
    <x v="68"/>
    <s v="Madatsubomiマダツボミ"/>
    <x v="0"/>
    <x v="0"/>
    <x v="24"/>
    <s v="Chlorophyll"/>
    <s v="Gluttony"/>
    <s v=""/>
    <s v=""/>
    <s v=""/>
    <s v=""/>
    <n v="1"/>
    <n v="1"/>
    <n v="1"/>
    <n v="0.5"/>
    <n v="0.5"/>
    <n v="0.5"/>
    <n v="2"/>
    <n v="2"/>
    <n v="1"/>
    <n v="0.25"/>
    <n v="1"/>
    <n v="2"/>
    <n v="1"/>
    <n v="1"/>
    <n v="2"/>
    <n v="1"/>
    <n v="1"/>
    <n v="0.5"/>
    <n v="75"/>
    <n v="5120"/>
    <n v="70"/>
    <n v="300"/>
    <n v="255"/>
    <n v="35"/>
    <n v="1059860"/>
    <n v="0.7"/>
    <n v="50"/>
    <n v="50"/>
    <n v="50"/>
    <n v="69"/>
    <n v="70"/>
    <n v="30"/>
    <n v="40"/>
    <n v="4"/>
    <x v="0"/>
    <x v="0"/>
  </r>
  <r>
    <x v="69"/>
    <s v="Utsudonウツドン"/>
    <x v="0"/>
    <x v="0"/>
    <x v="38"/>
    <s v="Chlorophyll"/>
    <s v="Gluttony"/>
    <s v=""/>
    <s v=""/>
    <s v=""/>
    <s v=""/>
    <n v="1"/>
    <n v="1"/>
    <n v="1"/>
    <n v="0.5"/>
    <n v="0.5"/>
    <n v="0.5"/>
    <n v="2"/>
    <n v="2"/>
    <n v="1"/>
    <n v="0.25"/>
    <n v="1"/>
    <n v="2"/>
    <n v="1"/>
    <n v="1"/>
    <n v="2"/>
    <n v="1"/>
    <n v="1"/>
    <n v="0.5"/>
    <n v="90"/>
    <n v="5120"/>
    <n v="70"/>
    <n v="390"/>
    <n v="120"/>
    <n v="50"/>
    <n v="1059860"/>
    <n v="1"/>
    <n v="65"/>
    <n v="50"/>
    <n v="50"/>
    <n v="70"/>
    <n v="85"/>
    <n v="45"/>
    <n v="55"/>
    <n v="6.4"/>
    <x v="0"/>
    <x v="0"/>
  </r>
  <r>
    <x v="70"/>
    <s v="Utsubotウツボット"/>
    <x v="0"/>
    <x v="0"/>
    <x v="38"/>
    <s v="Chlorophyll"/>
    <s v="Gluttony"/>
    <s v=""/>
    <s v=""/>
    <s v=""/>
    <s v=""/>
    <n v="1"/>
    <n v="1"/>
    <n v="1"/>
    <n v="0.5"/>
    <n v="0.5"/>
    <n v="0.5"/>
    <n v="2"/>
    <n v="2"/>
    <n v="1"/>
    <n v="0.25"/>
    <n v="1"/>
    <n v="2"/>
    <n v="1"/>
    <n v="1"/>
    <n v="2"/>
    <n v="1"/>
    <n v="1"/>
    <n v="0.5"/>
    <n v="105"/>
    <n v="5120"/>
    <n v="70"/>
    <n v="490"/>
    <n v="45"/>
    <n v="65"/>
    <n v="1059860"/>
    <n v="1.7"/>
    <n v="80"/>
    <n v="50"/>
    <n v="50"/>
    <n v="71"/>
    <n v="100"/>
    <n v="70"/>
    <n v="70"/>
    <n v="15.5"/>
    <x v="0"/>
    <x v="0"/>
  </r>
  <r>
    <x v="71"/>
    <s v="Menokurageメノクラゲ"/>
    <x v="2"/>
    <x v="0"/>
    <x v="39"/>
    <s v="Clear Body"/>
    <s v="Liquid Ooze"/>
    <s v="Rain Dish"/>
    <s v=""/>
    <s v=""/>
    <s v=""/>
    <n v="0.5"/>
    <n v="1"/>
    <n v="1"/>
    <n v="2"/>
    <n v="0.5"/>
    <n v="0.5"/>
    <n v="0.5"/>
    <n v="1"/>
    <n v="1"/>
    <n v="1"/>
    <n v="2"/>
    <n v="0.5"/>
    <n v="1"/>
    <n v="0.5"/>
    <n v="2"/>
    <n v="1"/>
    <n v="0.5"/>
    <n v="0.5"/>
    <n v="40"/>
    <n v="5120"/>
    <n v="70"/>
    <n v="335"/>
    <n v="190"/>
    <n v="35"/>
    <n v="1250000"/>
    <n v="0.9"/>
    <n v="40"/>
    <n v="50"/>
    <n v="50"/>
    <n v="72"/>
    <n v="50"/>
    <n v="100"/>
    <n v="70"/>
    <n v="45.5"/>
    <x v="0"/>
    <x v="0"/>
  </r>
  <r>
    <x v="72"/>
    <s v="Dokukurageドククラゲ"/>
    <x v="2"/>
    <x v="0"/>
    <x v="39"/>
    <s v="Clear Body"/>
    <s v="Liquid Ooze"/>
    <s v="Rain Dish"/>
    <s v=""/>
    <s v=""/>
    <s v=""/>
    <n v="0.5"/>
    <n v="1"/>
    <n v="1"/>
    <n v="2"/>
    <n v="0.5"/>
    <n v="0.5"/>
    <n v="0.5"/>
    <n v="1"/>
    <n v="1"/>
    <n v="1"/>
    <n v="2"/>
    <n v="0.5"/>
    <n v="1"/>
    <n v="0.5"/>
    <n v="2"/>
    <n v="1"/>
    <n v="0.5"/>
    <n v="0.5"/>
    <n v="70"/>
    <n v="5120"/>
    <n v="70"/>
    <n v="515"/>
    <n v="60"/>
    <n v="65"/>
    <n v="1250000"/>
    <n v="1.6"/>
    <n v="80"/>
    <n v="50"/>
    <n v="50"/>
    <n v="73"/>
    <n v="80"/>
    <n v="120"/>
    <n v="100"/>
    <n v="55"/>
    <x v="0"/>
    <x v="0"/>
  </r>
  <r>
    <x v="73"/>
    <s v="Isitsubuteイシツブテ"/>
    <x v="11"/>
    <x v="6"/>
    <x v="40"/>
    <s v="Rock Head"/>
    <s v="Sturdy"/>
    <s v="Sand Veil"/>
    <s v="Magnet Pull"/>
    <s v="Sturdy"/>
    <s v="Galvanize"/>
    <n v="1"/>
    <n v="1"/>
    <n v="1"/>
    <n v="0"/>
    <n v="1"/>
    <n v="2"/>
    <n v="0.5"/>
    <n v="0.5"/>
    <n v="1"/>
    <n v="4"/>
    <n v="2"/>
    <n v="2"/>
    <n v="0.5"/>
    <n v="0.25"/>
    <n v="1"/>
    <n v="0.5"/>
    <n v="2"/>
    <n v="4"/>
    <n v="80"/>
    <n v="3840"/>
    <n v="70"/>
    <n v="300"/>
    <n v="255"/>
    <n v="100"/>
    <n v="1059860"/>
    <n v="0.4"/>
    <n v="40"/>
    <n v="50"/>
    <n v="50"/>
    <n v="74"/>
    <n v="30"/>
    <n v="30"/>
    <n v="20"/>
    <n v="20"/>
    <x v="0"/>
    <x v="0"/>
  </r>
  <r>
    <x v="74"/>
    <s v="Goloneゴローン"/>
    <x v="11"/>
    <x v="6"/>
    <x v="40"/>
    <s v="Rock Head"/>
    <s v="Sturdy"/>
    <s v="Sand Veil"/>
    <s v="Magnet Pull"/>
    <s v="Sturdy"/>
    <s v="Galvanize"/>
    <n v="1"/>
    <n v="1"/>
    <n v="1"/>
    <n v="0"/>
    <n v="1"/>
    <n v="2"/>
    <n v="0.5"/>
    <n v="0.5"/>
    <n v="1"/>
    <n v="4"/>
    <n v="2"/>
    <n v="2"/>
    <n v="0.5"/>
    <n v="0.25"/>
    <n v="1"/>
    <n v="0.5"/>
    <n v="2"/>
    <n v="4"/>
    <n v="95"/>
    <n v="3840"/>
    <n v="70"/>
    <n v="390"/>
    <n v="120"/>
    <n v="115"/>
    <n v="1059860"/>
    <n v="1"/>
    <n v="55"/>
    <n v="50"/>
    <n v="50"/>
    <n v="75"/>
    <n v="45"/>
    <n v="45"/>
    <n v="35"/>
    <n v="105"/>
    <x v="0"/>
    <x v="0"/>
  </r>
  <r>
    <x v="75"/>
    <s v="Golonyaゴローニャ"/>
    <x v="11"/>
    <x v="6"/>
    <x v="41"/>
    <s v="Rock Head"/>
    <s v="Sturdy"/>
    <s v="Sand Veil"/>
    <s v="Magnet Pull"/>
    <s v="Sturdy"/>
    <s v="Galvanize"/>
    <n v="1"/>
    <n v="1"/>
    <n v="1"/>
    <n v="0"/>
    <n v="1"/>
    <n v="2"/>
    <n v="0.5"/>
    <n v="0.5"/>
    <n v="1"/>
    <n v="4"/>
    <n v="2"/>
    <n v="2"/>
    <n v="0.5"/>
    <n v="0.25"/>
    <n v="1"/>
    <n v="0.5"/>
    <n v="2"/>
    <n v="4"/>
    <n v="120"/>
    <n v="3840"/>
    <n v="70"/>
    <n v="495"/>
    <n v="45"/>
    <n v="130"/>
    <n v="1059860"/>
    <n v="1.4"/>
    <n v="80"/>
    <n v="50"/>
    <n v="50"/>
    <n v="76"/>
    <n v="55"/>
    <n v="65"/>
    <n v="45"/>
    <n v="300"/>
    <x v="0"/>
    <x v="0"/>
  </r>
  <r>
    <x v="76"/>
    <s v="Ponytaポニータ"/>
    <x v="1"/>
    <x v="1"/>
    <x v="42"/>
    <s v="Run Away"/>
    <s v="Flash Fire"/>
    <s v="Flame Body"/>
    <s v=""/>
    <s v=""/>
    <s v=""/>
    <n v="0.5"/>
    <n v="1"/>
    <n v="1"/>
    <n v="1"/>
    <n v="0.5"/>
    <n v="1"/>
    <n v="0.5"/>
    <n v="1"/>
    <n v="1"/>
    <n v="0.5"/>
    <n v="2"/>
    <n v="0.5"/>
    <n v="1"/>
    <n v="1"/>
    <n v="1"/>
    <n v="2"/>
    <n v="0.5"/>
    <n v="2"/>
    <n v="85"/>
    <n v="5120"/>
    <n v="70"/>
    <n v="410"/>
    <n v="190"/>
    <n v="55"/>
    <n v="1000000"/>
    <n v="1"/>
    <n v="50"/>
    <n v="50"/>
    <n v="50"/>
    <n v="77"/>
    <n v="65"/>
    <n v="65"/>
    <n v="90"/>
    <n v="30"/>
    <x v="0"/>
    <x v="0"/>
  </r>
  <r>
    <x v="77"/>
    <s v="Gallopギャロップ"/>
    <x v="1"/>
    <x v="1"/>
    <x v="42"/>
    <s v="Run Away"/>
    <s v="Flash Fire"/>
    <s v="Flame Body"/>
    <s v=""/>
    <s v=""/>
    <s v=""/>
    <n v="0.5"/>
    <n v="1"/>
    <n v="1"/>
    <n v="1"/>
    <n v="0.5"/>
    <n v="1"/>
    <n v="0.5"/>
    <n v="1"/>
    <n v="1"/>
    <n v="0.5"/>
    <n v="2"/>
    <n v="0.5"/>
    <n v="1"/>
    <n v="1"/>
    <n v="1"/>
    <n v="2"/>
    <n v="0.5"/>
    <n v="2"/>
    <n v="100"/>
    <n v="5120"/>
    <n v="70"/>
    <n v="500"/>
    <n v="60"/>
    <n v="70"/>
    <n v="1000000"/>
    <n v="1.7"/>
    <n v="65"/>
    <n v="50"/>
    <n v="50"/>
    <n v="78"/>
    <n v="80"/>
    <n v="80"/>
    <n v="105"/>
    <n v="95"/>
    <x v="0"/>
    <x v="0"/>
  </r>
  <r>
    <x v="78"/>
    <s v="Yadonヤドン"/>
    <x v="2"/>
    <x v="10"/>
    <x v="43"/>
    <s v="Oblivious"/>
    <s v="Own Tempo"/>
    <s v="Regenerator"/>
    <s v=""/>
    <s v=""/>
    <s v=""/>
    <n v="2"/>
    <n v="2"/>
    <n v="1"/>
    <n v="2"/>
    <n v="1"/>
    <n v="0.5"/>
    <n v="0.5"/>
    <n v="1"/>
    <n v="2"/>
    <n v="2"/>
    <n v="1"/>
    <n v="0.5"/>
    <n v="1"/>
    <n v="1"/>
    <n v="0.5"/>
    <n v="1"/>
    <n v="0.5"/>
    <n v="0.5"/>
    <n v="65"/>
    <n v="5120"/>
    <n v="70"/>
    <n v="315"/>
    <n v="190"/>
    <n v="65"/>
    <n v="1000000"/>
    <n v="1.2"/>
    <n v="90"/>
    <n v="50"/>
    <n v="50"/>
    <n v="79"/>
    <n v="40"/>
    <n v="40"/>
    <n v="15"/>
    <n v="36"/>
    <x v="0"/>
    <x v="0"/>
  </r>
  <r>
    <x v="79"/>
    <s v="Yadoranヤドラン"/>
    <x v="2"/>
    <x v="10"/>
    <x v="44"/>
    <s v="Oblivious"/>
    <s v="Own Tempo"/>
    <s v="Regenerator"/>
    <s v=""/>
    <s v=""/>
    <s v=""/>
    <n v="2"/>
    <n v="2"/>
    <n v="1"/>
    <n v="2"/>
    <n v="1"/>
    <n v="0.5"/>
    <n v="0.5"/>
    <n v="1"/>
    <n v="2"/>
    <n v="2"/>
    <n v="1"/>
    <n v="0.5"/>
    <n v="1"/>
    <n v="1"/>
    <n v="0.5"/>
    <n v="1"/>
    <n v="0.5"/>
    <n v="0.5"/>
    <n v="75"/>
    <n v="5120"/>
    <n v="70"/>
    <n v="590"/>
    <n v="75"/>
    <n v="180"/>
    <n v="1000000"/>
    <n v="1.6"/>
    <n v="95"/>
    <n v="50"/>
    <n v="50"/>
    <n v="80"/>
    <n v="130"/>
    <n v="80"/>
    <n v="30"/>
    <n v="78.5"/>
    <x v="0"/>
    <x v="0"/>
  </r>
  <r>
    <x v="80"/>
    <s v="Coilコイル"/>
    <x v="6"/>
    <x v="11"/>
    <x v="45"/>
    <s v="Magnet Pull"/>
    <s v="Sturdy"/>
    <s v="Analytic"/>
    <s v=""/>
    <s v=""/>
    <s v=""/>
    <n v="0.5"/>
    <n v="1"/>
    <n v="0.5"/>
    <n v="0.5"/>
    <n v="0.5"/>
    <n v="2"/>
    <n v="2"/>
    <n v="0.25"/>
    <n v="1"/>
    <n v="0.5"/>
    <n v="4"/>
    <n v="0.5"/>
    <n v="0.5"/>
    <n v="0"/>
    <n v="0.5"/>
    <n v="0.5"/>
    <n v="0.25"/>
    <n v="1"/>
    <n v="35"/>
    <n v="5120"/>
    <n v="70"/>
    <n v="325"/>
    <n v="190"/>
    <n v="70"/>
    <n v="1000000"/>
    <n v="0.3"/>
    <n v="25"/>
    <s v=""/>
    <s v=""/>
    <n v="81"/>
    <n v="95"/>
    <n v="55"/>
    <n v="45"/>
    <n v="6"/>
    <x v="0"/>
    <x v="0"/>
  </r>
  <r>
    <x v="81"/>
    <s v="Rarecoilレアコイル"/>
    <x v="6"/>
    <x v="11"/>
    <x v="45"/>
    <s v="Magnet Pull"/>
    <s v="Sturdy"/>
    <s v="Analytic"/>
    <s v=""/>
    <s v=""/>
    <s v=""/>
    <n v="0.5"/>
    <n v="1"/>
    <n v="0.5"/>
    <n v="0.5"/>
    <n v="0.5"/>
    <n v="2"/>
    <n v="2"/>
    <n v="0.25"/>
    <n v="1"/>
    <n v="0.5"/>
    <n v="4"/>
    <n v="0.5"/>
    <n v="0.5"/>
    <n v="0"/>
    <n v="0.5"/>
    <n v="0.5"/>
    <n v="0.25"/>
    <n v="1"/>
    <n v="60"/>
    <n v="5120"/>
    <n v="70"/>
    <n v="465"/>
    <n v="60"/>
    <n v="95"/>
    <n v="1000000"/>
    <n v="1"/>
    <n v="50"/>
    <s v=""/>
    <s v=""/>
    <n v="82"/>
    <n v="120"/>
    <n v="70"/>
    <n v="70"/>
    <n v="60"/>
    <x v="0"/>
    <x v="0"/>
  </r>
  <r>
    <x v="82"/>
    <s v="Kamonegiカモネギ"/>
    <x v="4"/>
    <x v="2"/>
    <x v="46"/>
    <s v="Keen Eye"/>
    <s v="Inner Focus"/>
    <s v="Defiant"/>
    <s v=""/>
    <s v=""/>
    <s v=""/>
    <n v="0.5"/>
    <n v="1"/>
    <n v="1"/>
    <n v="2"/>
    <n v="1"/>
    <n v="1"/>
    <n v="1"/>
    <n v="1"/>
    <n v="0"/>
    <n v="0.5"/>
    <n v="0"/>
    <n v="2"/>
    <n v="1"/>
    <n v="1"/>
    <n v="1"/>
    <n v="2"/>
    <n v="1"/>
    <n v="1"/>
    <n v="90"/>
    <n v="5120"/>
    <n v="70"/>
    <n v="377"/>
    <n v="45"/>
    <n v="55"/>
    <n v="1000000"/>
    <n v="0.8"/>
    <n v="52"/>
    <n v="50"/>
    <n v="50"/>
    <n v="83"/>
    <n v="58"/>
    <n v="62"/>
    <n v="60"/>
    <n v="15"/>
    <x v="0"/>
    <x v="0"/>
  </r>
  <r>
    <x v="83"/>
    <s v="Dodoドードー"/>
    <x v="4"/>
    <x v="2"/>
    <x v="47"/>
    <s v="Run Away"/>
    <s v="Early Bird"/>
    <s v="Tangled Feet"/>
    <s v=""/>
    <s v=""/>
    <s v=""/>
    <n v="0.5"/>
    <n v="1"/>
    <n v="1"/>
    <n v="2"/>
    <n v="1"/>
    <n v="1"/>
    <n v="1"/>
    <n v="1"/>
    <n v="0"/>
    <n v="0.5"/>
    <n v="0"/>
    <n v="2"/>
    <n v="1"/>
    <n v="1"/>
    <n v="1"/>
    <n v="2"/>
    <n v="1"/>
    <n v="1"/>
    <n v="85"/>
    <n v="5120"/>
    <n v="70"/>
    <n v="310"/>
    <n v="190"/>
    <n v="45"/>
    <n v="1000000"/>
    <n v="1.4"/>
    <n v="35"/>
    <n v="50"/>
    <n v="50"/>
    <n v="84"/>
    <n v="35"/>
    <n v="35"/>
    <n v="75"/>
    <n v="39.200000000000003"/>
    <x v="0"/>
    <x v="0"/>
  </r>
  <r>
    <x v="84"/>
    <s v="Dodorioドードリオ"/>
    <x v="4"/>
    <x v="2"/>
    <x v="48"/>
    <s v="Run Away"/>
    <s v="Early Bird"/>
    <s v="Tangled Feet"/>
    <s v=""/>
    <s v=""/>
    <s v=""/>
    <n v="0.5"/>
    <n v="1"/>
    <n v="1"/>
    <n v="2"/>
    <n v="1"/>
    <n v="1"/>
    <n v="1"/>
    <n v="1"/>
    <n v="0"/>
    <n v="0.5"/>
    <n v="0"/>
    <n v="2"/>
    <n v="1"/>
    <n v="1"/>
    <n v="1"/>
    <n v="2"/>
    <n v="1"/>
    <n v="1"/>
    <n v="110"/>
    <n v="5120"/>
    <n v="70"/>
    <n v="470"/>
    <n v="45"/>
    <n v="70"/>
    <n v="1000000"/>
    <n v="1.8"/>
    <n v="60"/>
    <n v="50"/>
    <n v="50"/>
    <n v="85"/>
    <n v="60"/>
    <n v="60"/>
    <n v="110"/>
    <n v="85.2"/>
    <x v="0"/>
    <x v="0"/>
  </r>
  <r>
    <x v="85"/>
    <s v="Pawouパウワウ"/>
    <x v="2"/>
    <x v="1"/>
    <x v="49"/>
    <s v="Thick Fat"/>
    <s v="Hydration"/>
    <s v="Ice Body"/>
    <s v=""/>
    <s v=""/>
    <s v=""/>
    <n v="1"/>
    <n v="1"/>
    <n v="1"/>
    <n v="2"/>
    <n v="1"/>
    <n v="1"/>
    <n v="0.5"/>
    <n v="1"/>
    <n v="1"/>
    <n v="2"/>
    <n v="1"/>
    <n v="0.5"/>
    <n v="1"/>
    <n v="1"/>
    <n v="1"/>
    <n v="1"/>
    <n v="0.5"/>
    <n v="0.5"/>
    <n v="45"/>
    <n v="5120"/>
    <n v="70"/>
    <n v="325"/>
    <n v="190"/>
    <n v="55"/>
    <n v="1000000"/>
    <n v="1.1000000000000001"/>
    <n v="65"/>
    <n v="50"/>
    <n v="50"/>
    <n v="86"/>
    <n v="45"/>
    <n v="70"/>
    <n v="45"/>
    <n v="90"/>
    <x v="0"/>
    <x v="0"/>
  </r>
  <r>
    <x v="86"/>
    <s v="Jugonジュゴン"/>
    <x v="2"/>
    <x v="5"/>
    <x v="49"/>
    <s v="Thick Fat"/>
    <s v="Hydration"/>
    <s v="Ice Body"/>
    <s v=""/>
    <s v=""/>
    <s v=""/>
    <n v="1"/>
    <n v="1"/>
    <n v="1"/>
    <n v="2"/>
    <n v="1"/>
    <n v="2"/>
    <n v="1"/>
    <n v="1"/>
    <n v="1"/>
    <n v="2"/>
    <n v="1"/>
    <n v="0.25"/>
    <n v="1"/>
    <n v="1"/>
    <n v="1"/>
    <n v="2"/>
    <n v="1"/>
    <n v="0.5"/>
    <n v="70"/>
    <n v="5120"/>
    <n v="70"/>
    <n v="475"/>
    <n v="75"/>
    <n v="80"/>
    <n v="1000000"/>
    <n v="1.7"/>
    <n v="90"/>
    <n v="50"/>
    <n v="50"/>
    <n v="87"/>
    <n v="70"/>
    <n v="95"/>
    <n v="70"/>
    <n v="120"/>
    <x v="0"/>
    <x v="0"/>
  </r>
  <r>
    <x v="87"/>
    <s v="Betbeterベトベター"/>
    <x v="5"/>
    <x v="0"/>
    <x v="50"/>
    <s v="Stench"/>
    <s v="Sticky Hold"/>
    <s v="Poison Touch"/>
    <s v="Poison Touch"/>
    <s v="Gluttony"/>
    <s v="Power of Alchemy"/>
    <n v="0.5"/>
    <n v="1"/>
    <n v="1"/>
    <n v="1"/>
    <n v="0.5"/>
    <n v="0.5"/>
    <n v="1"/>
    <n v="1"/>
    <n v="1"/>
    <n v="0.5"/>
    <n v="2"/>
    <n v="1"/>
    <n v="1"/>
    <n v="0.5"/>
    <n v="2"/>
    <n v="1"/>
    <n v="1"/>
    <n v="1"/>
    <n v="80"/>
    <n v="5120"/>
    <n v="70"/>
    <n v="325"/>
    <n v="190"/>
    <n v="50"/>
    <n v="1000000"/>
    <n v="0.9"/>
    <n v="80"/>
    <n v="50"/>
    <n v="50"/>
    <n v="88"/>
    <n v="40"/>
    <n v="50"/>
    <n v="25"/>
    <n v="30"/>
    <x v="0"/>
    <x v="0"/>
  </r>
  <r>
    <x v="88"/>
    <s v="Betbetonベトベトン"/>
    <x v="5"/>
    <x v="0"/>
    <x v="50"/>
    <s v="Stench"/>
    <s v="Sticky Hold"/>
    <s v="Poison Touch"/>
    <s v="Poison Touch"/>
    <s v="Gluttony"/>
    <s v="Power of Alchemy"/>
    <n v="0.5"/>
    <n v="1"/>
    <n v="1"/>
    <n v="1"/>
    <n v="0.5"/>
    <n v="0.5"/>
    <n v="1"/>
    <n v="1"/>
    <n v="1"/>
    <n v="0.5"/>
    <n v="2"/>
    <n v="1"/>
    <n v="1"/>
    <n v="0.5"/>
    <n v="2"/>
    <n v="1"/>
    <n v="1"/>
    <n v="1"/>
    <n v="105"/>
    <n v="5120"/>
    <n v="70"/>
    <n v="500"/>
    <n v="75"/>
    <n v="75"/>
    <n v="1000000"/>
    <n v="1.2"/>
    <n v="105"/>
    <n v="50"/>
    <n v="50"/>
    <n v="89"/>
    <n v="65"/>
    <n v="100"/>
    <n v="50"/>
    <n v="30"/>
    <x v="0"/>
    <x v="0"/>
  </r>
  <r>
    <x v="89"/>
    <s v="Shellderシェルダー"/>
    <x v="2"/>
    <x v="1"/>
    <x v="51"/>
    <s v="Shell Armor"/>
    <s v="Skill Link"/>
    <s v="Overcoat"/>
    <s v=""/>
    <s v=""/>
    <s v=""/>
    <n v="1"/>
    <n v="1"/>
    <n v="1"/>
    <n v="2"/>
    <n v="1"/>
    <n v="1"/>
    <n v="0.5"/>
    <n v="1"/>
    <n v="1"/>
    <n v="2"/>
    <n v="1"/>
    <n v="0.5"/>
    <n v="1"/>
    <n v="1"/>
    <n v="1"/>
    <n v="1"/>
    <n v="0.5"/>
    <n v="0.5"/>
    <n v="65"/>
    <n v="5120"/>
    <n v="70"/>
    <n v="305"/>
    <n v="190"/>
    <n v="100"/>
    <n v="1250000"/>
    <n v="0.3"/>
    <n v="30"/>
    <n v="50"/>
    <n v="50"/>
    <n v="90"/>
    <n v="45"/>
    <n v="25"/>
    <n v="40"/>
    <n v="4"/>
    <x v="0"/>
    <x v="0"/>
  </r>
  <r>
    <x v="90"/>
    <s v="Parshenパルシェン"/>
    <x v="2"/>
    <x v="5"/>
    <x v="51"/>
    <s v="Shell Armor"/>
    <s v="Skill Link"/>
    <s v="Overcoat"/>
    <s v=""/>
    <s v=""/>
    <s v=""/>
    <n v="1"/>
    <n v="1"/>
    <n v="1"/>
    <n v="2"/>
    <n v="1"/>
    <n v="2"/>
    <n v="1"/>
    <n v="1"/>
    <n v="1"/>
    <n v="2"/>
    <n v="1"/>
    <n v="0.25"/>
    <n v="1"/>
    <n v="1"/>
    <n v="1"/>
    <n v="2"/>
    <n v="1"/>
    <n v="0.5"/>
    <n v="95"/>
    <n v="5120"/>
    <n v="70"/>
    <n v="525"/>
    <n v="60"/>
    <n v="180"/>
    <n v="1250000"/>
    <n v="1.5"/>
    <n v="50"/>
    <n v="50"/>
    <n v="50"/>
    <n v="91"/>
    <n v="85"/>
    <n v="45"/>
    <n v="70"/>
    <n v="132.5"/>
    <x v="0"/>
    <x v="0"/>
  </r>
  <r>
    <x v="91"/>
    <s v="Ghosゴース"/>
    <x v="12"/>
    <x v="0"/>
    <x v="52"/>
    <s v="Levitate"/>
    <s v=""/>
    <s v=""/>
    <s v=""/>
    <s v=""/>
    <s v=""/>
    <n v="0.25"/>
    <n v="2"/>
    <n v="1"/>
    <n v="1"/>
    <n v="0.5"/>
    <n v="0"/>
    <n v="1"/>
    <n v="1"/>
    <n v="2"/>
    <n v="0.5"/>
    <n v="2"/>
    <n v="1"/>
    <n v="0"/>
    <n v="0.25"/>
    <n v="2"/>
    <n v="1"/>
    <n v="1"/>
    <n v="1"/>
    <n v="35"/>
    <n v="5120"/>
    <n v="70"/>
    <n v="310"/>
    <n v="190"/>
    <n v="30"/>
    <n v="1059860"/>
    <n v="1.3"/>
    <n v="30"/>
    <n v="50"/>
    <n v="50"/>
    <n v="92"/>
    <n v="100"/>
    <n v="35"/>
    <n v="80"/>
    <n v="0.1"/>
    <x v="0"/>
    <x v="0"/>
  </r>
  <r>
    <x v="92"/>
    <s v="Ghostゴースト"/>
    <x v="12"/>
    <x v="0"/>
    <x v="52"/>
    <s v="Levitate"/>
    <s v=""/>
    <s v=""/>
    <s v=""/>
    <s v=""/>
    <s v=""/>
    <n v="0.25"/>
    <n v="2"/>
    <n v="1"/>
    <n v="1"/>
    <n v="0.5"/>
    <n v="0"/>
    <n v="1"/>
    <n v="1"/>
    <n v="2"/>
    <n v="0.5"/>
    <n v="2"/>
    <n v="1"/>
    <n v="0"/>
    <n v="0.25"/>
    <n v="2"/>
    <n v="1"/>
    <n v="1"/>
    <n v="1"/>
    <n v="50"/>
    <n v="5120"/>
    <n v="70"/>
    <n v="405"/>
    <n v="90"/>
    <n v="45"/>
    <n v="1059860"/>
    <n v="1.6"/>
    <n v="45"/>
    <n v="50"/>
    <n v="50"/>
    <n v="93"/>
    <n v="115"/>
    <n v="55"/>
    <n v="95"/>
    <n v="0.1"/>
    <x v="0"/>
    <x v="0"/>
  </r>
  <r>
    <x v="93"/>
    <s v="Gangarゲンガー"/>
    <x v="12"/>
    <x v="0"/>
    <x v="53"/>
    <s v="Cursed Body"/>
    <s v=""/>
    <s v=""/>
    <s v=""/>
    <s v=""/>
    <s v=""/>
    <n v="0.25"/>
    <n v="2"/>
    <n v="1"/>
    <n v="1"/>
    <n v="0.5"/>
    <n v="0"/>
    <n v="1"/>
    <n v="1"/>
    <n v="2"/>
    <n v="0.5"/>
    <n v="2"/>
    <n v="1"/>
    <n v="0"/>
    <n v="0.25"/>
    <n v="2"/>
    <n v="1"/>
    <n v="1"/>
    <n v="1"/>
    <n v="65"/>
    <n v="5120"/>
    <n v="70"/>
    <n v="600"/>
    <n v="45"/>
    <n v="80"/>
    <n v="1059860"/>
    <n v="1.5"/>
    <n v="60"/>
    <n v="50"/>
    <n v="50"/>
    <n v="94"/>
    <n v="170"/>
    <n v="95"/>
    <n v="130"/>
    <n v="40.5"/>
    <x v="0"/>
    <x v="0"/>
  </r>
  <r>
    <x v="94"/>
    <s v="Iwarkイワーク"/>
    <x v="11"/>
    <x v="6"/>
    <x v="54"/>
    <s v="Rock Head"/>
    <s v="Sturdy"/>
    <s v="Weak Armor"/>
    <s v=""/>
    <s v=""/>
    <s v=""/>
    <n v="1"/>
    <n v="1"/>
    <n v="1"/>
    <n v="0"/>
    <n v="1"/>
    <n v="2"/>
    <n v="0.5"/>
    <n v="0.5"/>
    <n v="1"/>
    <n v="4"/>
    <n v="2"/>
    <n v="2"/>
    <n v="0.5"/>
    <n v="0.25"/>
    <n v="1"/>
    <n v="0.5"/>
    <n v="2"/>
    <n v="4"/>
    <n v="45"/>
    <n v="6400"/>
    <n v="70"/>
    <n v="385"/>
    <n v="45"/>
    <n v="160"/>
    <n v="1000000"/>
    <n v="8.8000000000000007"/>
    <n v="35"/>
    <n v="50"/>
    <n v="50"/>
    <n v="95"/>
    <n v="30"/>
    <n v="45"/>
    <n v="70"/>
    <n v="210"/>
    <x v="0"/>
    <x v="0"/>
  </r>
  <r>
    <x v="95"/>
    <s v="Sleepeスリープ"/>
    <x v="10"/>
    <x v="1"/>
    <x v="55"/>
    <s v="Insomnia"/>
    <s v="Forewarn"/>
    <s v="Inner Focus"/>
    <s v=""/>
    <s v=""/>
    <s v=""/>
    <n v="2"/>
    <n v="2"/>
    <n v="1"/>
    <n v="1"/>
    <n v="1"/>
    <n v="0.5"/>
    <n v="1"/>
    <n v="1"/>
    <n v="2"/>
    <n v="1"/>
    <n v="1"/>
    <n v="1"/>
    <n v="1"/>
    <n v="1"/>
    <n v="0.5"/>
    <n v="1"/>
    <n v="1"/>
    <n v="1"/>
    <n v="48"/>
    <n v="5120"/>
    <n v="70"/>
    <n v="328"/>
    <n v="190"/>
    <n v="45"/>
    <n v="1000000"/>
    <n v="1"/>
    <n v="60"/>
    <n v="50"/>
    <n v="50"/>
    <n v="96"/>
    <n v="43"/>
    <n v="90"/>
    <n v="42"/>
    <n v="32.4"/>
    <x v="0"/>
    <x v="0"/>
  </r>
  <r>
    <x v="96"/>
    <s v="Sleeperスリーパー"/>
    <x v="10"/>
    <x v="1"/>
    <x v="55"/>
    <s v="Insomnia"/>
    <s v="Forewarn"/>
    <s v="Inner Focus"/>
    <s v=""/>
    <s v=""/>
    <s v=""/>
    <n v="2"/>
    <n v="2"/>
    <n v="1"/>
    <n v="1"/>
    <n v="1"/>
    <n v="0.5"/>
    <n v="1"/>
    <n v="1"/>
    <n v="2"/>
    <n v="1"/>
    <n v="1"/>
    <n v="1"/>
    <n v="1"/>
    <n v="1"/>
    <n v="0.5"/>
    <n v="1"/>
    <n v="1"/>
    <n v="1"/>
    <n v="73"/>
    <n v="5120"/>
    <n v="70"/>
    <n v="483"/>
    <n v="75"/>
    <n v="70"/>
    <n v="1000000"/>
    <n v="1.6"/>
    <n v="85"/>
    <n v="50"/>
    <n v="50"/>
    <n v="97"/>
    <n v="73"/>
    <n v="115"/>
    <n v="67"/>
    <n v="75.599999999999994"/>
    <x v="0"/>
    <x v="0"/>
  </r>
  <r>
    <x v="97"/>
    <s v="Crabクラブ"/>
    <x v="2"/>
    <x v="1"/>
    <x v="56"/>
    <s v="Hyper Cutter"/>
    <s v="Shell Armor"/>
    <s v="Sheer Force"/>
    <s v=""/>
    <s v=""/>
    <s v=""/>
    <n v="1"/>
    <n v="1"/>
    <n v="1"/>
    <n v="2"/>
    <n v="1"/>
    <n v="1"/>
    <n v="0.5"/>
    <n v="1"/>
    <n v="1"/>
    <n v="2"/>
    <n v="1"/>
    <n v="0.5"/>
    <n v="1"/>
    <n v="1"/>
    <n v="1"/>
    <n v="1"/>
    <n v="0.5"/>
    <n v="0.5"/>
    <n v="105"/>
    <n v="5120"/>
    <n v="70"/>
    <n v="325"/>
    <n v="225"/>
    <n v="90"/>
    <n v="1000000"/>
    <n v="0.4"/>
    <n v="30"/>
    <n v="50"/>
    <n v="50"/>
    <n v="98"/>
    <n v="25"/>
    <n v="25"/>
    <n v="50"/>
    <n v="6.5"/>
    <x v="0"/>
    <x v="0"/>
  </r>
  <r>
    <x v="98"/>
    <s v="Kinglerキングラー"/>
    <x v="2"/>
    <x v="1"/>
    <x v="57"/>
    <s v="Hyper Cutter"/>
    <s v="Shell Armor"/>
    <s v="Sheer Force"/>
    <s v=""/>
    <s v=""/>
    <s v=""/>
    <n v="1"/>
    <n v="1"/>
    <n v="1"/>
    <n v="2"/>
    <n v="1"/>
    <n v="1"/>
    <n v="0.5"/>
    <n v="1"/>
    <n v="1"/>
    <n v="2"/>
    <n v="1"/>
    <n v="0.5"/>
    <n v="1"/>
    <n v="1"/>
    <n v="1"/>
    <n v="1"/>
    <n v="0.5"/>
    <n v="0.5"/>
    <n v="130"/>
    <n v="5120"/>
    <n v="70"/>
    <n v="475"/>
    <n v="60"/>
    <n v="115"/>
    <n v="1000000"/>
    <n v="1.3"/>
    <n v="55"/>
    <n v="50"/>
    <n v="50"/>
    <n v="99"/>
    <n v="50"/>
    <n v="50"/>
    <n v="75"/>
    <n v="60"/>
    <x v="0"/>
    <x v="0"/>
  </r>
  <r>
    <x v="99"/>
    <s v="Biriridamaビリリダマ"/>
    <x v="6"/>
    <x v="1"/>
    <x v="58"/>
    <s v="Soundproof"/>
    <s v="Static"/>
    <s v="Aftermath"/>
    <s v=""/>
    <s v=""/>
    <s v=""/>
    <n v="1"/>
    <n v="1"/>
    <n v="1"/>
    <n v="0.5"/>
    <n v="1"/>
    <n v="1"/>
    <n v="1"/>
    <n v="0.5"/>
    <n v="1"/>
    <n v="1"/>
    <n v="2"/>
    <n v="1"/>
    <n v="1"/>
    <n v="1"/>
    <n v="1"/>
    <n v="1"/>
    <n v="0.5"/>
    <n v="1"/>
    <n v="30"/>
    <n v="5120"/>
    <n v="70"/>
    <n v="330"/>
    <n v="190"/>
    <n v="50"/>
    <n v="1000000"/>
    <n v="0.5"/>
    <n v="40"/>
    <s v=""/>
    <s v=""/>
    <n v="100"/>
    <n v="55"/>
    <n v="55"/>
    <n v="100"/>
    <n v="10.4"/>
    <x v="0"/>
    <x v="0"/>
  </r>
  <r>
    <x v="100"/>
    <s v="Marumineマルマイン"/>
    <x v="6"/>
    <x v="1"/>
    <x v="58"/>
    <s v="Soundproof"/>
    <s v="Static"/>
    <s v="Aftermath"/>
    <s v=""/>
    <s v=""/>
    <s v=""/>
    <n v="1"/>
    <n v="1"/>
    <n v="1"/>
    <n v="0.5"/>
    <n v="1"/>
    <n v="1"/>
    <n v="1"/>
    <n v="0.5"/>
    <n v="1"/>
    <n v="1"/>
    <n v="2"/>
    <n v="1"/>
    <n v="1"/>
    <n v="1"/>
    <n v="1"/>
    <n v="1"/>
    <n v="0.5"/>
    <n v="1"/>
    <n v="50"/>
    <n v="5120"/>
    <n v="70"/>
    <n v="490"/>
    <n v="60"/>
    <n v="70"/>
    <n v="1000000"/>
    <n v="1.2"/>
    <n v="60"/>
    <s v=""/>
    <s v=""/>
    <n v="101"/>
    <n v="80"/>
    <n v="80"/>
    <n v="150"/>
    <n v="66.599999999999994"/>
    <x v="0"/>
    <x v="0"/>
  </r>
  <r>
    <x v="101"/>
    <s v="Tamatamaタマタマ"/>
    <x v="0"/>
    <x v="10"/>
    <x v="59"/>
    <s v="Chlorophyll"/>
    <s v="Harvest"/>
    <s v=""/>
    <s v=""/>
    <s v=""/>
    <s v=""/>
    <n v="4"/>
    <n v="2"/>
    <n v="1"/>
    <n v="0.5"/>
    <n v="1"/>
    <n v="0.5"/>
    <n v="2"/>
    <n v="2"/>
    <n v="2"/>
    <n v="0.5"/>
    <n v="0.5"/>
    <n v="2"/>
    <n v="1"/>
    <n v="2"/>
    <n v="0.5"/>
    <n v="1"/>
    <n v="1"/>
    <n v="0.5"/>
    <n v="40"/>
    <n v="5120"/>
    <n v="70"/>
    <n v="325"/>
    <n v="90"/>
    <n v="80"/>
    <n v="1250000"/>
    <n v="0.4"/>
    <n v="60"/>
    <n v="50"/>
    <n v="50"/>
    <n v="102"/>
    <n v="60"/>
    <n v="45"/>
    <n v="40"/>
    <n v="2.5"/>
    <x v="0"/>
    <x v="0"/>
  </r>
  <r>
    <x v="102"/>
    <s v="Nassyナッシー"/>
    <x v="0"/>
    <x v="10"/>
    <x v="60"/>
    <s v="Chlorophyll"/>
    <s v="Harvest"/>
    <s v="Frisk"/>
    <s v="Harvest"/>
    <s v=""/>
    <s v=""/>
    <n v="4"/>
    <n v="2"/>
    <n v="1"/>
    <n v="0.5"/>
    <n v="1"/>
    <n v="0.5"/>
    <n v="2"/>
    <n v="2"/>
    <n v="2"/>
    <n v="0.5"/>
    <n v="0.5"/>
    <n v="2"/>
    <n v="1"/>
    <n v="2"/>
    <n v="0.5"/>
    <n v="1"/>
    <n v="1"/>
    <n v="0.5"/>
    <n v="105"/>
    <n v="5120"/>
    <n v="70"/>
    <n v="530"/>
    <n v="45"/>
    <n v="85"/>
    <n v="1250000"/>
    <n v="2"/>
    <n v="95"/>
    <n v="50"/>
    <n v="50"/>
    <n v="103"/>
    <n v="125"/>
    <n v="75"/>
    <n v="45"/>
    <n v="120"/>
    <x v="0"/>
    <x v="0"/>
  </r>
  <r>
    <x v="103"/>
    <s v="Karakaraカラカラ"/>
    <x v="7"/>
    <x v="1"/>
    <x v="61"/>
    <s v="Rock Head"/>
    <s v="Lightningrod"/>
    <s v="Battle Armor"/>
    <s v=""/>
    <s v=""/>
    <s v=""/>
    <n v="1"/>
    <n v="1"/>
    <n v="1"/>
    <n v="0"/>
    <n v="1"/>
    <n v="1"/>
    <n v="1"/>
    <n v="1"/>
    <n v="1"/>
    <n v="2"/>
    <n v="1"/>
    <n v="2"/>
    <n v="1"/>
    <n v="0.5"/>
    <n v="1"/>
    <n v="0.5"/>
    <n v="1"/>
    <n v="2"/>
    <n v="50"/>
    <n v="5120"/>
    <n v="70"/>
    <n v="320"/>
    <n v="190"/>
    <n v="95"/>
    <n v="1000000"/>
    <n v="0.4"/>
    <n v="50"/>
    <n v="50"/>
    <n v="50"/>
    <n v="104"/>
    <n v="40"/>
    <n v="50"/>
    <n v="35"/>
    <n v="6.5"/>
    <x v="0"/>
    <x v="0"/>
  </r>
  <r>
    <x v="104"/>
    <s v="Garagaraガラガラ"/>
    <x v="7"/>
    <x v="12"/>
    <x v="62"/>
    <s v="Rock Head"/>
    <s v="Lightningrod"/>
    <s v="Battle Armor"/>
    <s v="Cursed Body"/>
    <s v="Lightningrod"/>
    <s v="Rock Head"/>
    <n v="1"/>
    <n v="1"/>
    <n v="1"/>
    <n v="0"/>
    <n v="1"/>
    <n v="1"/>
    <n v="1"/>
    <n v="1"/>
    <n v="1"/>
    <n v="2"/>
    <n v="1"/>
    <n v="2"/>
    <n v="1"/>
    <n v="0.5"/>
    <n v="1"/>
    <n v="0.5"/>
    <n v="1"/>
    <n v="2"/>
    <n v="80"/>
    <n v="5120"/>
    <n v="70"/>
    <n v="425"/>
    <n v="75"/>
    <n v="110"/>
    <n v="1000000"/>
    <n v="1"/>
    <n v="60"/>
    <n v="50"/>
    <n v="50"/>
    <n v="105"/>
    <n v="50"/>
    <n v="80"/>
    <n v="45"/>
    <n v="45"/>
    <x v="0"/>
    <x v="0"/>
  </r>
  <r>
    <x v="105"/>
    <s v="Sawamularサワムラー"/>
    <x v="9"/>
    <x v="1"/>
    <x v="63"/>
    <s v="Limber"/>
    <s v="Reckless"/>
    <s v="Unburden"/>
    <s v=""/>
    <s v=""/>
    <s v=""/>
    <n v="0.5"/>
    <n v="0.5"/>
    <n v="1"/>
    <n v="1"/>
    <n v="2"/>
    <n v="1"/>
    <n v="1"/>
    <n v="2"/>
    <n v="1"/>
    <n v="1"/>
    <n v="1"/>
    <n v="1"/>
    <n v="1"/>
    <n v="1"/>
    <n v="2"/>
    <n v="0.5"/>
    <n v="1"/>
    <n v="1"/>
    <n v="120"/>
    <n v="6400"/>
    <n v="70"/>
    <n v="455"/>
    <n v="45"/>
    <n v="53"/>
    <n v="1000000"/>
    <n v="1.5"/>
    <n v="50"/>
    <n v="100"/>
    <n v="0"/>
    <n v="106"/>
    <n v="35"/>
    <n v="110"/>
    <n v="87"/>
    <n v="49.8"/>
    <x v="0"/>
    <x v="0"/>
  </r>
  <r>
    <x v="106"/>
    <s v="Ebiwalarエビワラー"/>
    <x v="9"/>
    <x v="1"/>
    <x v="64"/>
    <s v="Keen Eye"/>
    <s v="Iron Fist"/>
    <s v="Inner Focus"/>
    <s v=""/>
    <s v=""/>
    <s v=""/>
    <n v="0.5"/>
    <n v="0.5"/>
    <n v="1"/>
    <n v="1"/>
    <n v="2"/>
    <n v="1"/>
    <n v="1"/>
    <n v="2"/>
    <n v="1"/>
    <n v="1"/>
    <n v="1"/>
    <n v="1"/>
    <n v="1"/>
    <n v="1"/>
    <n v="2"/>
    <n v="0.5"/>
    <n v="1"/>
    <n v="1"/>
    <n v="105"/>
    <n v="6400"/>
    <n v="70"/>
    <n v="455"/>
    <n v="45"/>
    <n v="79"/>
    <n v="1000000"/>
    <n v="1.4"/>
    <n v="50"/>
    <n v="100"/>
    <n v="0"/>
    <n v="107"/>
    <n v="35"/>
    <n v="110"/>
    <n v="76"/>
    <n v="50.2"/>
    <x v="0"/>
    <x v="0"/>
  </r>
  <r>
    <x v="107"/>
    <s v="Beroringaベロリンガ"/>
    <x v="4"/>
    <x v="1"/>
    <x v="65"/>
    <s v="Own Tempo"/>
    <s v="Oblivious"/>
    <s v="Cloud Nine"/>
    <s v=""/>
    <s v=""/>
    <s v=""/>
    <n v="1"/>
    <n v="1"/>
    <n v="1"/>
    <n v="1"/>
    <n v="1"/>
    <n v="2"/>
    <n v="1"/>
    <n v="1"/>
    <n v="0"/>
    <n v="1"/>
    <n v="1"/>
    <n v="1"/>
    <n v="1"/>
    <n v="1"/>
    <n v="1"/>
    <n v="1"/>
    <n v="1"/>
    <n v="1"/>
    <n v="55"/>
    <n v="5120"/>
    <n v="70"/>
    <n v="385"/>
    <n v="45"/>
    <n v="75"/>
    <n v="1000000"/>
    <n v="1.2"/>
    <n v="90"/>
    <n v="50"/>
    <n v="50"/>
    <n v="108"/>
    <n v="60"/>
    <n v="75"/>
    <n v="30"/>
    <n v="65.5"/>
    <x v="0"/>
    <x v="0"/>
  </r>
  <r>
    <x v="108"/>
    <s v="Dogarsドガース"/>
    <x v="5"/>
    <x v="1"/>
    <x v="66"/>
    <s v="Levitate"/>
    <s v=""/>
    <s v=""/>
    <s v=""/>
    <s v=""/>
    <s v=""/>
    <n v="0.5"/>
    <n v="1"/>
    <n v="1"/>
    <n v="1"/>
    <n v="0.5"/>
    <n v="0.5"/>
    <n v="1"/>
    <n v="1"/>
    <n v="1"/>
    <n v="0.5"/>
    <n v="2"/>
    <n v="1"/>
    <n v="1"/>
    <n v="0.5"/>
    <n v="2"/>
    <n v="1"/>
    <n v="1"/>
    <n v="1"/>
    <n v="65"/>
    <n v="5120"/>
    <n v="70"/>
    <n v="340"/>
    <n v="190"/>
    <n v="95"/>
    <n v="1000000"/>
    <n v="0.6"/>
    <n v="40"/>
    <n v="50"/>
    <n v="50"/>
    <n v="109"/>
    <n v="60"/>
    <n v="45"/>
    <n v="35"/>
    <n v="1"/>
    <x v="0"/>
    <x v="0"/>
  </r>
  <r>
    <x v="109"/>
    <s v="Matadogasマタドガス"/>
    <x v="5"/>
    <x v="1"/>
    <x v="66"/>
    <s v="Levitate"/>
    <s v=""/>
    <s v=""/>
    <s v=""/>
    <s v=""/>
    <s v=""/>
    <n v="0.5"/>
    <n v="1"/>
    <n v="1"/>
    <n v="1"/>
    <n v="0.5"/>
    <n v="0.5"/>
    <n v="1"/>
    <n v="1"/>
    <n v="1"/>
    <n v="0.5"/>
    <n v="2"/>
    <n v="1"/>
    <n v="1"/>
    <n v="0.5"/>
    <n v="2"/>
    <n v="1"/>
    <n v="1"/>
    <n v="1"/>
    <n v="90"/>
    <n v="5120"/>
    <n v="70"/>
    <n v="490"/>
    <n v="60"/>
    <n v="120"/>
    <n v="1000000"/>
    <n v="1.2"/>
    <n v="65"/>
    <n v="50"/>
    <n v="50"/>
    <n v="110"/>
    <n v="85"/>
    <n v="70"/>
    <n v="60"/>
    <n v="9.5"/>
    <x v="0"/>
    <x v="0"/>
  </r>
  <r>
    <x v="110"/>
    <s v="Sihornサイホーン"/>
    <x v="7"/>
    <x v="13"/>
    <x v="67"/>
    <s v="Lightningrod"/>
    <s v="Rock Head"/>
    <s v="Reckless"/>
    <s v=""/>
    <s v=""/>
    <s v=""/>
    <n v="1"/>
    <n v="1"/>
    <n v="1"/>
    <n v="0"/>
    <n v="1"/>
    <n v="2"/>
    <n v="0.5"/>
    <n v="0.5"/>
    <n v="1"/>
    <n v="4"/>
    <n v="2"/>
    <n v="2"/>
    <n v="0.5"/>
    <n v="0.25"/>
    <n v="1"/>
    <n v="0.5"/>
    <n v="2"/>
    <n v="4"/>
    <n v="85"/>
    <n v="5120"/>
    <n v="70"/>
    <n v="345"/>
    <n v="120"/>
    <n v="95"/>
    <n v="1250000"/>
    <n v="1"/>
    <n v="80"/>
    <n v="50"/>
    <n v="50"/>
    <n v="111"/>
    <n v="30"/>
    <n v="30"/>
    <n v="25"/>
    <n v="115"/>
    <x v="0"/>
    <x v="0"/>
  </r>
  <r>
    <x v="111"/>
    <s v="Sidonサイドン"/>
    <x v="7"/>
    <x v="13"/>
    <x v="18"/>
    <s v="Lightningrod"/>
    <s v="Rock Head"/>
    <s v="Reckless"/>
    <s v=""/>
    <s v=""/>
    <s v=""/>
    <n v="1"/>
    <n v="1"/>
    <n v="1"/>
    <n v="0"/>
    <n v="1"/>
    <n v="2"/>
    <n v="0.5"/>
    <n v="0.5"/>
    <n v="1"/>
    <n v="4"/>
    <n v="2"/>
    <n v="2"/>
    <n v="0.5"/>
    <n v="0.25"/>
    <n v="1"/>
    <n v="0.5"/>
    <n v="2"/>
    <n v="4"/>
    <n v="130"/>
    <n v="5120"/>
    <n v="70"/>
    <n v="485"/>
    <n v="60"/>
    <n v="120"/>
    <n v="1250000"/>
    <n v="1.9"/>
    <n v="105"/>
    <n v="50"/>
    <n v="50"/>
    <n v="112"/>
    <n v="45"/>
    <n v="45"/>
    <n v="40"/>
    <n v="120"/>
    <x v="0"/>
    <x v="0"/>
  </r>
  <r>
    <x v="112"/>
    <s v="Luckyラッキー"/>
    <x v="4"/>
    <x v="1"/>
    <x v="59"/>
    <s v="Natural Cure"/>
    <s v="Serene Grace"/>
    <s v="Healer"/>
    <s v=""/>
    <s v=""/>
    <s v=""/>
    <n v="1"/>
    <n v="1"/>
    <n v="1"/>
    <n v="1"/>
    <n v="1"/>
    <n v="2"/>
    <n v="1"/>
    <n v="1"/>
    <n v="0"/>
    <n v="1"/>
    <n v="1"/>
    <n v="1"/>
    <n v="1"/>
    <n v="1"/>
    <n v="1"/>
    <n v="1"/>
    <n v="1"/>
    <n v="1"/>
    <n v="5"/>
    <n v="10240"/>
    <n v="140"/>
    <n v="450"/>
    <n v="30"/>
    <n v="5"/>
    <n v="800000"/>
    <n v="1.1000000000000001"/>
    <n v="250"/>
    <n v="0"/>
    <n v="100"/>
    <n v="113"/>
    <n v="35"/>
    <n v="105"/>
    <n v="50"/>
    <n v="34.6"/>
    <x v="0"/>
    <x v="0"/>
  </r>
  <r>
    <x v="113"/>
    <s v="Monjaraモンジャラ"/>
    <x v="0"/>
    <x v="1"/>
    <x v="68"/>
    <s v="Chlorophyll"/>
    <s v="Leaf Guard"/>
    <s v="Regenerator"/>
    <s v=""/>
    <s v=""/>
    <s v=""/>
    <n v="2"/>
    <n v="1"/>
    <n v="1"/>
    <n v="0.5"/>
    <n v="1"/>
    <n v="1"/>
    <n v="2"/>
    <n v="2"/>
    <n v="1"/>
    <n v="0.5"/>
    <n v="0.5"/>
    <n v="2"/>
    <n v="1"/>
    <n v="2"/>
    <n v="1"/>
    <n v="1"/>
    <n v="1"/>
    <n v="0.5"/>
    <n v="55"/>
    <n v="5120"/>
    <n v="70"/>
    <n v="435"/>
    <n v="45"/>
    <n v="115"/>
    <n v="1000000"/>
    <n v="1"/>
    <n v="65"/>
    <n v="50"/>
    <n v="50"/>
    <n v="114"/>
    <n v="100"/>
    <n v="40"/>
    <n v="60"/>
    <n v="35"/>
    <x v="0"/>
    <x v="0"/>
  </r>
  <r>
    <x v="114"/>
    <s v="Garuraガルーラ"/>
    <x v="4"/>
    <x v="1"/>
    <x v="69"/>
    <s v="Early Bird"/>
    <s v="Scrappy"/>
    <s v="Inner Focus"/>
    <s v=""/>
    <s v=""/>
    <s v=""/>
    <n v="1"/>
    <n v="1"/>
    <n v="1"/>
    <n v="1"/>
    <n v="1"/>
    <n v="2"/>
    <n v="1"/>
    <n v="1"/>
    <n v="0"/>
    <n v="1"/>
    <n v="1"/>
    <n v="1"/>
    <n v="1"/>
    <n v="1"/>
    <n v="1"/>
    <n v="1"/>
    <n v="1"/>
    <n v="1"/>
    <n v="125"/>
    <n v="5120"/>
    <n v="70"/>
    <n v="590"/>
    <n v="45"/>
    <n v="100"/>
    <n v="1000000"/>
    <n v="2.2000000000000002"/>
    <n v="105"/>
    <n v="0"/>
    <n v="100"/>
    <n v="115"/>
    <n v="60"/>
    <n v="100"/>
    <n v="100"/>
    <n v="80"/>
    <x v="0"/>
    <x v="0"/>
  </r>
  <r>
    <x v="115"/>
    <s v="Tattuタッツー"/>
    <x v="2"/>
    <x v="1"/>
    <x v="70"/>
    <s v="Swift Swim"/>
    <s v="Sniper"/>
    <s v="Damp"/>
    <s v=""/>
    <s v=""/>
    <s v=""/>
    <n v="1"/>
    <n v="1"/>
    <n v="1"/>
    <n v="2"/>
    <n v="1"/>
    <n v="1"/>
    <n v="0.5"/>
    <n v="1"/>
    <n v="1"/>
    <n v="2"/>
    <n v="1"/>
    <n v="0.5"/>
    <n v="1"/>
    <n v="1"/>
    <n v="1"/>
    <n v="1"/>
    <n v="0.5"/>
    <n v="0.5"/>
    <n v="40"/>
    <n v="5120"/>
    <n v="70"/>
    <n v="295"/>
    <n v="225"/>
    <n v="70"/>
    <n v="1000000"/>
    <n v="0.4"/>
    <n v="30"/>
    <n v="50"/>
    <n v="50"/>
    <n v="116"/>
    <n v="70"/>
    <n v="25"/>
    <n v="60"/>
    <n v="8"/>
    <x v="0"/>
    <x v="0"/>
  </r>
  <r>
    <x v="116"/>
    <s v="Seadraシードラ"/>
    <x v="2"/>
    <x v="1"/>
    <x v="70"/>
    <s v="Poison Point"/>
    <s v="Sniper"/>
    <s v="Damp"/>
    <s v=""/>
    <s v=""/>
    <s v=""/>
    <n v="1"/>
    <n v="1"/>
    <n v="1"/>
    <n v="2"/>
    <n v="1"/>
    <n v="1"/>
    <n v="0.5"/>
    <n v="1"/>
    <n v="1"/>
    <n v="2"/>
    <n v="1"/>
    <n v="0.5"/>
    <n v="1"/>
    <n v="1"/>
    <n v="1"/>
    <n v="1"/>
    <n v="0.5"/>
    <n v="0.5"/>
    <n v="65"/>
    <n v="5120"/>
    <n v="70"/>
    <n v="440"/>
    <n v="75"/>
    <n v="95"/>
    <n v="1000000"/>
    <n v="1.2"/>
    <n v="55"/>
    <n v="50"/>
    <n v="50"/>
    <n v="117"/>
    <n v="95"/>
    <n v="45"/>
    <n v="85"/>
    <n v="25"/>
    <x v="0"/>
    <x v="0"/>
  </r>
  <r>
    <x v="117"/>
    <s v="Tosakintoトサキント"/>
    <x v="2"/>
    <x v="1"/>
    <x v="71"/>
    <s v="Swift Swim"/>
    <s v="Water Veil"/>
    <s v="Lightningrod"/>
    <s v=""/>
    <s v=""/>
    <s v=""/>
    <n v="1"/>
    <n v="1"/>
    <n v="1"/>
    <n v="2"/>
    <n v="1"/>
    <n v="1"/>
    <n v="0.5"/>
    <n v="1"/>
    <n v="1"/>
    <n v="2"/>
    <n v="1"/>
    <n v="0.5"/>
    <n v="1"/>
    <n v="1"/>
    <n v="1"/>
    <n v="1"/>
    <n v="0.5"/>
    <n v="0.5"/>
    <n v="67"/>
    <n v="5120"/>
    <n v="70"/>
    <n v="320"/>
    <n v="225"/>
    <n v="60"/>
    <n v="1000000"/>
    <n v="0.6"/>
    <n v="45"/>
    <n v="50"/>
    <n v="50"/>
    <n v="118"/>
    <n v="35"/>
    <n v="50"/>
    <n v="63"/>
    <n v="15"/>
    <x v="0"/>
    <x v="0"/>
  </r>
  <r>
    <x v="118"/>
    <s v="Azumaoアズマオウ"/>
    <x v="2"/>
    <x v="1"/>
    <x v="71"/>
    <s v="Swift Swim"/>
    <s v="Water Veil"/>
    <s v="Lightningrod"/>
    <s v=""/>
    <s v=""/>
    <s v=""/>
    <n v="1"/>
    <n v="1"/>
    <n v="1"/>
    <n v="2"/>
    <n v="1"/>
    <n v="1"/>
    <n v="0.5"/>
    <n v="1"/>
    <n v="1"/>
    <n v="2"/>
    <n v="1"/>
    <n v="0.5"/>
    <n v="1"/>
    <n v="1"/>
    <n v="1"/>
    <n v="1"/>
    <n v="0.5"/>
    <n v="0.5"/>
    <n v="92"/>
    <n v="5120"/>
    <n v="70"/>
    <n v="450"/>
    <n v="60"/>
    <n v="65"/>
    <n v="1000000"/>
    <n v="1.3"/>
    <n v="80"/>
    <n v="50"/>
    <n v="50"/>
    <n v="119"/>
    <n v="65"/>
    <n v="80"/>
    <n v="68"/>
    <n v="39"/>
    <x v="0"/>
    <x v="0"/>
  </r>
  <r>
    <x v="119"/>
    <s v="Hitodemanヒトデマン"/>
    <x v="2"/>
    <x v="1"/>
    <x v="72"/>
    <s v="Illuminate"/>
    <s v="Natural Cure"/>
    <s v="Analytic"/>
    <s v=""/>
    <s v=""/>
    <s v=""/>
    <n v="1"/>
    <n v="1"/>
    <n v="1"/>
    <n v="2"/>
    <n v="1"/>
    <n v="1"/>
    <n v="0.5"/>
    <n v="1"/>
    <n v="1"/>
    <n v="2"/>
    <n v="1"/>
    <n v="0.5"/>
    <n v="1"/>
    <n v="1"/>
    <n v="1"/>
    <n v="1"/>
    <n v="0.5"/>
    <n v="0.5"/>
    <n v="45"/>
    <n v="5120"/>
    <n v="70"/>
    <n v="340"/>
    <n v="225"/>
    <n v="55"/>
    <n v="1250000"/>
    <n v="0.8"/>
    <n v="30"/>
    <s v=""/>
    <s v=""/>
    <n v="120"/>
    <n v="70"/>
    <n v="55"/>
    <n v="85"/>
    <n v="34.5"/>
    <x v="0"/>
    <x v="0"/>
  </r>
  <r>
    <x v="120"/>
    <s v="Starmieスターミー"/>
    <x v="2"/>
    <x v="10"/>
    <x v="73"/>
    <s v="Illuminate"/>
    <s v="Natural Cure"/>
    <s v="Analytic"/>
    <s v=""/>
    <s v=""/>
    <s v=""/>
    <n v="2"/>
    <n v="2"/>
    <n v="1"/>
    <n v="2"/>
    <n v="1"/>
    <n v="0.5"/>
    <n v="0.5"/>
    <n v="1"/>
    <n v="2"/>
    <n v="2"/>
    <n v="1"/>
    <n v="0.5"/>
    <n v="1"/>
    <n v="1"/>
    <n v="0.5"/>
    <n v="1"/>
    <n v="0.5"/>
    <n v="0.5"/>
    <n v="75"/>
    <n v="5120"/>
    <n v="70"/>
    <n v="520"/>
    <n v="60"/>
    <n v="85"/>
    <n v="1250000"/>
    <n v="1.1000000000000001"/>
    <n v="60"/>
    <s v=""/>
    <s v=""/>
    <n v="121"/>
    <n v="100"/>
    <n v="85"/>
    <n v="115"/>
    <n v="80"/>
    <x v="0"/>
    <x v="0"/>
  </r>
  <r>
    <x v="121"/>
    <s v="Barrierdバリヤード"/>
    <x v="10"/>
    <x v="7"/>
    <x v="74"/>
    <s v="Soundproof"/>
    <s v="Filter"/>
    <s v="Technician"/>
    <s v=""/>
    <s v=""/>
    <s v=""/>
    <n v="1"/>
    <n v="1"/>
    <n v="0"/>
    <n v="1"/>
    <n v="1"/>
    <n v="0.25"/>
    <n v="1"/>
    <n v="1"/>
    <n v="2"/>
    <n v="1"/>
    <n v="1"/>
    <n v="1"/>
    <n v="1"/>
    <n v="2"/>
    <n v="0.5"/>
    <n v="1"/>
    <n v="2"/>
    <n v="1"/>
    <n v="45"/>
    <n v="6400"/>
    <n v="70"/>
    <n v="460"/>
    <n v="45"/>
    <n v="65"/>
    <n v="1000000"/>
    <n v="1.3"/>
    <n v="40"/>
    <n v="50"/>
    <n v="50"/>
    <n v="122"/>
    <n v="100"/>
    <n v="120"/>
    <n v="90"/>
    <n v="54.5"/>
    <x v="0"/>
    <x v="0"/>
  </r>
  <r>
    <x v="122"/>
    <s v="Strikeストライク"/>
    <x v="3"/>
    <x v="2"/>
    <x v="75"/>
    <s v="Swarm"/>
    <s v="Technician"/>
    <s v="Steadfast"/>
    <s v=""/>
    <s v=""/>
    <s v=""/>
    <n v="0.5"/>
    <n v="1"/>
    <n v="1"/>
    <n v="2"/>
    <n v="1"/>
    <n v="0.25"/>
    <n v="2"/>
    <n v="2"/>
    <n v="1"/>
    <n v="0.25"/>
    <n v="0"/>
    <n v="2"/>
    <n v="1"/>
    <n v="1"/>
    <n v="1"/>
    <n v="4"/>
    <n v="1"/>
    <n v="1"/>
    <n v="110"/>
    <n v="6400"/>
    <n v="70"/>
    <n v="500"/>
    <n v="45"/>
    <n v="80"/>
    <n v="1000000"/>
    <n v="1.5"/>
    <n v="70"/>
    <n v="50"/>
    <n v="50"/>
    <n v="123"/>
    <n v="55"/>
    <n v="80"/>
    <n v="105"/>
    <n v="56"/>
    <x v="0"/>
    <x v="0"/>
  </r>
  <r>
    <x v="123"/>
    <s v="Rougelaルージュラ"/>
    <x v="13"/>
    <x v="10"/>
    <x v="76"/>
    <s v="Oblivious"/>
    <s v="Forewarn"/>
    <s v="Dry Skin"/>
    <s v=""/>
    <s v=""/>
    <s v=""/>
    <n v="2"/>
    <n v="2"/>
    <n v="1"/>
    <n v="1"/>
    <n v="1"/>
    <n v="1"/>
    <n v="2"/>
    <n v="1"/>
    <n v="2"/>
    <n v="1"/>
    <n v="1"/>
    <n v="0.5"/>
    <n v="1"/>
    <n v="1"/>
    <n v="0.5"/>
    <n v="2"/>
    <n v="2"/>
    <n v="1"/>
    <n v="50"/>
    <n v="6400"/>
    <n v="70"/>
    <n v="455"/>
    <n v="45"/>
    <n v="35"/>
    <n v="1000000"/>
    <n v="1.4"/>
    <n v="65"/>
    <n v="0"/>
    <n v="100"/>
    <n v="124"/>
    <n v="115"/>
    <n v="95"/>
    <n v="95"/>
    <n v="40.6"/>
    <x v="0"/>
    <x v="0"/>
  </r>
  <r>
    <x v="124"/>
    <s v="Elebooエレブー"/>
    <x v="6"/>
    <x v="1"/>
    <x v="77"/>
    <s v="Static"/>
    <s v="Vital Spirit"/>
    <s v=""/>
    <s v=""/>
    <s v=""/>
    <s v=""/>
    <n v="1"/>
    <n v="1"/>
    <n v="1"/>
    <n v="0.5"/>
    <n v="1"/>
    <n v="1"/>
    <n v="1"/>
    <n v="0.5"/>
    <n v="1"/>
    <n v="1"/>
    <n v="2"/>
    <n v="1"/>
    <n v="1"/>
    <n v="1"/>
    <n v="1"/>
    <n v="1"/>
    <n v="0.5"/>
    <n v="1"/>
    <n v="83"/>
    <n v="6400"/>
    <n v="70"/>
    <n v="490"/>
    <n v="45"/>
    <n v="57"/>
    <n v="1000000"/>
    <n v="1.1000000000000001"/>
    <n v="65"/>
    <n v="75.400000000000006"/>
    <n v="24.599999999999994"/>
    <n v="125"/>
    <n v="95"/>
    <n v="85"/>
    <n v="105"/>
    <n v="30"/>
    <x v="0"/>
    <x v="0"/>
  </r>
  <r>
    <x v="125"/>
    <s v="Booberブーバー"/>
    <x v="1"/>
    <x v="1"/>
    <x v="78"/>
    <s v="Flame Body"/>
    <s v="Vital Spirit"/>
    <s v=""/>
    <s v=""/>
    <s v=""/>
    <s v=""/>
    <n v="0.5"/>
    <n v="1"/>
    <n v="1"/>
    <n v="1"/>
    <n v="0.5"/>
    <n v="1"/>
    <n v="0.5"/>
    <n v="1"/>
    <n v="1"/>
    <n v="0.5"/>
    <n v="2"/>
    <n v="0.5"/>
    <n v="1"/>
    <n v="1"/>
    <n v="1"/>
    <n v="2"/>
    <n v="0.5"/>
    <n v="2"/>
    <n v="95"/>
    <n v="6400"/>
    <n v="70"/>
    <n v="495"/>
    <n v="45"/>
    <n v="57"/>
    <n v="1000000"/>
    <n v="1.3"/>
    <n v="65"/>
    <n v="75.400000000000006"/>
    <n v="24.599999999999994"/>
    <n v="126"/>
    <n v="100"/>
    <n v="85"/>
    <n v="93"/>
    <n v="44.5"/>
    <x v="0"/>
    <x v="0"/>
  </r>
  <r>
    <x v="126"/>
    <s v="Kailiosカイロス"/>
    <x v="3"/>
    <x v="1"/>
    <x v="79"/>
    <s v="Hyper Cutter"/>
    <s v="Mold Breaker"/>
    <s v="Moxie"/>
    <s v=""/>
    <s v=""/>
    <s v=""/>
    <n v="1"/>
    <n v="1"/>
    <n v="1"/>
    <n v="1"/>
    <n v="1"/>
    <n v="0.5"/>
    <n v="2"/>
    <n v="2"/>
    <n v="1"/>
    <n v="0.5"/>
    <n v="0.5"/>
    <n v="1"/>
    <n v="1"/>
    <n v="1"/>
    <n v="1"/>
    <n v="2"/>
    <n v="1"/>
    <n v="1"/>
    <n v="155"/>
    <n v="6400"/>
    <n v="70"/>
    <n v="600"/>
    <n v="45"/>
    <n v="120"/>
    <n v="1250000"/>
    <n v="1.5"/>
    <n v="65"/>
    <n v="50"/>
    <n v="50"/>
    <n v="127"/>
    <n v="65"/>
    <n v="90"/>
    <n v="105"/>
    <n v="55"/>
    <x v="0"/>
    <x v="0"/>
  </r>
  <r>
    <x v="127"/>
    <s v="Kentaurosケンタロス"/>
    <x v="4"/>
    <x v="1"/>
    <x v="80"/>
    <s v="Intimidate"/>
    <s v="Anger Point"/>
    <s v="Sheer Force"/>
    <s v=""/>
    <s v=""/>
    <s v=""/>
    <n v="1"/>
    <n v="1"/>
    <n v="1"/>
    <n v="1"/>
    <n v="1"/>
    <n v="2"/>
    <n v="1"/>
    <n v="1"/>
    <n v="0"/>
    <n v="1"/>
    <n v="1"/>
    <n v="1"/>
    <n v="1"/>
    <n v="1"/>
    <n v="1"/>
    <n v="1"/>
    <n v="1"/>
    <n v="1"/>
    <n v="100"/>
    <n v="5120"/>
    <n v="70"/>
    <n v="490"/>
    <n v="45"/>
    <n v="95"/>
    <n v="1250000"/>
    <n v="1.4"/>
    <n v="75"/>
    <n v="100"/>
    <n v="0"/>
    <n v="128"/>
    <n v="40"/>
    <n v="70"/>
    <n v="110"/>
    <n v="88.4"/>
    <x v="0"/>
    <x v="0"/>
  </r>
  <r>
    <x v="128"/>
    <s v="Koikingコイキング"/>
    <x v="2"/>
    <x v="1"/>
    <x v="81"/>
    <s v="Swift Swim"/>
    <s v="Rattled"/>
    <s v=""/>
    <s v=""/>
    <s v=""/>
    <s v=""/>
    <n v="1"/>
    <n v="1"/>
    <n v="1"/>
    <n v="2"/>
    <n v="1"/>
    <n v="1"/>
    <n v="0.5"/>
    <n v="1"/>
    <n v="1"/>
    <n v="2"/>
    <n v="1"/>
    <n v="0.5"/>
    <n v="1"/>
    <n v="1"/>
    <n v="1"/>
    <n v="1"/>
    <n v="0.5"/>
    <n v="0.5"/>
    <n v="10"/>
    <n v="1280"/>
    <n v="70"/>
    <n v="200"/>
    <n v="255"/>
    <n v="55"/>
    <n v="1250000"/>
    <n v="0.9"/>
    <n v="20"/>
    <n v="50"/>
    <n v="50"/>
    <n v="129"/>
    <n v="15"/>
    <n v="20"/>
    <n v="80"/>
    <n v="10"/>
    <x v="0"/>
    <x v="0"/>
  </r>
  <r>
    <x v="129"/>
    <s v="Gyaradosギャラドス"/>
    <x v="2"/>
    <x v="2"/>
    <x v="82"/>
    <s v="Intimidate"/>
    <s v="Moxie"/>
    <s v=""/>
    <s v=""/>
    <s v=""/>
    <s v=""/>
    <n v="0.5"/>
    <n v="1"/>
    <n v="1"/>
    <n v="4"/>
    <n v="1"/>
    <n v="0.5"/>
    <n v="0.5"/>
    <n v="1"/>
    <n v="1"/>
    <n v="1"/>
    <n v="0"/>
    <n v="1"/>
    <n v="1"/>
    <n v="1"/>
    <n v="1"/>
    <n v="2"/>
    <n v="0.5"/>
    <n v="0.5"/>
    <n v="155"/>
    <n v="1280"/>
    <n v="70"/>
    <n v="640"/>
    <n v="45"/>
    <n v="109"/>
    <n v="1250000"/>
    <n v="6.5"/>
    <n v="95"/>
    <n v="50"/>
    <n v="50"/>
    <n v="130"/>
    <n v="70"/>
    <n v="130"/>
    <n v="81"/>
    <n v="235"/>
    <x v="0"/>
    <x v="0"/>
  </r>
  <r>
    <x v="130"/>
    <s v="Laplaceラプラス"/>
    <x v="2"/>
    <x v="5"/>
    <x v="83"/>
    <s v="Water Absorb"/>
    <s v="Shell Armor"/>
    <s v="Hydration"/>
    <s v=""/>
    <s v=""/>
    <s v=""/>
    <n v="1"/>
    <n v="1"/>
    <n v="1"/>
    <n v="2"/>
    <n v="1"/>
    <n v="2"/>
    <n v="1"/>
    <n v="1"/>
    <n v="1"/>
    <n v="2"/>
    <n v="1"/>
    <n v="0.25"/>
    <n v="1"/>
    <n v="1"/>
    <n v="1"/>
    <n v="2"/>
    <n v="1"/>
    <n v="0.5"/>
    <n v="85"/>
    <n v="10240"/>
    <n v="70"/>
    <n v="535"/>
    <n v="45"/>
    <n v="80"/>
    <n v="1250000"/>
    <n v="2.5"/>
    <n v="130"/>
    <n v="50"/>
    <n v="50"/>
    <n v="131"/>
    <n v="85"/>
    <n v="95"/>
    <n v="60"/>
    <n v="220"/>
    <x v="0"/>
    <x v="0"/>
  </r>
  <r>
    <x v="131"/>
    <s v="Metamonメタモン"/>
    <x v="4"/>
    <x v="1"/>
    <x v="84"/>
    <s v="Limber"/>
    <s v="Imposter"/>
    <s v=""/>
    <s v=""/>
    <s v=""/>
    <s v=""/>
    <n v="1"/>
    <n v="1"/>
    <n v="1"/>
    <n v="1"/>
    <n v="1"/>
    <n v="2"/>
    <n v="1"/>
    <n v="1"/>
    <n v="0"/>
    <n v="1"/>
    <n v="1"/>
    <n v="1"/>
    <n v="1"/>
    <n v="1"/>
    <n v="1"/>
    <n v="1"/>
    <n v="1"/>
    <n v="1"/>
    <n v="48"/>
    <n v="5120"/>
    <n v="70"/>
    <n v="288"/>
    <n v="35"/>
    <n v="48"/>
    <n v="1000000"/>
    <n v="0.3"/>
    <n v="48"/>
    <s v=""/>
    <s v=""/>
    <n v="132"/>
    <n v="48"/>
    <n v="48"/>
    <n v="48"/>
    <n v="4"/>
    <x v="0"/>
    <x v="0"/>
  </r>
  <r>
    <x v="132"/>
    <s v="Eievuiイーブイ"/>
    <x v="4"/>
    <x v="1"/>
    <x v="85"/>
    <s v="Run Away"/>
    <s v="Adaptability"/>
    <s v="Anticipation"/>
    <s v=""/>
    <s v=""/>
    <s v=""/>
    <n v="1"/>
    <n v="1"/>
    <n v="1"/>
    <n v="1"/>
    <n v="1"/>
    <n v="2"/>
    <n v="1"/>
    <n v="1"/>
    <n v="0"/>
    <n v="1"/>
    <n v="1"/>
    <n v="1"/>
    <n v="1"/>
    <n v="1"/>
    <n v="1"/>
    <n v="1"/>
    <n v="1"/>
    <n v="1"/>
    <n v="55"/>
    <n v="8960"/>
    <n v="70"/>
    <n v="325"/>
    <n v="45"/>
    <n v="50"/>
    <n v="1000000"/>
    <n v="0.3"/>
    <n v="55"/>
    <n v="88.1"/>
    <n v="11.900000000000006"/>
    <n v="133"/>
    <n v="45"/>
    <n v="65"/>
    <n v="55"/>
    <n v="6.5"/>
    <x v="0"/>
    <x v="0"/>
  </r>
  <r>
    <x v="133"/>
    <s v="Showersシャワーズ"/>
    <x v="2"/>
    <x v="1"/>
    <x v="86"/>
    <s v="Water Absorb"/>
    <s v="Hydration"/>
    <s v=""/>
    <s v=""/>
    <s v=""/>
    <s v=""/>
    <n v="1"/>
    <n v="1"/>
    <n v="1"/>
    <n v="2"/>
    <n v="1"/>
    <n v="1"/>
    <n v="0.5"/>
    <n v="1"/>
    <n v="1"/>
    <n v="2"/>
    <n v="1"/>
    <n v="0.5"/>
    <n v="1"/>
    <n v="1"/>
    <n v="1"/>
    <n v="1"/>
    <n v="0.5"/>
    <n v="0.5"/>
    <n v="65"/>
    <n v="8960"/>
    <n v="70"/>
    <n v="525"/>
    <n v="45"/>
    <n v="60"/>
    <n v="1000000"/>
    <n v="1"/>
    <n v="130"/>
    <n v="88.1"/>
    <n v="11.900000000000006"/>
    <n v="134"/>
    <n v="110"/>
    <n v="95"/>
    <n v="65"/>
    <n v="29"/>
    <x v="0"/>
    <x v="0"/>
  </r>
  <r>
    <x v="134"/>
    <s v="Thundersサンダース"/>
    <x v="6"/>
    <x v="1"/>
    <x v="87"/>
    <s v="Volt Absorb"/>
    <s v="Quick Feet"/>
    <s v=""/>
    <s v=""/>
    <s v=""/>
    <s v=""/>
    <n v="1"/>
    <n v="1"/>
    <n v="1"/>
    <n v="0.5"/>
    <n v="1"/>
    <n v="1"/>
    <n v="1"/>
    <n v="0.5"/>
    <n v="1"/>
    <n v="1"/>
    <n v="2"/>
    <n v="1"/>
    <n v="1"/>
    <n v="1"/>
    <n v="1"/>
    <n v="1"/>
    <n v="0.5"/>
    <n v="1"/>
    <n v="65"/>
    <n v="8960"/>
    <n v="70"/>
    <n v="525"/>
    <n v="45"/>
    <n v="60"/>
    <n v="1000000"/>
    <n v="0.8"/>
    <n v="65"/>
    <n v="88.1"/>
    <n v="11.900000000000006"/>
    <n v="135"/>
    <n v="110"/>
    <n v="95"/>
    <n v="130"/>
    <n v="24.5"/>
    <x v="0"/>
    <x v="0"/>
  </r>
  <r>
    <x v="135"/>
    <s v="Boosterブースター"/>
    <x v="1"/>
    <x v="1"/>
    <x v="2"/>
    <s v="Flash Fire"/>
    <s v="Guts"/>
    <s v=""/>
    <s v=""/>
    <s v=""/>
    <s v=""/>
    <n v="0.5"/>
    <n v="1"/>
    <n v="1"/>
    <n v="1"/>
    <n v="0.5"/>
    <n v="1"/>
    <n v="0.5"/>
    <n v="1"/>
    <n v="1"/>
    <n v="0.5"/>
    <n v="2"/>
    <n v="0.5"/>
    <n v="1"/>
    <n v="1"/>
    <n v="1"/>
    <n v="2"/>
    <n v="0.5"/>
    <n v="2"/>
    <n v="130"/>
    <n v="8960"/>
    <n v="70"/>
    <n v="525"/>
    <n v="45"/>
    <n v="60"/>
    <n v="1000000"/>
    <n v="0.9"/>
    <n v="65"/>
    <n v="88.1"/>
    <n v="11.900000000000006"/>
    <n v="136"/>
    <n v="95"/>
    <n v="110"/>
    <n v="65"/>
    <n v="25"/>
    <x v="0"/>
    <x v="0"/>
  </r>
  <r>
    <x v="136"/>
    <s v="Porygonポリゴン"/>
    <x v="4"/>
    <x v="1"/>
    <x v="88"/>
    <s v="Trace"/>
    <s v="Download"/>
    <s v="Analytic"/>
    <s v=""/>
    <s v=""/>
    <s v=""/>
    <n v="1"/>
    <n v="1"/>
    <n v="1"/>
    <n v="1"/>
    <n v="1"/>
    <n v="2"/>
    <n v="1"/>
    <n v="1"/>
    <n v="0"/>
    <n v="1"/>
    <n v="1"/>
    <n v="1"/>
    <n v="1"/>
    <n v="1"/>
    <n v="1"/>
    <n v="1"/>
    <n v="1"/>
    <n v="1"/>
    <n v="60"/>
    <n v="5120"/>
    <n v="70"/>
    <n v="395"/>
    <n v="45"/>
    <n v="70"/>
    <n v="1000000"/>
    <n v="0.8"/>
    <n v="65"/>
    <s v=""/>
    <s v=""/>
    <n v="137"/>
    <n v="85"/>
    <n v="75"/>
    <n v="40"/>
    <n v="36.5"/>
    <x v="0"/>
    <x v="0"/>
  </r>
  <r>
    <x v="137"/>
    <s v="Omniteオムナイト"/>
    <x v="11"/>
    <x v="14"/>
    <x v="89"/>
    <s v="Swift Swim"/>
    <s v="Shell Armor"/>
    <s v="Weak Armor"/>
    <s v=""/>
    <s v=""/>
    <s v=""/>
    <n v="1"/>
    <n v="1"/>
    <n v="1"/>
    <n v="2"/>
    <n v="1"/>
    <n v="2"/>
    <n v="0.25"/>
    <n v="0.5"/>
    <n v="1"/>
    <n v="4"/>
    <n v="2"/>
    <n v="0.5"/>
    <n v="0.5"/>
    <n v="0.5"/>
    <n v="1"/>
    <n v="1"/>
    <n v="1"/>
    <n v="1"/>
    <n v="40"/>
    <n v="7680"/>
    <n v="70"/>
    <n v="355"/>
    <n v="45"/>
    <n v="100"/>
    <n v="1000000"/>
    <n v="0.4"/>
    <n v="35"/>
    <n v="88.1"/>
    <n v="11.900000000000006"/>
    <n v="138"/>
    <n v="90"/>
    <n v="55"/>
    <n v="35"/>
    <n v="7.5"/>
    <x v="0"/>
    <x v="0"/>
  </r>
  <r>
    <x v="138"/>
    <s v="Omstarオムスター"/>
    <x v="11"/>
    <x v="14"/>
    <x v="89"/>
    <s v="Swift Swim"/>
    <s v="Shell Armor"/>
    <s v="Weak Armor"/>
    <s v=""/>
    <s v=""/>
    <s v=""/>
    <n v="1"/>
    <n v="1"/>
    <n v="1"/>
    <n v="2"/>
    <n v="1"/>
    <n v="2"/>
    <n v="0.25"/>
    <n v="0.5"/>
    <n v="1"/>
    <n v="4"/>
    <n v="2"/>
    <n v="0.5"/>
    <n v="0.5"/>
    <n v="0.5"/>
    <n v="1"/>
    <n v="1"/>
    <n v="1"/>
    <n v="1"/>
    <n v="60"/>
    <n v="7680"/>
    <n v="70"/>
    <n v="495"/>
    <n v="45"/>
    <n v="125"/>
    <n v="1000000"/>
    <n v="1"/>
    <n v="70"/>
    <n v="88.1"/>
    <n v="11.900000000000006"/>
    <n v="139"/>
    <n v="115"/>
    <n v="70"/>
    <n v="55"/>
    <n v="35"/>
    <x v="0"/>
    <x v="0"/>
  </r>
  <r>
    <x v="139"/>
    <s v="Kabutoカブト"/>
    <x v="11"/>
    <x v="14"/>
    <x v="5"/>
    <s v="Swift Swim"/>
    <s v="Battle Armor"/>
    <s v="Weak Armor"/>
    <s v=""/>
    <s v=""/>
    <s v=""/>
    <n v="1"/>
    <n v="1"/>
    <n v="1"/>
    <n v="2"/>
    <n v="1"/>
    <n v="2"/>
    <n v="0.25"/>
    <n v="0.5"/>
    <n v="1"/>
    <n v="4"/>
    <n v="2"/>
    <n v="0.5"/>
    <n v="0.5"/>
    <n v="0.5"/>
    <n v="1"/>
    <n v="1"/>
    <n v="1"/>
    <n v="1"/>
    <n v="80"/>
    <n v="7680"/>
    <n v="70"/>
    <n v="355"/>
    <n v="45"/>
    <n v="90"/>
    <n v="1000000"/>
    <n v="0.5"/>
    <n v="30"/>
    <n v="88.1"/>
    <n v="11.900000000000006"/>
    <n v="140"/>
    <n v="55"/>
    <n v="45"/>
    <n v="55"/>
    <n v="11.5"/>
    <x v="0"/>
    <x v="0"/>
  </r>
  <r>
    <x v="140"/>
    <s v="Kabutopsカブトプス"/>
    <x v="11"/>
    <x v="14"/>
    <x v="5"/>
    <s v="Swift Swim"/>
    <s v="Battle Armor"/>
    <s v="Weak Armor"/>
    <s v=""/>
    <s v=""/>
    <s v=""/>
    <n v="1"/>
    <n v="1"/>
    <n v="1"/>
    <n v="2"/>
    <n v="1"/>
    <n v="2"/>
    <n v="0.25"/>
    <n v="0.5"/>
    <n v="1"/>
    <n v="4"/>
    <n v="2"/>
    <n v="0.5"/>
    <n v="0.5"/>
    <n v="0.5"/>
    <n v="1"/>
    <n v="1"/>
    <n v="1"/>
    <n v="1"/>
    <n v="115"/>
    <n v="7680"/>
    <n v="70"/>
    <n v="495"/>
    <n v="45"/>
    <n v="105"/>
    <n v="1000000"/>
    <n v="1.3"/>
    <n v="60"/>
    <n v="88.1"/>
    <n v="11.900000000000006"/>
    <n v="141"/>
    <n v="65"/>
    <n v="70"/>
    <n v="80"/>
    <n v="40.5"/>
    <x v="0"/>
    <x v="0"/>
  </r>
  <r>
    <x v="141"/>
    <s v="Pteraプテラ"/>
    <x v="11"/>
    <x v="2"/>
    <x v="90"/>
    <s v="Rock Head"/>
    <s v="Pressure"/>
    <s v="Unnerve"/>
    <s v=""/>
    <s v=""/>
    <s v=""/>
    <n v="0.5"/>
    <n v="1"/>
    <n v="1"/>
    <n v="2"/>
    <n v="1"/>
    <n v="1"/>
    <n v="0.5"/>
    <n v="0.5"/>
    <n v="1"/>
    <n v="1"/>
    <n v="0"/>
    <n v="2"/>
    <n v="0.5"/>
    <n v="0.5"/>
    <n v="1"/>
    <n v="2"/>
    <n v="2"/>
    <n v="2"/>
    <n v="135"/>
    <n v="8960"/>
    <n v="70"/>
    <n v="615"/>
    <n v="45"/>
    <n v="85"/>
    <n v="1250000"/>
    <n v="1.8"/>
    <n v="80"/>
    <n v="88.1"/>
    <n v="11.900000000000006"/>
    <n v="142"/>
    <n v="70"/>
    <n v="95"/>
    <n v="150"/>
    <n v="59"/>
    <x v="0"/>
    <x v="0"/>
  </r>
  <r>
    <x v="142"/>
    <s v="Kabigonカビゴン"/>
    <x v="4"/>
    <x v="1"/>
    <x v="91"/>
    <s v="Immunity"/>
    <s v="Thick Fat"/>
    <s v="Gluttony"/>
    <s v=""/>
    <s v=""/>
    <s v=""/>
    <n v="1"/>
    <n v="1"/>
    <n v="1"/>
    <n v="1"/>
    <n v="1"/>
    <n v="2"/>
    <n v="1"/>
    <n v="1"/>
    <n v="0"/>
    <n v="1"/>
    <n v="1"/>
    <n v="1"/>
    <n v="1"/>
    <n v="1"/>
    <n v="1"/>
    <n v="1"/>
    <n v="1"/>
    <n v="1"/>
    <n v="110"/>
    <n v="10240"/>
    <n v="70"/>
    <n v="540"/>
    <n v="25"/>
    <n v="65"/>
    <n v="1250000"/>
    <n v="2.1"/>
    <n v="160"/>
    <n v="88.1"/>
    <n v="11.900000000000006"/>
    <n v="143"/>
    <n v="65"/>
    <n v="110"/>
    <n v="30"/>
    <n v="460"/>
    <x v="0"/>
    <x v="0"/>
  </r>
  <r>
    <x v="143"/>
    <s v="Freezerフリーザー"/>
    <x v="13"/>
    <x v="2"/>
    <x v="92"/>
    <s v="Pressure"/>
    <s v="Snow Cloak"/>
    <s v=""/>
    <s v=""/>
    <s v=""/>
    <s v=""/>
    <n v="0.5"/>
    <n v="1"/>
    <n v="1"/>
    <n v="2"/>
    <n v="1"/>
    <n v="1"/>
    <n v="2"/>
    <n v="1"/>
    <n v="1"/>
    <n v="0.5"/>
    <n v="0"/>
    <n v="1"/>
    <n v="1"/>
    <n v="1"/>
    <n v="1"/>
    <n v="4"/>
    <n v="2"/>
    <n v="1"/>
    <n v="85"/>
    <n v="20480"/>
    <n v="35"/>
    <n v="580"/>
    <n v="3"/>
    <n v="100"/>
    <n v="1250000"/>
    <n v="1.7"/>
    <n v="90"/>
    <s v=""/>
    <s v=""/>
    <n v="144"/>
    <n v="95"/>
    <n v="125"/>
    <n v="85"/>
    <n v="55.4"/>
    <x v="0"/>
    <x v="1"/>
  </r>
  <r>
    <x v="144"/>
    <s v="Thunderサンダー"/>
    <x v="6"/>
    <x v="2"/>
    <x v="77"/>
    <s v="Pressure"/>
    <s v="Static"/>
    <s v=""/>
    <s v=""/>
    <s v=""/>
    <s v=""/>
    <n v="0.5"/>
    <n v="1"/>
    <n v="1"/>
    <n v="1"/>
    <n v="1"/>
    <n v="0.5"/>
    <n v="1"/>
    <n v="0.5"/>
    <n v="1"/>
    <n v="0.5"/>
    <n v="0"/>
    <n v="2"/>
    <n v="1"/>
    <n v="1"/>
    <n v="1"/>
    <n v="2"/>
    <n v="0.5"/>
    <n v="1"/>
    <n v="90"/>
    <n v="20480"/>
    <n v="35"/>
    <n v="580"/>
    <n v="3"/>
    <n v="85"/>
    <n v="1250000"/>
    <n v="1.6"/>
    <n v="90"/>
    <s v=""/>
    <s v=""/>
    <n v="145"/>
    <n v="125"/>
    <n v="90"/>
    <n v="100"/>
    <n v="52.6"/>
    <x v="0"/>
    <x v="1"/>
  </r>
  <r>
    <x v="145"/>
    <s v="Fireファイヤー"/>
    <x v="1"/>
    <x v="2"/>
    <x v="2"/>
    <s v="Pressure"/>
    <s v="Flame Body"/>
    <s v=""/>
    <s v=""/>
    <s v=""/>
    <s v=""/>
    <n v="0.25"/>
    <n v="1"/>
    <n v="1"/>
    <n v="2"/>
    <n v="0.5"/>
    <n v="0.5"/>
    <n v="0.5"/>
    <n v="1"/>
    <n v="1"/>
    <n v="0.25"/>
    <n v="0"/>
    <n v="1"/>
    <n v="1"/>
    <n v="1"/>
    <n v="1"/>
    <n v="4"/>
    <n v="0.5"/>
    <n v="2"/>
    <n v="100"/>
    <n v="20480"/>
    <n v="35"/>
    <n v="580"/>
    <n v="3"/>
    <n v="90"/>
    <n v="1250000"/>
    <n v="2"/>
    <n v="90"/>
    <s v=""/>
    <s v=""/>
    <n v="146"/>
    <n v="125"/>
    <n v="85"/>
    <n v="90"/>
    <n v="60"/>
    <x v="0"/>
    <x v="1"/>
  </r>
  <r>
    <x v="146"/>
    <s v="Miniryuミニリュウ"/>
    <x v="14"/>
    <x v="1"/>
    <x v="70"/>
    <s v="Shed Skin"/>
    <s v="Marvel Scale"/>
    <s v=""/>
    <s v=""/>
    <s v=""/>
    <s v=""/>
    <n v="1"/>
    <n v="1"/>
    <n v="2"/>
    <n v="0.5"/>
    <n v="2"/>
    <n v="1"/>
    <n v="0.5"/>
    <n v="1"/>
    <n v="1"/>
    <n v="0.5"/>
    <n v="1"/>
    <n v="2"/>
    <n v="1"/>
    <n v="1"/>
    <n v="1"/>
    <n v="1"/>
    <n v="1"/>
    <n v="0.5"/>
    <n v="64"/>
    <n v="10240"/>
    <n v="35"/>
    <n v="300"/>
    <n v="45"/>
    <n v="45"/>
    <n v="1250000"/>
    <n v="1.8"/>
    <n v="41"/>
    <n v="50"/>
    <n v="50"/>
    <n v="147"/>
    <n v="50"/>
    <n v="50"/>
    <n v="50"/>
    <n v="3.3"/>
    <x v="0"/>
    <x v="0"/>
  </r>
  <r>
    <x v="147"/>
    <s v="Hakuryuハクリュー"/>
    <x v="14"/>
    <x v="1"/>
    <x v="70"/>
    <s v="Shed Skin"/>
    <s v="Marvel Scale"/>
    <s v=""/>
    <s v=""/>
    <s v=""/>
    <s v=""/>
    <n v="1"/>
    <n v="1"/>
    <n v="2"/>
    <n v="0.5"/>
    <n v="2"/>
    <n v="1"/>
    <n v="0.5"/>
    <n v="1"/>
    <n v="1"/>
    <n v="0.5"/>
    <n v="1"/>
    <n v="2"/>
    <n v="1"/>
    <n v="1"/>
    <n v="1"/>
    <n v="1"/>
    <n v="1"/>
    <n v="0.5"/>
    <n v="84"/>
    <n v="10240"/>
    <n v="35"/>
    <n v="420"/>
    <n v="45"/>
    <n v="65"/>
    <n v="1250000"/>
    <n v="4"/>
    <n v="61"/>
    <n v="50"/>
    <n v="50"/>
    <n v="148"/>
    <n v="70"/>
    <n v="70"/>
    <n v="70"/>
    <n v="16.5"/>
    <x v="0"/>
    <x v="0"/>
  </r>
  <r>
    <x v="148"/>
    <s v="Kairyuカイリュー"/>
    <x v="14"/>
    <x v="2"/>
    <x v="70"/>
    <s v="Inner Focus"/>
    <s v="Multiscale"/>
    <s v=""/>
    <s v=""/>
    <s v=""/>
    <s v=""/>
    <n v="0.5"/>
    <n v="1"/>
    <n v="2"/>
    <n v="1"/>
    <n v="2"/>
    <n v="0.5"/>
    <n v="0.5"/>
    <n v="1"/>
    <n v="1"/>
    <n v="0.25"/>
    <n v="0"/>
    <n v="4"/>
    <n v="1"/>
    <n v="1"/>
    <n v="1"/>
    <n v="2"/>
    <n v="1"/>
    <n v="0.5"/>
    <n v="134"/>
    <n v="10240"/>
    <n v="35"/>
    <n v="600"/>
    <n v="45"/>
    <n v="95"/>
    <n v="1250000"/>
    <n v="2.2000000000000002"/>
    <n v="91"/>
    <n v="50"/>
    <n v="50"/>
    <n v="149"/>
    <n v="100"/>
    <n v="100"/>
    <n v="80"/>
    <n v="210"/>
    <x v="0"/>
    <x v="0"/>
  </r>
  <r>
    <x v="149"/>
    <s v="Mewtwoミュウツー"/>
    <x v="10"/>
    <x v="1"/>
    <x v="93"/>
    <s v="Pressure"/>
    <s v="Unnerve"/>
    <s v=""/>
    <s v=""/>
    <s v=""/>
    <s v=""/>
    <n v="2"/>
    <n v="2"/>
    <n v="1"/>
    <n v="1"/>
    <n v="1"/>
    <n v="0.5"/>
    <n v="1"/>
    <n v="1"/>
    <n v="2"/>
    <n v="1"/>
    <n v="1"/>
    <n v="1"/>
    <n v="1"/>
    <n v="1"/>
    <n v="0.5"/>
    <n v="1"/>
    <n v="1"/>
    <n v="1"/>
    <n v="150"/>
    <n v="30720"/>
    <n v="0"/>
    <n v="780"/>
    <n v="3"/>
    <n v="70"/>
    <n v="1250000"/>
    <n v="2"/>
    <n v="106"/>
    <s v=""/>
    <s v=""/>
    <n v="150"/>
    <n v="194"/>
    <n v="120"/>
    <n v="140"/>
    <n v="122"/>
    <x v="0"/>
    <x v="1"/>
  </r>
  <r>
    <x v="150"/>
    <s v="Mewミュウ"/>
    <x v="10"/>
    <x v="1"/>
    <x v="94"/>
    <s v="Synchronize"/>
    <s v=""/>
    <s v=""/>
    <s v=""/>
    <s v=""/>
    <s v=""/>
    <n v="2"/>
    <n v="2"/>
    <n v="1"/>
    <n v="1"/>
    <n v="1"/>
    <n v="0.5"/>
    <n v="1"/>
    <n v="1"/>
    <n v="2"/>
    <n v="1"/>
    <n v="1"/>
    <n v="1"/>
    <n v="1"/>
    <n v="1"/>
    <n v="0.5"/>
    <n v="1"/>
    <n v="1"/>
    <n v="1"/>
    <n v="100"/>
    <n v="30720"/>
    <n v="100"/>
    <n v="600"/>
    <n v="45"/>
    <n v="100"/>
    <n v="1059860"/>
    <n v="0.4"/>
    <n v="100"/>
    <s v=""/>
    <s v=""/>
    <n v="151"/>
    <n v="100"/>
    <n v="100"/>
    <n v="100"/>
    <n v="4"/>
    <x v="0"/>
    <x v="1"/>
  </r>
  <r>
    <x v="151"/>
    <s v="Chicoritaチコリータ"/>
    <x v="0"/>
    <x v="1"/>
    <x v="95"/>
    <s v="Overgrow"/>
    <s v="Leaf Guard"/>
    <s v=""/>
    <s v=""/>
    <s v=""/>
    <s v=""/>
    <n v="2"/>
    <n v="1"/>
    <n v="1"/>
    <n v="0.5"/>
    <n v="1"/>
    <n v="1"/>
    <n v="2"/>
    <n v="2"/>
    <n v="1"/>
    <n v="0.5"/>
    <n v="0.5"/>
    <n v="2"/>
    <n v="1"/>
    <n v="2"/>
    <n v="1"/>
    <n v="1"/>
    <n v="1"/>
    <n v="0.5"/>
    <n v="49"/>
    <n v="5120"/>
    <n v="70"/>
    <n v="318"/>
    <n v="45"/>
    <n v="65"/>
    <n v="1059860"/>
    <n v="0.9"/>
    <n v="45"/>
    <n v="88.1"/>
    <n v="11.900000000000006"/>
    <n v="152"/>
    <n v="49"/>
    <n v="65"/>
    <n v="45"/>
    <n v="6.4"/>
    <x v="1"/>
    <x v="0"/>
  </r>
  <r>
    <x v="152"/>
    <s v="Bayleafベイリーフ"/>
    <x v="0"/>
    <x v="1"/>
    <x v="95"/>
    <s v="Overgrow"/>
    <s v="Leaf Guard"/>
    <s v=""/>
    <s v=""/>
    <s v=""/>
    <s v=""/>
    <n v="2"/>
    <n v="1"/>
    <n v="1"/>
    <n v="0.5"/>
    <n v="1"/>
    <n v="1"/>
    <n v="2"/>
    <n v="2"/>
    <n v="1"/>
    <n v="0.5"/>
    <n v="0.5"/>
    <n v="2"/>
    <n v="1"/>
    <n v="2"/>
    <n v="1"/>
    <n v="1"/>
    <n v="1"/>
    <n v="0.5"/>
    <n v="62"/>
    <n v="5120"/>
    <n v="70"/>
    <n v="405"/>
    <n v="45"/>
    <n v="80"/>
    <n v="1059860"/>
    <n v="1.2"/>
    <n v="60"/>
    <n v="88.1"/>
    <n v="11.900000000000006"/>
    <n v="153"/>
    <n v="63"/>
    <n v="80"/>
    <n v="60"/>
    <n v="15.8"/>
    <x v="1"/>
    <x v="0"/>
  </r>
  <r>
    <x v="153"/>
    <s v="Meganiumメガニウム"/>
    <x v="0"/>
    <x v="1"/>
    <x v="96"/>
    <s v="Overgrow"/>
    <s v="Leaf Guard"/>
    <s v=""/>
    <s v=""/>
    <s v=""/>
    <s v=""/>
    <n v="2"/>
    <n v="1"/>
    <n v="1"/>
    <n v="0.5"/>
    <n v="1"/>
    <n v="1"/>
    <n v="2"/>
    <n v="2"/>
    <n v="1"/>
    <n v="0.5"/>
    <n v="0.5"/>
    <n v="2"/>
    <n v="1"/>
    <n v="2"/>
    <n v="1"/>
    <n v="1"/>
    <n v="1"/>
    <n v="0.5"/>
    <n v="82"/>
    <n v="5120"/>
    <n v="70"/>
    <n v="525"/>
    <n v="45"/>
    <n v="100"/>
    <n v="1059860"/>
    <n v="1.8"/>
    <n v="80"/>
    <n v="88.1"/>
    <n v="11.900000000000006"/>
    <n v="154"/>
    <n v="83"/>
    <n v="100"/>
    <n v="80"/>
    <n v="100.5"/>
    <x v="1"/>
    <x v="0"/>
  </r>
  <r>
    <x v="154"/>
    <s v="Hinoarashiヒノアラシ"/>
    <x v="1"/>
    <x v="1"/>
    <x v="97"/>
    <s v="Blaze"/>
    <s v="Flash Fire"/>
    <s v=""/>
    <s v=""/>
    <s v=""/>
    <s v=""/>
    <n v="0.5"/>
    <n v="1"/>
    <n v="1"/>
    <n v="1"/>
    <n v="0.5"/>
    <n v="1"/>
    <n v="0.5"/>
    <n v="1"/>
    <n v="1"/>
    <n v="0.5"/>
    <n v="2"/>
    <n v="0.5"/>
    <n v="1"/>
    <n v="1"/>
    <n v="1"/>
    <n v="2"/>
    <n v="0.5"/>
    <n v="2"/>
    <n v="52"/>
    <n v="5120"/>
    <n v="70"/>
    <n v="309"/>
    <n v="45"/>
    <n v="43"/>
    <n v="1059860"/>
    <n v="0.5"/>
    <n v="39"/>
    <n v="88.1"/>
    <n v="11.900000000000006"/>
    <n v="155"/>
    <n v="60"/>
    <n v="50"/>
    <n v="65"/>
    <n v="7.9"/>
    <x v="1"/>
    <x v="0"/>
  </r>
  <r>
    <x v="155"/>
    <s v="Magmarashiマグマラシ"/>
    <x v="1"/>
    <x v="1"/>
    <x v="98"/>
    <s v="Blaze"/>
    <s v="Flash Fire"/>
    <s v=""/>
    <s v=""/>
    <s v=""/>
    <s v=""/>
    <n v="0.5"/>
    <n v="1"/>
    <n v="1"/>
    <n v="1"/>
    <n v="0.5"/>
    <n v="1"/>
    <n v="0.5"/>
    <n v="1"/>
    <n v="1"/>
    <n v="0.5"/>
    <n v="2"/>
    <n v="0.5"/>
    <n v="1"/>
    <n v="1"/>
    <n v="1"/>
    <n v="2"/>
    <n v="0.5"/>
    <n v="2"/>
    <n v="64"/>
    <n v="5120"/>
    <n v="70"/>
    <n v="405"/>
    <n v="45"/>
    <n v="58"/>
    <n v="1059860"/>
    <n v="0.9"/>
    <n v="58"/>
    <n v="88.1"/>
    <n v="11.900000000000006"/>
    <n v="156"/>
    <n v="80"/>
    <n v="65"/>
    <n v="80"/>
    <n v="19"/>
    <x v="1"/>
    <x v="0"/>
  </r>
  <r>
    <x v="156"/>
    <s v="Bakphoonバクフーン"/>
    <x v="1"/>
    <x v="1"/>
    <x v="98"/>
    <s v="Blaze"/>
    <s v="Flash Fire"/>
    <s v=""/>
    <s v=""/>
    <s v=""/>
    <s v=""/>
    <n v="0.5"/>
    <n v="1"/>
    <n v="1"/>
    <n v="1"/>
    <n v="0.5"/>
    <n v="1"/>
    <n v="0.5"/>
    <n v="1"/>
    <n v="1"/>
    <n v="0.5"/>
    <n v="2"/>
    <n v="0.5"/>
    <n v="1"/>
    <n v="1"/>
    <n v="1"/>
    <n v="2"/>
    <n v="0.5"/>
    <n v="2"/>
    <n v="84"/>
    <n v="5120"/>
    <n v="70"/>
    <n v="534"/>
    <n v="45"/>
    <n v="78"/>
    <n v="1059860"/>
    <n v="1.7"/>
    <n v="78"/>
    <n v="88.1"/>
    <n v="11.900000000000006"/>
    <n v="157"/>
    <n v="109"/>
    <n v="85"/>
    <n v="100"/>
    <n v="79.5"/>
    <x v="1"/>
    <x v="0"/>
  </r>
  <r>
    <x v="157"/>
    <s v="Waninokoワニノコ"/>
    <x v="2"/>
    <x v="1"/>
    <x v="99"/>
    <s v="Torrent"/>
    <s v="Sheer Force"/>
    <s v=""/>
    <s v=""/>
    <s v=""/>
    <s v=""/>
    <n v="1"/>
    <n v="1"/>
    <n v="1"/>
    <n v="2"/>
    <n v="1"/>
    <n v="1"/>
    <n v="0.5"/>
    <n v="1"/>
    <n v="1"/>
    <n v="2"/>
    <n v="1"/>
    <n v="0.5"/>
    <n v="1"/>
    <n v="1"/>
    <n v="1"/>
    <n v="1"/>
    <n v="0.5"/>
    <n v="0.5"/>
    <n v="65"/>
    <n v="5120"/>
    <n v="70"/>
    <n v="314"/>
    <n v="45"/>
    <n v="64"/>
    <n v="1059860"/>
    <n v="0.6"/>
    <n v="50"/>
    <n v="88.1"/>
    <n v="11.900000000000006"/>
    <n v="158"/>
    <n v="44"/>
    <n v="48"/>
    <n v="43"/>
    <n v="9.5"/>
    <x v="1"/>
    <x v="0"/>
  </r>
  <r>
    <x v="158"/>
    <s v="Alligatesアリゲイツ"/>
    <x v="2"/>
    <x v="1"/>
    <x v="99"/>
    <s v="Torrent"/>
    <s v="Sheer Force"/>
    <s v=""/>
    <s v=""/>
    <s v=""/>
    <s v=""/>
    <n v="1"/>
    <n v="1"/>
    <n v="1"/>
    <n v="2"/>
    <n v="1"/>
    <n v="1"/>
    <n v="0.5"/>
    <n v="1"/>
    <n v="1"/>
    <n v="2"/>
    <n v="1"/>
    <n v="0.5"/>
    <n v="1"/>
    <n v="1"/>
    <n v="1"/>
    <n v="1"/>
    <n v="0.5"/>
    <n v="0.5"/>
    <n v="80"/>
    <n v="5120"/>
    <n v="70"/>
    <n v="405"/>
    <n v="45"/>
    <n v="80"/>
    <n v="1059860"/>
    <n v="1.1000000000000001"/>
    <n v="65"/>
    <n v="88.1"/>
    <n v="11.900000000000006"/>
    <n v="159"/>
    <n v="59"/>
    <n v="63"/>
    <n v="58"/>
    <n v="25"/>
    <x v="1"/>
    <x v="0"/>
  </r>
  <r>
    <x v="159"/>
    <s v="Ordileオーダイル"/>
    <x v="2"/>
    <x v="1"/>
    <x v="99"/>
    <s v="Torrent"/>
    <s v="Sheer Force"/>
    <s v=""/>
    <s v=""/>
    <s v=""/>
    <s v=""/>
    <n v="1"/>
    <n v="1"/>
    <n v="1"/>
    <n v="2"/>
    <n v="1"/>
    <n v="1"/>
    <n v="0.5"/>
    <n v="1"/>
    <n v="1"/>
    <n v="2"/>
    <n v="1"/>
    <n v="0.5"/>
    <n v="1"/>
    <n v="1"/>
    <n v="1"/>
    <n v="1"/>
    <n v="0.5"/>
    <n v="0.5"/>
    <n v="105"/>
    <n v="5120"/>
    <n v="70"/>
    <n v="530"/>
    <n v="45"/>
    <n v="100"/>
    <n v="1059860"/>
    <n v="2.2999999999999998"/>
    <n v="85"/>
    <n v="88.1"/>
    <n v="11.900000000000006"/>
    <n v="160"/>
    <n v="79"/>
    <n v="83"/>
    <n v="78"/>
    <n v="88.8"/>
    <x v="1"/>
    <x v="0"/>
  </r>
  <r>
    <x v="160"/>
    <s v="Otachiオタチ"/>
    <x v="4"/>
    <x v="1"/>
    <x v="100"/>
    <s v="Run Away"/>
    <s v="Keen Eye"/>
    <s v="Frisk"/>
    <s v=""/>
    <s v=""/>
    <s v=""/>
    <n v="1"/>
    <n v="1"/>
    <n v="1"/>
    <n v="1"/>
    <n v="1"/>
    <n v="2"/>
    <n v="1"/>
    <n v="1"/>
    <n v="0"/>
    <n v="1"/>
    <n v="1"/>
    <n v="1"/>
    <n v="1"/>
    <n v="1"/>
    <n v="1"/>
    <n v="1"/>
    <n v="1"/>
    <n v="1"/>
    <n v="46"/>
    <n v="3840"/>
    <n v="70"/>
    <n v="215"/>
    <n v="255"/>
    <n v="34"/>
    <n v="1000000"/>
    <n v="0.8"/>
    <n v="35"/>
    <n v="50"/>
    <n v="50"/>
    <n v="161"/>
    <n v="35"/>
    <n v="45"/>
    <n v="20"/>
    <n v="6"/>
    <x v="1"/>
    <x v="0"/>
  </r>
  <r>
    <x v="161"/>
    <s v="Ootachiオオタチ"/>
    <x v="4"/>
    <x v="1"/>
    <x v="101"/>
    <s v="Run Away"/>
    <s v="Keen Eye"/>
    <s v="Frisk"/>
    <s v=""/>
    <s v=""/>
    <s v=""/>
    <n v="1"/>
    <n v="1"/>
    <n v="1"/>
    <n v="1"/>
    <n v="1"/>
    <n v="2"/>
    <n v="1"/>
    <n v="1"/>
    <n v="0"/>
    <n v="1"/>
    <n v="1"/>
    <n v="1"/>
    <n v="1"/>
    <n v="1"/>
    <n v="1"/>
    <n v="1"/>
    <n v="1"/>
    <n v="1"/>
    <n v="76"/>
    <n v="3840"/>
    <n v="70"/>
    <n v="415"/>
    <n v="90"/>
    <n v="64"/>
    <n v="1000000"/>
    <n v="1.8"/>
    <n v="85"/>
    <n v="50"/>
    <n v="50"/>
    <n v="162"/>
    <n v="45"/>
    <n v="55"/>
    <n v="90"/>
    <n v="32.5"/>
    <x v="1"/>
    <x v="0"/>
  </r>
  <r>
    <x v="162"/>
    <s v="Hohoホーホー"/>
    <x v="4"/>
    <x v="2"/>
    <x v="102"/>
    <s v="Insomnia"/>
    <s v="Keen Eye"/>
    <s v="Tinted Lens"/>
    <s v=""/>
    <s v=""/>
    <s v=""/>
    <n v="0.5"/>
    <n v="1"/>
    <n v="1"/>
    <n v="2"/>
    <n v="1"/>
    <n v="1"/>
    <n v="1"/>
    <n v="1"/>
    <n v="0"/>
    <n v="0.5"/>
    <n v="0"/>
    <n v="2"/>
    <n v="1"/>
    <n v="1"/>
    <n v="1"/>
    <n v="2"/>
    <n v="1"/>
    <n v="1"/>
    <n v="30"/>
    <n v="3840"/>
    <n v="70"/>
    <n v="262"/>
    <n v="255"/>
    <n v="30"/>
    <n v="1000000"/>
    <n v="0.7"/>
    <n v="60"/>
    <n v="50"/>
    <n v="50"/>
    <n v="163"/>
    <n v="36"/>
    <n v="56"/>
    <n v="50"/>
    <n v="21.2"/>
    <x v="1"/>
    <x v="0"/>
  </r>
  <r>
    <x v="163"/>
    <s v="Yorunozukuヨルノズク"/>
    <x v="4"/>
    <x v="2"/>
    <x v="102"/>
    <s v="Insomnia"/>
    <s v="Keen Eye"/>
    <s v="Tinted Lens"/>
    <s v=""/>
    <s v=""/>
    <s v=""/>
    <n v="0.5"/>
    <n v="1"/>
    <n v="1"/>
    <n v="2"/>
    <n v="1"/>
    <n v="1"/>
    <n v="1"/>
    <n v="1"/>
    <n v="0"/>
    <n v="0.5"/>
    <n v="0"/>
    <n v="2"/>
    <n v="1"/>
    <n v="1"/>
    <n v="1"/>
    <n v="2"/>
    <n v="1"/>
    <n v="1"/>
    <n v="50"/>
    <n v="3840"/>
    <n v="70"/>
    <n v="452"/>
    <n v="90"/>
    <n v="50"/>
    <n v="1000000"/>
    <n v="1.6"/>
    <n v="100"/>
    <n v="50"/>
    <n v="50"/>
    <n v="164"/>
    <n v="86"/>
    <n v="96"/>
    <n v="70"/>
    <n v="40.799999999999997"/>
    <x v="1"/>
    <x v="0"/>
  </r>
  <r>
    <x v="164"/>
    <s v="Redibaレディバ"/>
    <x v="3"/>
    <x v="2"/>
    <x v="103"/>
    <s v="Swarm"/>
    <s v="Early Bird"/>
    <s v="Rattled"/>
    <s v=""/>
    <s v=""/>
    <s v=""/>
    <n v="0.5"/>
    <n v="1"/>
    <n v="1"/>
    <n v="2"/>
    <n v="1"/>
    <n v="0.25"/>
    <n v="2"/>
    <n v="2"/>
    <n v="1"/>
    <n v="0.25"/>
    <n v="0"/>
    <n v="2"/>
    <n v="1"/>
    <n v="1"/>
    <n v="1"/>
    <n v="4"/>
    <n v="1"/>
    <n v="1"/>
    <n v="20"/>
    <n v="3840"/>
    <n v="70"/>
    <n v="265"/>
    <n v="255"/>
    <n v="30"/>
    <n v="800000"/>
    <n v="1"/>
    <n v="40"/>
    <n v="50"/>
    <n v="50"/>
    <n v="165"/>
    <n v="40"/>
    <n v="80"/>
    <n v="55"/>
    <n v="10.8"/>
    <x v="1"/>
    <x v="0"/>
  </r>
  <r>
    <x v="165"/>
    <s v="Redianレディアン"/>
    <x v="3"/>
    <x v="2"/>
    <x v="103"/>
    <s v="Swarm"/>
    <s v="Early Bird"/>
    <s v="Iron Fist"/>
    <s v=""/>
    <s v=""/>
    <s v=""/>
    <n v="0.5"/>
    <n v="1"/>
    <n v="1"/>
    <n v="2"/>
    <n v="1"/>
    <n v="0.25"/>
    <n v="2"/>
    <n v="2"/>
    <n v="1"/>
    <n v="0.25"/>
    <n v="0"/>
    <n v="2"/>
    <n v="1"/>
    <n v="1"/>
    <n v="1"/>
    <n v="4"/>
    <n v="1"/>
    <n v="1"/>
    <n v="35"/>
    <n v="3840"/>
    <n v="70"/>
    <n v="390"/>
    <n v="90"/>
    <n v="50"/>
    <n v="800000"/>
    <n v="1.4"/>
    <n v="55"/>
    <n v="50"/>
    <n v="50"/>
    <n v="166"/>
    <n v="55"/>
    <n v="110"/>
    <n v="85"/>
    <n v="35.6"/>
    <x v="1"/>
    <x v="0"/>
  </r>
  <r>
    <x v="166"/>
    <s v="Itomaruイトマル"/>
    <x v="3"/>
    <x v="0"/>
    <x v="104"/>
    <s v="Swarm"/>
    <s v="Insomnia"/>
    <s v="Sniper"/>
    <s v=""/>
    <s v=""/>
    <s v=""/>
    <n v="0.5"/>
    <n v="1"/>
    <n v="1"/>
    <n v="1"/>
    <n v="0.5"/>
    <n v="0.25"/>
    <n v="2"/>
    <n v="2"/>
    <n v="1"/>
    <n v="0.25"/>
    <n v="1"/>
    <n v="1"/>
    <n v="1"/>
    <n v="0.5"/>
    <n v="2"/>
    <n v="2"/>
    <n v="1"/>
    <n v="1"/>
    <n v="60"/>
    <n v="3840"/>
    <n v="70"/>
    <n v="250"/>
    <n v="255"/>
    <n v="40"/>
    <n v="800000"/>
    <n v="0.5"/>
    <n v="40"/>
    <n v="50"/>
    <n v="50"/>
    <n v="167"/>
    <n v="40"/>
    <n v="40"/>
    <n v="30"/>
    <n v="8.5"/>
    <x v="1"/>
    <x v="0"/>
  </r>
  <r>
    <x v="167"/>
    <s v="Ariadosアリアドス"/>
    <x v="3"/>
    <x v="0"/>
    <x v="105"/>
    <s v="Swarm"/>
    <s v="Insomnia"/>
    <s v="Sniper"/>
    <s v=""/>
    <s v=""/>
    <s v=""/>
    <n v="0.5"/>
    <n v="1"/>
    <n v="1"/>
    <n v="1"/>
    <n v="0.5"/>
    <n v="0.25"/>
    <n v="2"/>
    <n v="2"/>
    <n v="1"/>
    <n v="0.25"/>
    <n v="1"/>
    <n v="1"/>
    <n v="1"/>
    <n v="0.5"/>
    <n v="2"/>
    <n v="2"/>
    <n v="1"/>
    <n v="1"/>
    <n v="90"/>
    <n v="3840"/>
    <n v="70"/>
    <n v="400"/>
    <n v="90"/>
    <n v="70"/>
    <n v="800000"/>
    <n v="1.1000000000000001"/>
    <n v="70"/>
    <n v="50"/>
    <n v="50"/>
    <n v="168"/>
    <n v="60"/>
    <n v="70"/>
    <n v="40"/>
    <n v="33.5"/>
    <x v="1"/>
    <x v="0"/>
  </r>
  <r>
    <x v="168"/>
    <s v="Crobatクロバット"/>
    <x v="5"/>
    <x v="2"/>
    <x v="22"/>
    <s v="Inner Focus"/>
    <s v="Infiltrator"/>
    <s v=""/>
    <s v=""/>
    <s v=""/>
    <s v=""/>
    <n v="0.25"/>
    <n v="1"/>
    <n v="1"/>
    <n v="2"/>
    <n v="0.5"/>
    <n v="0.25"/>
    <n v="1"/>
    <n v="1"/>
    <n v="1"/>
    <n v="0.25"/>
    <n v="0"/>
    <n v="2"/>
    <n v="1"/>
    <n v="0.5"/>
    <n v="2"/>
    <n v="2"/>
    <n v="1"/>
    <n v="1"/>
    <n v="90"/>
    <n v="3840"/>
    <n v="70"/>
    <n v="535"/>
    <n v="90"/>
    <n v="80"/>
    <n v="1000000"/>
    <n v="1.8"/>
    <n v="85"/>
    <n v="50"/>
    <n v="50"/>
    <n v="169"/>
    <n v="70"/>
    <n v="80"/>
    <n v="130"/>
    <n v="75"/>
    <x v="1"/>
    <x v="0"/>
  </r>
  <r>
    <x v="169"/>
    <s v="Chonchieチョンチー"/>
    <x v="2"/>
    <x v="4"/>
    <x v="106"/>
    <s v="Volt Absorb"/>
    <s v="Illuminate"/>
    <s v="Water Absorb"/>
    <s v=""/>
    <s v=""/>
    <s v=""/>
    <n v="1"/>
    <n v="1"/>
    <n v="1"/>
    <n v="1"/>
    <n v="1"/>
    <n v="1"/>
    <n v="0.5"/>
    <n v="0.5"/>
    <n v="1"/>
    <n v="2"/>
    <n v="2"/>
    <n v="0.5"/>
    <n v="1"/>
    <n v="1"/>
    <n v="1"/>
    <n v="1"/>
    <n v="0.25"/>
    <n v="0.5"/>
    <n v="38"/>
    <n v="5120"/>
    <n v="70"/>
    <n v="330"/>
    <n v="190"/>
    <n v="38"/>
    <n v="1250000"/>
    <n v="0.5"/>
    <n v="75"/>
    <n v="50"/>
    <n v="50"/>
    <n v="170"/>
    <n v="56"/>
    <n v="56"/>
    <n v="67"/>
    <n v="12"/>
    <x v="1"/>
    <x v="0"/>
  </r>
  <r>
    <x v="170"/>
    <s v="Lanternランターン"/>
    <x v="2"/>
    <x v="4"/>
    <x v="107"/>
    <s v="Volt Absorb"/>
    <s v="Illuminate"/>
    <s v="Water Absorb"/>
    <s v=""/>
    <s v=""/>
    <s v=""/>
    <n v="1"/>
    <n v="1"/>
    <n v="1"/>
    <n v="1"/>
    <n v="1"/>
    <n v="1"/>
    <n v="0.5"/>
    <n v="0.5"/>
    <n v="1"/>
    <n v="2"/>
    <n v="2"/>
    <n v="0.5"/>
    <n v="1"/>
    <n v="1"/>
    <n v="1"/>
    <n v="1"/>
    <n v="0.25"/>
    <n v="0.5"/>
    <n v="58"/>
    <n v="5120"/>
    <n v="70"/>
    <n v="460"/>
    <n v="75"/>
    <n v="58"/>
    <n v="1250000"/>
    <n v="1.2"/>
    <n v="125"/>
    <n v="50"/>
    <n v="50"/>
    <n v="171"/>
    <n v="76"/>
    <n v="76"/>
    <n v="67"/>
    <n v="22.5"/>
    <x v="1"/>
    <x v="0"/>
  </r>
  <r>
    <x v="171"/>
    <s v="Pichuピチュー"/>
    <x v="6"/>
    <x v="1"/>
    <x v="108"/>
    <s v="Static"/>
    <s v="Lightningrod"/>
    <s v=""/>
    <s v=""/>
    <s v=""/>
    <s v=""/>
    <n v="1"/>
    <n v="1"/>
    <n v="1"/>
    <n v="0.5"/>
    <n v="1"/>
    <n v="1"/>
    <n v="1"/>
    <n v="0.5"/>
    <n v="1"/>
    <n v="1"/>
    <n v="2"/>
    <n v="1"/>
    <n v="1"/>
    <n v="1"/>
    <n v="1"/>
    <n v="1"/>
    <n v="0.5"/>
    <n v="1"/>
    <n v="40"/>
    <n v="2560"/>
    <n v="70"/>
    <n v="205"/>
    <n v="190"/>
    <n v="15"/>
    <n v="1000000"/>
    <n v="0.3"/>
    <n v="20"/>
    <n v="50"/>
    <n v="50"/>
    <n v="172"/>
    <n v="35"/>
    <n v="35"/>
    <n v="60"/>
    <n v="2"/>
    <x v="1"/>
    <x v="0"/>
  </r>
  <r>
    <x v="172"/>
    <s v="Pyピィ"/>
    <x v="8"/>
    <x v="1"/>
    <x v="109"/>
    <s v="Cute Charm"/>
    <s v="Magic Guard"/>
    <s v="Friend Guard"/>
    <s v=""/>
    <s v=""/>
    <s v=""/>
    <n v="0.5"/>
    <n v="0.5"/>
    <n v="0"/>
    <n v="1"/>
    <n v="1"/>
    <n v="0.5"/>
    <n v="1"/>
    <n v="1"/>
    <n v="1"/>
    <n v="1"/>
    <n v="1"/>
    <n v="1"/>
    <n v="1"/>
    <n v="2"/>
    <n v="1"/>
    <n v="1"/>
    <n v="2"/>
    <n v="1"/>
    <n v="25"/>
    <n v="2560"/>
    <n v="140"/>
    <n v="218"/>
    <n v="150"/>
    <n v="28"/>
    <n v="800000"/>
    <n v="0.3"/>
    <n v="50"/>
    <n v="24.6"/>
    <n v="75.400000000000006"/>
    <n v="173"/>
    <n v="45"/>
    <n v="55"/>
    <n v="15"/>
    <n v="3"/>
    <x v="1"/>
    <x v="0"/>
  </r>
  <r>
    <x v="173"/>
    <s v="Pupurinププリン"/>
    <x v="4"/>
    <x v="7"/>
    <x v="21"/>
    <s v="Cute Charm"/>
    <s v="Competitive"/>
    <s v="Friend Guard"/>
    <s v=""/>
    <s v=""/>
    <s v=""/>
    <n v="0.5"/>
    <n v="0.5"/>
    <n v="0"/>
    <n v="1"/>
    <n v="1"/>
    <n v="1"/>
    <n v="1"/>
    <n v="1"/>
    <n v="0"/>
    <n v="1"/>
    <n v="1"/>
    <n v="1"/>
    <n v="1"/>
    <n v="2"/>
    <n v="1"/>
    <n v="1"/>
    <n v="2"/>
    <n v="1"/>
    <n v="30"/>
    <n v="2560"/>
    <n v="70"/>
    <n v="210"/>
    <n v="170"/>
    <n v="15"/>
    <n v="800000"/>
    <n v="0.3"/>
    <n v="90"/>
    <n v="24.6"/>
    <n v="75.400000000000006"/>
    <n v="174"/>
    <n v="40"/>
    <n v="20"/>
    <n v="15"/>
    <n v="1"/>
    <x v="1"/>
    <x v="0"/>
  </r>
  <r>
    <x v="174"/>
    <s v="Togepyトゲピー"/>
    <x v="8"/>
    <x v="1"/>
    <x v="110"/>
    <s v="Hustle"/>
    <s v="Serene Grace"/>
    <s v="Super Luck"/>
    <s v=""/>
    <s v=""/>
    <s v=""/>
    <n v="0.5"/>
    <n v="0.5"/>
    <n v="0"/>
    <n v="1"/>
    <n v="1"/>
    <n v="0.5"/>
    <n v="1"/>
    <n v="1"/>
    <n v="1"/>
    <n v="1"/>
    <n v="1"/>
    <n v="1"/>
    <n v="1"/>
    <n v="2"/>
    <n v="1"/>
    <n v="1"/>
    <n v="2"/>
    <n v="1"/>
    <n v="20"/>
    <n v="2560"/>
    <n v="70"/>
    <n v="245"/>
    <n v="190"/>
    <n v="65"/>
    <n v="800000"/>
    <n v="0.3"/>
    <n v="35"/>
    <n v="88.1"/>
    <n v="11.900000000000006"/>
    <n v="175"/>
    <n v="40"/>
    <n v="65"/>
    <n v="20"/>
    <n v="1.5"/>
    <x v="1"/>
    <x v="0"/>
  </r>
  <r>
    <x v="175"/>
    <s v="Togechickトゲチック"/>
    <x v="8"/>
    <x v="2"/>
    <x v="111"/>
    <s v="Hustle"/>
    <s v="Serene Grace"/>
    <s v="Super Luck"/>
    <s v=""/>
    <s v=""/>
    <s v=""/>
    <n v="0.25"/>
    <n v="0.5"/>
    <n v="0"/>
    <n v="2"/>
    <n v="1"/>
    <n v="0.25"/>
    <n v="1"/>
    <n v="1"/>
    <n v="1"/>
    <n v="0.5"/>
    <n v="0"/>
    <n v="2"/>
    <n v="1"/>
    <n v="2"/>
    <n v="1"/>
    <n v="2"/>
    <n v="2"/>
    <n v="1"/>
    <n v="40"/>
    <n v="2560"/>
    <n v="70"/>
    <n v="405"/>
    <n v="75"/>
    <n v="85"/>
    <n v="800000"/>
    <n v="0.6"/>
    <n v="55"/>
    <n v="88.1"/>
    <n v="11.900000000000006"/>
    <n v="176"/>
    <n v="80"/>
    <n v="105"/>
    <n v="40"/>
    <n v="3.2"/>
    <x v="1"/>
    <x v="0"/>
  </r>
  <r>
    <x v="176"/>
    <s v="Natyネイティ"/>
    <x v="10"/>
    <x v="2"/>
    <x v="112"/>
    <s v="Synchronize"/>
    <s v="Early Bird"/>
    <s v="Magic Bounce"/>
    <s v=""/>
    <s v=""/>
    <s v=""/>
    <n v="1"/>
    <n v="2"/>
    <n v="1"/>
    <n v="2"/>
    <n v="1"/>
    <n v="0.25"/>
    <n v="1"/>
    <n v="1"/>
    <n v="2"/>
    <n v="0.5"/>
    <n v="0"/>
    <n v="2"/>
    <n v="1"/>
    <n v="1"/>
    <n v="0.5"/>
    <n v="2"/>
    <n v="1"/>
    <n v="1"/>
    <n v="50"/>
    <n v="5120"/>
    <n v="70"/>
    <n v="320"/>
    <n v="190"/>
    <n v="45"/>
    <n v="1000000"/>
    <n v="0.2"/>
    <n v="40"/>
    <n v="50"/>
    <n v="50"/>
    <n v="177"/>
    <n v="70"/>
    <n v="45"/>
    <n v="70"/>
    <n v="2"/>
    <x v="1"/>
    <x v="0"/>
  </r>
  <r>
    <x v="177"/>
    <s v="Natioネイティオ"/>
    <x v="10"/>
    <x v="2"/>
    <x v="113"/>
    <s v="Synchronize"/>
    <s v="Early Bird"/>
    <s v="Magic Bounce"/>
    <s v=""/>
    <s v=""/>
    <s v=""/>
    <n v="1"/>
    <n v="2"/>
    <n v="1"/>
    <n v="2"/>
    <n v="1"/>
    <n v="0.25"/>
    <n v="1"/>
    <n v="1"/>
    <n v="2"/>
    <n v="0.5"/>
    <n v="0"/>
    <n v="2"/>
    <n v="1"/>
    <n v="1"/>
    <n v="0.5"/>
    <n v="2"/>
    <n v="1"/>
    <n v="1"/>
    <n v="75"/>
    <n v="5120"/>
    <n v="70"/>
    <n v="470"/>
    <n v="75"/>
    <n v="70"/>
    <n v="1000000"/>
    <n v="1.5"/>
    <n v="65"/>
    <n v="50"/>
    <n v="50"/>
    <n v="178"/>
    <n v="95"/>
    <n v="70"/>
    <n v="95"/>
    <n v="15"/>
    <x v="1"/>
    <x v="0"/>
  </r>
  <r>
    <x v="178"/>
    <s v="Merriepメリープ"/>
    <x v="6"/>
    <x v="1"/>
    <x v="114"/>
    <s v="Static"/>
    <s v="Plus"/>
    <s v=""/>
    <s v=""/>
    <s v=""/>
    <s v=""/>
    <n v="1"/>
    <n v="1"/>
    <n v="1"/>
    <n v="0.5"/>
    <n v="1"/>
    <n v="1"/>
    <n v="1"/>
    <n v="0.5"/>
    <n v="1"/>
    <n v="1"/>
    <n v="2"/>
    <n v="1"/>
    <n v="1"/>
    <n v="1"/>
    <n v="1"/>
    <n v="1"/>
    <n v="0.5"/>
    <n v="1"/>
    <n v="40"/>
    <n v="5120"/>
    <n v="70"/>
    <n v="280"/>
    <n v="235"/>
    <n v="40"/>
    <n v="1059860"/>
    <n v="0.6"/>
    <n v="55"/>
    <n v="50"/>
    <n v="50"/>
    <n v="179"/>
    <n v="65"/>
    <n v="45"/>
    <n v="35"/>
    <n v="7.8"/>
    <x v="1"/>
    <x v="0"/>
  </r>
  <r>
    <x v="179"/>
    <s v="Mokokoモココ"/>
    <x v="6"/>
    <x v="1"/>
    <x v="114"/>
    <s v="Static"/>
    <s v="Plus"/>
    <s v=""/>
    <s v=""/>
    <s v=""/>
    <s v=""/>
    <n v="1"/>
    <n v="1"/>
    <n v="1"/>
    <n v="0.5"/>
    <n v="1"/>
    <n v="1"/>
    <n v="1"/>
    <n v="0.5"/>
    <n v="1"/>
    <n v="1"/>
    <n v="2"/>
    <n v="1"/>
    <n v="1"/>
    <n v="1"/>
    <n v="1"/>
    <n v="1"/>
    <n v="0.5"/>
    <n v="1"/>
    <n v="55"/>
    <n v="5120"/>
    <n v="70"/>
    <n v="365"/>
    <n v="120"/>
    <n v="55"/>
    <n v="1059860"/>
    <n v="0.8"/>
    <n v="70"/>
    <n v="50"/>
    <n v="50"/>
    <n v="180"/>
    <n v="80"/>
    <n v="60"/>
    <n v="45"/>
    <n v="13.3"/>
    <x v="1"/>
    <x v="0"/>
  </r>
  <r>
    <x v="180"/>
    <s v="Denryuデンリュウ"/>
    <x v="6"/>
    <x v="1"/>
    <x v="107"/>
    <s v="Static"/>
    <s v="Plus"/>
    <s v=""/>
    <s v=""/>
    <s v=""/>
    <s v=""/>
    <n v="1"/>
    <n v="1"/>
    <n v="1"/>
    <n v="0.5"/>
    <n v="1"/>
    <n v="1"/>
    <n v="1"/>
    <n v="0.5"/>
    <n v="1"/>
    <n v="1"/>
    <n v="2"/>
    <n v="1"/>
    <n v="1"/>
    <n v="1"/>
    <n v="1"/>
    <n v="1"/>
    <n v="0.5"/>
    <n v="1"/>
    <n v="95"/>
    <n v="5120"/>
    <n v="70"/>
    <n v="610"/>
    <n v="45"/>
    <n v="105"/>
    <n v="1059860"/>
    <n v="1.4"/>
    <n v="90"/>
    <n v="50"/>
    <n v="50"/>
    <n v="181"/>
    <n v="165"/>
    <n v="110"/>
    <n v="45"/>
    <n v="61.5"/>
    <x v="1"/>
    <x v="0"/>
  </r>
  <r>
    <x v="181"/>
    <s v="Kireihanaキレイハナ"/>
    <x v="0"/>
    <x v="1"/>
    <x v="24"/>
    <s v="Chlorophyll"/>
    <s v="Healer"/>
    <s v=""/>
    <s v=""/>
    <s v=""/>
    <s v=""/>
    <n v="2"/>
    <n v="1"/>
    <n v="1"/>
    <n v="0.5"/>
    <n v="1"/>
    <n v="1"/>
    <n v="2"/>
    <n v="2"/>
    <n v="1"/>
    <n v="0.5"/>
    <n v="0.5"/>
    <n v="2"/>
    <n v="1"/>
    <n v="2"/>
    <n v="1"/>
    <n v="1"/>
    <n v="1"/>
    <n v="0.5"/>
    <n v="80"/>
    <n v="5120"/>
    <n v="70"/>
    <n v="490"/>
    <n v="45"/>
    <n v="95"/>
    <n v="1059860"/>
    <n v="0.4"/>
    <n v="75"/>
    <n v="50"/>
    <n v="50"/>
    <n v="182"/>
    <n v="90"/>
    <n v="100"/>
    <n v="50"/>
    <n v="5.8"/>
    <x v="1"/>
    <x v="0"/>
  </r>
  <r>
    <x v="182"/>
    <s v="Marilマリル"/>
    <x v="2"/>
    <x v="7"/>
    <x v="115"/>
    <s v="Thick Fat"/>
    <s v="Huge Power"/>
    <s v="Sap Sipper"/>
    <s v=""/>
    <s v=""/>
    <s v=""/>
    <n v="0.5"/>
    <n v="0.5"/>
    <n v="0"/>
    <n v="2"/>
    <n v="1"/>
    <n v="0.5"/>
    <n v="0.5"/>
    <n v="1"/>
    <n v="1"/>
    <n v="2"/>
    <n v="1"/>
    <n v="0.5"/>
    <n v="1"/>
    <n v="2"/>
    <n v="1"/>
    <n v="1"/>
    <n v="1"/>
    <n v="0.5"/>
    <n v="20"/>
    <n v="2560"/>
    <n v="70"/>
    <n v="250"/>
    <n v="190"/>
    <n v="50"/>
    <n v="800000"/>
    <n v="0.4"/>
    <n v="70"/>
    <n v="50"/>
    <n v="50"/>
    <n v="183"/>
    <n v="20"/>
    <n v="50"/>
    <n v="40"/>
    <n v="8.5"/>
    <x v="1"/>
    <x v="0"/>
  </r>
  <r>
    <x v="183"/>
    <s v="Marilliマリルリ"/>
    <x v="2"/>
    <x v="7"/>
    <x v="116"/>
    <s v="Thick Fat"/>
    <s v="Huge Power"/>
    <s v="Sap Sipper"/>
    <s v=""/>
    <s v=""/>
    <s v=""/>
    <n v="0.5"/>
    <n v="0.5"/>
    <n v="0"/>
    <n v="2"/>
    <n v="1"/>
    <n v="0.5"/>
    <n v="0.5"/>
    <n v="1"/>
    <n v="1"/>
    <n v="2"/>
    <n v="1"/>
    <n v="0.5"/>
    <n v="1"/>
    <n v="2"/>
    <n v="1"/>
    <n v="1"/>
    <n v="1"/>
    <n v="0.5"/>
    <n v="50"/>
    <n v="2560"/>
    <n v="70"/>
    <n v="420"/>
    <n v="75"/>
    <n v="80"/>
    <n v="800000"/>
    <n v="0.8"/>
    <n v="100"/>
    <n v="50"/>
    <n v="50"/>
    <n v="184"/>
    <n v="60"/>
    <n v="80"/>
    <n v="50"/>
    <n v="28.5"/>
    <x v="1"/>
    <x v="0"/>
  </r>
  <r>
    <x v="184"/>
    <s v="Usokkieウソッキー"/>
    <x v="11"/>
    <x v="1"/>
    <x v="117"/>
    <s v="Sturdy"/>
    <s v="Rock Head"/>
    <s v="Rattled"/>
    <s v=""/>
    <s v=""/>
    <s v=""/>
    <n v="1"/>
    <n v="1"/>
    <n v="1"/>
    <n v="1"/>
    <n v="1"/>
    <n v="2"/>
    <n v="0.5"/>
    <n v="0.5"/>
    <n v="1"/>
    <n v="2"/>
    <n v="2"/>
    <n v="1"/>
    <n v="0.5"/>
    <n v="0.5"/>
    <n v="1"/>
    <n v="1"/>
    <n v="2"/>
    <n v="2"/>
    <n v="100"/>
    <n v="5120"/>
    <n v="70"/>
    <n v="410"/>
    <n v="65"/>
    <n v="115"/>
    <n v="1000000"/>
    <n v="1.2"/>
    <n v="70"/>
    <n v="50"/>
    <n v="50"/>
    <n v="185"/>
    <n v="30"/>
    <n v="65"/>
    <n v="30"/>
    <n v="38"/>
    <x v="1"/>
    <x v="0"/>
  </r>
  <r>
    <x v="185"/>
    <s v="Nyorotonoニョロトノ"/>
    <x v="2"/>
    <x v="1"/>
    <x v="118"/>
    <s v="Water Absorb"/>
    <s v="Damp"/>
    <s v="Drizzle"/>
    <s v=""/>
    <s v=""/>
    <s v=""/>
    <n v="1"/>
    <n v="1"/>
    <n v="1"/>
    <n v="2"/>
    <n v="1"/>
    <n v="1"/>
    <n v="0.5"/>
    <n v="1"/>
    <n v="1"/>
    <n v="2"/>
    <n v="1"/>
    <n v="0.5"/>
    <n v="1"/>
    <n v="1"/>
    <n v="1"/>
    <n v="1"/>
    <n v="0.5"/>
    <n v="0.5"/>
    <n v="75"/>
    <n v="5120"/>
    <n v="70"/>
    <n v="500"/>
    <n v="45"/>
    <n v="75"/>
    <n v="1059860"/>
    <n v="1.1000000000000001"/>
    <n v="90"/>
    <n v="50"/>
    <n v="50"/>
    <n v="186"/>
    <n v="90"/>
    <n v="100"/>
    <n v="70"/>
    <n v="33.9"/>
    <x v="1"/>
    <x v="0"/>
  </r>
  <r>
    <x v="186"/>
    <s v="Haneccoハネッコ"/>
    <x v="0"/>
    <x v="2"/>
    <x v="119"/>
    <s v="Chlorophyll"/>
    <s v="Leaf Guard"/>
    <s v="Infiltrator"/>
    <s v=""/>
    <s v=""/>
    <s v=""/>
    <n v="1"/>
    <n v="1"/>
    <n v="1"/>
    <n v="1"/>
    <n v="1"/>
    <n v="0.5"/>
    <n v="2"/>
    <n v="2"/>
    <n v="1"/>
    <n v="0.25"/>
    <n v="0"/>
    <n v="4"/>
    <n v="1"/>
    <n v="2"/>
    <n v="1"/>
    <n v="2"/>
    <n v="1"/>
    <n v="0.5"/>
    <n v="35"/>
    <n v="5120"/>
    <n v="70"/>
    <n v="250"/>
    <n v="255"/>
    <n v="40"/>
    <n v="1059860"/>
    <n v="0.4"/>
    <n v="35"/>
    <n v="50"/>
    <n v="50"/>
    <n v="187"/>
    <n v="35"/>
    <n v="55"/>
    <n v="50"/>
    <n v="0.5"/>
    <x v="1"/>
    <x v="0"/>
  </r>
  <r>
    <x v="187"/>
    <s v="Popoccoポポッコ"/>
    <x v="0"/>
    <x v="2"/>
    <x v="119"/>
    <s v="Chlorophyll"/>
    <s v="Leaf Guard"/>
    <s v="Infiltrator"/>
    <s v=""/>
    <s v=""/>
    <s v=""/>
    <n v="1"/>
    <n v="1"/>
    <n v="1"/>
    <n v="1"/>
    <n v="1"/>
    <n v="0.5"/>
    <n v="2"/>
    <n v="2"/>
    <n v="1"/>
    <n v="0.25"/>
    <n v="0"/>
    <n v="4"/>
    <n v="1"/>
    <n v="2"/>
    <n v="1"/>
    <n v="2"/>
    <n v="1"/>
    <n v="0.5"/>
    <n v="45"/>
    <n v="5120"/>
    <n v="70"/>
    <n v="340"/>
    <n v="120"/>
    <n v="50"/>
    <n v="1059860"/>
    <n v="0.6"/>
    <n v="55"/>
    <n v="50"/>
    <n v="50"/>
    <n v="188"/>
    <n v="45"/>
    <n v="65"/>
    <n v="80"/>
    <n v="1"/>
    <x v="1"/>
    <x v="0"/>
  </r>
  <r>
    <x v="188"/>
    <s v="Wataccoワタッコ"/>
    <x v="0"/>
    <x v="2"/>
    <x v="119"/>
    <s v="Chlorophyll"/>
    <s v="Leaf Guard"/>
    <s v="Infiltrator"/>
    <s v=""/>
    <s v=""/>
    <s v=""/>
    <n v="1"/>
    <n v="1"/>
    <n v="1"/>
    <n v="1"/>
    <n v="1"/>
    <n v="0.5"/>
    <n v="2"/>
    <n v="2"/>
    <n v="1"/>
    <n v="0.25"/>
    <n v="0"/>
    <n v="4"/>
    <n v="1"/>
    <n v="2"/>
    <n v="1"/>
    <n v="2"/>
    <n v="1"/>
    <n v="0.5"/>
    <n v="55"/>
    <n v="5120"/>
    <n v="70"/>
    <n v="460"/>
    <n v="45"/>
    <n v="70"/>
    <n v="1059860"/>
    <n v="0.8"/>
    <n v="75"/>
    <n v="50"/>
    <n v="50"/>
    <n v="189"/>
    <n v="55"/>
    <n v="95"/>
    <n v="110"/>
    <n v="3"/>
    <x v="1"/>
    <x v="0"/>
  </r>
  <r>
    <x v="189"/>
    <s v="Eipamエイパム"/>
    <x v="4"/>
    <x v="1"/>
    <x v="120"/>
    <s v="Run Away"/>
    <s v="Pickup"/>
    <s v="Skill Link"/>
    <s v=""/>
    <s v=""/>
    <s v=""/>
    <n v="1"/>
    <n v="1"/>
    <n v="1"/>
    <n v="1"/>
    <n v="1"/>
    <n v="2"/>
    <n v="1"/>
    <n v="1"/>
    <n v="0"/>
    <n v="1"/>
    <n v="1"/>
    <n v="1"/>
    <n v="1"/>
    <n v="1"/>
    <n v="1"/>
    <n v="1"/>
    <n v="1"/>
    <n v="1"/>
    <n v="70"/>
    <n v="5120"/>
    <n v="70"/>
    <n v="360"/>
    <n v="45"/>
    <n v="55"/>
    <n v="800000"/>
    <n v="0.8"/>
    <n v="55"/>
    <n v="50"/>
    <n v="50"/>
    <n v="190"/>
    <n v="40"/>
    <n v="55"/>
    <n v="85"/>
    <n v="11.5"/>
    <x v="1"/>
    <x v="0"/>
  </r>
  <r>
    <x v="190"/>
    <s v="Himanutsヒマナッツ"/>
    <x v="0"/>
    <x v="1"/>
    <x v="0"/>
    <s v="Chlorophyll"/>
    <s v="Solar Power"/>
    <s v="Early Bird"/>
    <s v=""/>
    <s v=""/>
    <s v=""/>
    <n v="2"/>
    <n v="1"/>
    <n v="1"/>
    <n v="0.5"/>
    <n v="1"/>
    <n v="1"/>
    <n v="2"/>
    <n v="2"/>
    <n v="1"/>
    <n v="0.5"/>
    <n v="0.5"/>
    <n v="2"/>
    <n v="1"/>
    <n v="2"/>
    <n v="1"/>
    <n v="1"/>
    <n v="1"/>
    <n v="0.5"/>
    <n v="30"/>
    <n v="5120"/>
    <n v="70"/>
    <n v="180"/>
    <n v="235"/>
    <n v="30"/>
    <n v="1059860"/>
    <n v="0.3"/>
    <n v="30"/>
    <n v="50"/>
    <n v="50"/>
    <n v="191"/>
    <n v="30"/>
    <n v="30"/>
    <n v="30"/>
    <n v="1.8"/>
    <x v="1"/>
    <x v="0"/>
  </r>
  <r>
    <x v="191"/>
    <s v="Kimawariキマワリ"/>
    <x v="0"/>
    <x v="1"/>
    <x v="121"/>
    <s v="Chlorophyll"/>
    <s v="Solar Power"/>
    <s v="Early Bird"/>
    <s v=""/>
    <s v=""/>
    <s v=""/>
    <n v="2"/>
    <n v="1"/>
    <n v="1"/>
    <n v="0.5"/>
    <n v="1"/>
    <n v="1"/>
    <n v="2"/>
    <n v="2"/>
    <n v="1"/>
    <n v="0.5"/>
    <n v="0.5"/>
    <n v="2"/>
    <n v="1"/>
    <n v="2"/>
    <n v="1"/>
    <n v="1"/>
    <n v="1"/>
    <n v="0.5"/>
    <n v="75"/>
    <n v="5120"/>
    <n v="70"/>
    <n v="425"/>
    <n v="120"/>
    <n v="55"/>
    <n v="1059860"/>
    <n v="0.8"/>
    <n v="75"/>
    <n v="50"/>
    <n v="50"/>
    <n v="192"/>
    <n v="105"/>
    <n v="85"/>
    <n v="30"/>
    <n v="8.5"/>
    <x v="1"/>
    <x v="0"/>
  </r>
  <r>
    <x v="192"/>
    <s v="Yanyanmaヤンヤンマ"/>
    <x v="3"/>
    <x v="2"/>
    <x v="122"/>
    <s v="Speed Boost"/>
    <s v="Compoundeyes"/>
    <s v="Frisk"/>
    <s v=""/>
    <s v=""/>
    <s v=""/>
    <n v="0.5"/>
    <n v="1"/>
    <n v="1"/>
    <n v="2"/>
    <n v="1"/>
    <n v="0.25"/>
    <n v="2"/>
    <n v="2"/>
    <n v="1"/>
    <n v="0.25"/>
    <n v="0"/>
    <n v="2"/>
    <n v="1"/>
    <n v="1"/>
    <n v="1"/>
    <n v="4"/>
    <n v="1"/>
    <n v="1"/>
    <n v="65"/>
    <n v="5120"/>
    <n v="70"/>
    <n v="390"/>
    <n v="75"/>
    <n v="45"/>
    <n v="1000000"/>
    <n v="1.2"/>
    <n v="65"/>
    <n v="50"/>
    <n v="50"/>
    <n v="193"/>
    <n v="75"/>
    <n v="45"/>
    <n v="95"/>
    <n v="38"/>
    <x v="1"/>
    <x v="0"/>
  </r>
  <r>
    <x v="193"/>
    <s v="Upahウパー"/>
    <x v="2"/>
    <x v="6"/>
    <x v="123"/>
    <s v="Damp"/>
    <s v="Water Absorb"/>
    <s v="Unaware"/>
    <s v=""/>
    <s v=""/>
    <s v=""/>
    <n v="1"/>
    <n v="1"/>
    <n v="1"/>
    <n v="0"/>
    <n v="1"/>
    <n v="1"/>
    <n v="0.5"/>
    <n v="1"/>
    <n v="1"/>
    <n v="4"/>
    <n v="1"/>
    <n v="1"/>
    <n v="1"/>
    <n v="0.5"/>
    <n v="1"/>
    <n v="0.5"/>
    <n v="0.5"/>
    <n v="1"/>
    <n v="45"/>
    <n v="5120"/>
    <n v="70"/>
    <n v="210"/>
    <n v="255"/>
    <n v="45"/>
    <n v="1000000"/>
    <n v="0.4"/>
    <n v="55"/>
    <n v="50"/>
    <n v="50"/>
    <n v="194"/>
    <n v="25"/>
    <n v="25"/>
    <n v="15"/>
    <n v="8.5"/>
    <x v="1"/>
    <x v="0"/>
  </r>
  <r>
    <x v="194"/>
    <s v="Nuohヌオー"/>
    <x v="2"/>
    <x v="6"/>
    <x v="123"/>
    <s v="Damp"/>
    <s v="Water Absorb"/>
    <s v="Unaware"/>
    <s v=""/>
    <s v=""/>
    <s v=""/>
    <n v="1"/>
    <n v="1"/>
    <n v="1"/>
    <n v="0"/>
    <n v="1"/>
    <n v="1"/>
    <n v="0.5"/>
    <n v="1"/>
    <n v="1"/>
    <n v="4"/>
    <n v="1"/>
    <n v="1"/>
    <n v="1"/>
    <n v="0.5"/>
    <n v="1"/>
    <n v="0.5"/>
    <n v="0.5"/>
    <n v="1"/>
    <n v="85"/>
    <n v="5120"/>
    <n v="70"/>
    <n v="430"/>
    <n v="90"/>
    <n v="85"/>
    <n v="1000000"/>
    <n v="1.4"/>
    <n v="95"/>
    <n v="50"/>
    <n v="50"/>
    <n v="195"/>
    <n v="65"/>
    <n v="65"/>
    <n v="35"/>
    <n v="75"/>
    <x v="1"/>
    <x v="0"/>
  </r>
  <r>
    <x v="195"/>
    <s v="Eifieエーフィ"/>
    <x v="10"/>
    <x v="1"/>
    <x v="121"/>
    <s v="Synchronize"/>
    <s v="Magic Bounce"/>
    <s v=""/>
    <s v=""/>
    <s v=""/>
    <s v=""/>
    <n v="2"/>
    <n v="2"/>
    <n v="1"/>
    <n v="1"/>
    <n v="1"/>
    <n v="0.5"/>
    <n v="1"/>
    <n v="1"/>
    <n v="2"/>
    <n v="1"/>
    <n v="1"/>
    <n v="1"/>
    <n v="1"/>
    <n v="1"/>
    <n v="0.5"/>
    <n v="1"/>
    <n v="1"/>
    <n v="1"/>
    <n v="65"/>
    <n v="8960"/>
    <n v="70"/>
    <n v="525"/>
    <n v="45"/>
    <n v="60"/>
    <n v="1000000"/>
    <n v="0.9"/>
    <n v="65"/>
    <n v="88.1"/>
    <n v="11.900000000000006"/>
    <n v="196"/>
    <n v="130"/>
    <n v="95"/>
    <n v="110"/>
    <n v="26.5"/>
    <x v="1"/>
    <x v="0"/>
  </r>
  <r>
    <x v="196"/>
    <s v="Blackyブラッキー"/>
    <x v="15"/>
    <x v="1"/>
    <x v="124"/>
    <s v="Synchronize"/>
    <s v="Inner Focus"/>
    <s v=""/>
    <s v=""/>
    <s v=""/>
    <s v=""/>
    <n v="2"/>
    <n v="0.5"/>
    <n v="1"/>
    <n v="1"/>
    <n v="2"/>
    <n v="2"/>
    <n v="1"/>
    <n v="1"/>
    <n v="0.5"/>
    <n v="1"/>
    <n v="1"/>
    <n v="1"/>
    <n v="1"/>
    <n v="1"/>
    <n v="0"/>
    <n v="1"/>
    <n v="1"/>
    <n v="1"/>
    <n v="65"/>
    <n v="8960"/>
    <n v="35"/>
    <n v="525"/>
    <n v="45"/>
    <n v="110"/>
    <n v="1000000"/>
    <n v="1"/>
    <n v="95"/>
    <n v="88.1"/>
    <n v="11.900000000000006"/>
    <n v="197"/>
    <n v="60"/>
    <n v="130"/>
    <n v="65"/>
    <n v="27"/>
    <x v="1"/>
    <x v="0"/>
  </r>
  <r>
    <x v="197"/>
    <s v="Yamikarasuヤミカラス"/>
    <x v="15"/>
    <x v="2"/>
    <x v="125"/>
    <s v="Insomnia"/>
    <s v="Super Luck"/>
    <s v="Prankster"/>
    <s v=""/>
    <s v=""/>
    <s v=""/>
    <n v="1"/>
    <n v="0.5"/>
    <n v="1"/>
    <n v="2"/>
    <n v="2"/>
    <n v="1"/>
    <n v="1"/>
    <n v="1"/>
    <n v="0.5"/>
    <n v="0.5"/>
    <n v="0"/>
    <n v="2"/>
    <n v="1"/>
    <n v="1"/>
    <n v="0"/>
    <n v="2"/>
    <n v="1"/>
    <n v="1"/>
    <n v="85"/>
    <n v="5120"/>
    <n v="35"/>
    <n v="405"/>
    <n v="30"/>
    <n v="42"/>
    <n v="1059860"/>
    <n v="0.5"/>
    <n v="60"/>
    <n v="50"/>
    <n v="50"/>
    <n v="198"/>
    <n v="85"/>
    <n v="42"/>
    <n v="91"/>
    <n v="2.1"/>
    <x v="1"/>
    <x v="0"/>
  </r>
  <r>
    <x v="198"/>
    <s v="Yadokingヤドキング"/>
    <x v="2"/>
    <x v="10"/>
    <x v="126"/>
    <s v="Oblivious"/>
    <s v="Own Tempo"/>
    <s v="Regenerator"/>
    <s v=""/>
    <s v=""/>
    <s v=""/>
    <n v="2"/>
    <n v="2"/>
    <n v="1"/>
    <n v="2"/>
    <n v="1"/>
    <n v="0.5"/>
    <n v="0.5"/>
    <n v="1"/>
    <n v="2"/>
    <n v="2"/>
    <n v="1"/>
    <n v="0.5"/>
    <n v="1"/>
    <n v="1"/>
    <n v="0.5"/>
    <n v="1"/>
    <n v="0.5"/>
    <n v="0.5"/>
    <n v="75"/>
    <n v="5120"/>
    <n v="70"/>
    <n v="490"/>
    <n v="70"/>
    <n v="80"/>
    <n v="1000000"/>
    <n v="2"/>
    <n v="95"/>
    <n v="50"/>
    <n v="50"/>
    <n v="199"/>
    <n v="100"/>
    <n v="110"/>
    <n v="30"/>
    <n v="79.5"/>
    <x v="1"/>
    <x v="0"/>
  </r>
  <r>
    <x v="199"/>
    <s v="Mumaムウマ"/>
    <x v="12"/>
    <x v="1"/>
    <x v="127"/>
    <s v="Levitate"/>
    <s v=""/>
    <s v=""/>
    <s v=""/>
    <s v=""/>
    <s v=""/>
    <n v="0.5"/>
    <n v="2"/>
    <n v="1"/>
    <n v="1"/>
    <n v="1"/>
    <n v="0"/>
    <n v="1"/>
    <n v="1"/>
    <n v="2"/>
    <n v="1"/>
    <n v="1"/>
    <n v="1"/>
    <n v="0"/>
    <n v="0.5"/>
    <n v="1"/>
    <n v="1"/>
    <n v="1"/>
    <n v="1"/>
    <n v="60"/>
    <n v="6400"/>
    <n v="35"/>
    <n v="435"/>
    <n v="45"/>
    <n v="60"/>
    <n v="800000"/>
    <n v="0.7"/>
    <n v="60"/>
    <n v="50"/>
    <n v="50"/>
    <n v="200"/>
    <n v="85"/>
    <n v="85"/>
    <n v="85"/>
    <n v="1"/>
    <x v="1"/>
    <x v="0"/>
  </r>
  <r>
    <x v="200"/>
    <s v="Unknownアンノーン"/>
    <x v="10"/>
    <x v="1"/>
    <x v="128"/>
    <s v="Levitate"/>
    <s v=""/>
    <s v=""/>
    <s v=""/>
    <s v=""/>
    <s v=""/>
    <n v="2"/>
    <n v="2"/>
    <n v="1"/>
    <n v="1"/>
    <n v="1"/>
    <n v="0.5"/>
    <n v="1"/>
    <n v="1"/>
    <n v="2"/>
    <n v="1"/>
    <n v="1"/>
    <n v="1"/>
    <n v="1"/>
    <n v="1"/>
    <n v="0.5"/>
    <n v="1"/>
    <n v="1"/>
    <n v="1"/>
    <n v="72"/>
    <n v="10240"/>
    <n v="70"/>
    <n v="336"/>
    <n v="225"/>
    <n v="48"/>
    <n v="1000000"/>
    <n v="0.5"/>
    <n v="48"/>
    <s v=""/>
    <s v=""/>
    <n v="201"/>
    <n v="72"/>
    <n v="48"/>
    <n v="48"/>
    <n v="5"/>
    <x v="1"/>
    <x v="0"/>
  </r>
  <r>
    <x v="201"/>
    <s v="Sonansソーナンス"/>
    <x v="10"/>
    <x v="1"/>
    <x v="129"/>
    <s v="Shadow Tag"/>
    <s v="Telepathy"/>
    <s v=""/>
    <s v=""/>
    <s v=""/>
    <s v=""/>
    <n v="2"/>
    <n v="2"/>
    <n v="1"/>
    <n v="1"/>
    <n v="1"/>
    <n v="0.5"/>
    <n v="1"/>
    <n v="1"/>
    <n v="2"/>
    <n v="1"/>
    <n v="1"/>
    <n v="1"/>
    <n v="1"/>
    <n v="1"/>
    <n v="0.5"/>
    <n v="1"/>
    <n v="1"/>
    <n v="1"/>
    <n v="33"/>
    <n v="5120"/>
    <n v="70"/>
    <n v="405"/>
    <n v="45"/>
    <n v="58"/>
    <n v="1000000"/>
    <n v="1.3"/>
    <n v="190"/>
    <n v="50"/>
    <n v="50"/>
    <n v="202"/>
    <n v="33"/>
    <n v="58"/>
    <n v="33"/>
    <n v="28.5"/>
    <x v="1"/>
    <x v="0"/>
  </r>
  <r>
    <x v="202"/>
    <s v="Kirinrikiキリンリキ"/>
    <x v="4"/>
    <x v="10"/>
    <x v="130"/>
    <s v="Inner Focus"/>
    <s v="Early Bird"/>
    <s v="Sap Sipper"/>
    <s v=""/>
    <s v=""/>
    <s v=""/>
    <n v="2"/>
    <n v="2"/>
    <n v="1"/>
    <n v="1"/>
    <n v="1"/>
    <n v="1"/>
    <n v="1"/>
    <n v="1"/>
    <n v="0"/>
    <n v="1"/>
    <n v="1"/>
    <n v="1"/>
    <n v="1"/>
    <n v="1"/>
    <n v="0.5"/>
    <n v="1"/>
    <n v="1"/>
    <n v="1"/>
    <n v="80"/>
    <n v="5120"/>
    <n v="70"/>
    <n v="455"/>
    <n v="60"/>
    <n v="65"/>
    <n v="1000000"/>
    <n v="1.5"/>
    <n v="70"/>
    <n v="50"/>
    <n v="50"/>
    <n v="203"/>
    <n v="90"/>
    <n v="65"/>
    <n v="85"/>
    <n v="41.5"/>
    <x v="1"/>
    <x v="0"/>
  </r>
  <r>
    <x v="203"/>
    <s v="Kunugidamaクヌギダマ"/>
    <x v="3"/>
    <x v="1"/>
    <x v="131"/>
    <s v="Sturdy"/>
    <s v="Overcoat"/>
    <s v=""/>
    <s v=""/>
    <s v=""/>
    <s v=""/>
    <n v="1"/>
    <n v="1"/>
    <n v="1"/>
    <n v="1"/>
    <n v="1"/>
    <n v="0.5"/>
    <n v="2"/>
    <n v="2"/>
    <n v="1"/>
    <n v="0.5"/>
    <n v="0.5"/>
    <n v="1"/>
    <n v="1"/>
    <n v="1"/>
    <n v="1"/>
    <n v="2"/>
    <n v="1"/>
    <n v="1"/>
    <n v="65"/>
    <n v="5120"/>
    <n v="70"/>
    <n v="290"/>
    <n v="190"/>
    <n v="90"/>
    <n v="1000000"/>
    <n v="0.6"/>
    <n v="50"/>
    <n v="50"/>
    <n v="50"/>
    <n v="204"/>
    <n v="35"/>
    <n v="35"/>
    <n v="15"/>
    <n v="7.2"/>
    <x v="1"/>
    <x v="0"/>
  </r>
  <r>
    <x v="204"/>
    <s v="Foretosフォレトス"/>
    <x v="3"/>
    <x v="11"/>
    <x v="131"/>
    <s v="Sturdy"/>
    <s v="Overcoat"/>
    <s v=""/>
    <s v=""/>
    <s v=""/>
    <s v=""/>
    <n v="0.5"/>
    <n v="1"/>
    <n v="0.5"/>
    <n v="1"/>
    <n v="0.5"/>
    <n v="1"/>
    <n v="4"/>
    <n v="1"/>
    <n v="1"/>
    <n v="0.25"/>
    <n v="1"/>
    <n v="0.5"/>
    <n v="0.5"/>
    <n v="0"/>
    <n v="0.5"/>
    <n v="1"/>
    <n v="0.5"/>
    <n v="1"/>
    <n v="90"/>
    <n v="5120"/>
    <n v="70"/>
    <n v="465"/>
    <n v="75"/>
    <n v="140"/>
    <n v="1000000"/>
    <n v="1.2"/>
    <n v="75"/>
    <n v="50"/>
    <n v="50"/>
    <n v="205"/>
    <n v="60"/>
    <n v="60"/>
    <n v="40"/>
    <n v="125.8"/>
    <x v="1"/>
    <x v="0"/>
  </r>
  <r>
    <x v="205"/>
    <s v="Nokocchiノコッチ"/>
    <x v="4"/>
    <x v="1"/>
    <x v="132"/>
    <s v="Serene Grace"/>
    <s v="Run Away"/>
    <s v="Rattled"/>
    <s v=""/>
    <s v=""/>
    <s v=""/>
    <n v="1"/>
    <n v="1"/>
    <n v="1"/>
    <n v="1"/>
    <n v="1"/>
    <n v="2"/>
    <n v="1"/>
    <n v="1"/>
    <n v="0"/>
    <n v="1"/>
    <n v="1"/>
    <n v="1"/>
    <n v="1"/>
    <n v="1"/>
    <n v="1"/>
    <n v="1"/>
    <n v="1"/>
    <n v="1"/>
    <n v="70"/>
    <n v="5120"/>
    <n v="70"/>
    <n v="415"/>
    <n v="190"/>
    <n v="70"/>
    <n v="1000000"/>
    <n v="1.5"/>
    <n v="100"/>
    <n v="50"/>
    <n v="50"/>
    <n v="206"/>
    <n v="65"/>
    <n v="65"/>
    <n v="45"/>
    <n v="14"/>
    <x v="1"/>
    <x v="0"/>
  </r>
  <r>
    <x v="206"/>
    <s v="Gligerグライガー"/>
    <x v="7"/>
    <x v="2"/>
    <x v="133"/>
    <s v="Hyper Cutter"/>
    <s v="Sand Veil"/>
    <s v="Immunity"/>
    <s v=""/>
    <s v=""/>
    <s v=""/>
    <n v="0.5"/>
    <n v="1"/>
    <n v="1"/>
    <n v="0"/>
    <n v="1"/>
    <n v="0.5"/>
    <n v="1"/>
    <n v="1"/>
    <n v="1"/>
    <n v="1"/>
    <n v="0"/>
    <n v="4"/>
    <n v="1"/>
    <n v="0.5"/>
    <n v="1"/>
    <n v="1"/>
    <n v="1"/>
    <n v="2"/>
    <n v="75"/>
    <n v="5120"/>
    <n v="70"/>
    <n v="430"/>
    <n v="60"/>
    <n v="105"/>
    <n v="1059860"/>
    <n v="1.1000000000000001"/>
    <n v="65"/>
    <n v="50"/>
    <n v="50"/>
    <n v="207"/>
    <n v="35"/>
    <n v="65"/>
    <n v="85"/>
    <n v="64.8"/>
    <x v="1"/>
    <x v="0"/>
  </r>
  <r>
    <x v="207"/>
    <s v="Haganeilハガネール"/>
    <x v="16"/>
    <x v="6"/>
    <x v="134"/>
    <s v="Rock Head"/>
    <s v="Sturdy"/>
    <s v="Sheer Force"/>
    <s v=""/>
    <s v=""/>
    <s v=""/>
    <n v="0.5"/>
    <n v="1"/>
    <n v="0.5"/>
    <n v="0"/>
    <n v="0.5"/>
    <n v="2"/>
    <n v="2"/>
    <n v="0.5"/>
    <n v="1"/>
    <n v="1"/>
    <n v="2"/>
    <n v="1"/>
    <n v="0.5"/>
    <n v="0"/>
    <n v="0.5"/>
    <n v="0.25"/>
    <n v="0.5"/>
    <n v="2"/>
    <n v="125"/>
    <n v="6400"/>
    <n v="70"/>
    <n v="610"/>
    <n v="25"/>
    <n v="230"/>
    <n v="1000000"/>
    <n v="9.1999999999999993"/>
    <n v="75"/>
    <n v="50"/>
    <n v="50"/>
    <n v="208"/>
    <n v="55"/>
    <n v="95"/>
    <n v="30"/>
    <n v="400"/>
    <x v="1"/>
    <x v="0"/>
  </r>
  <r>
    <x v="208"/>
    <s v="Buluブルー"/>
    <x v="8"/>
    <x v="1"/>
    <x v="19"/>
    <s v="Intimidate"/>
    <s v="Run Away"/>
    <s v="Rattled"/>
    <s v=""/>
    <s v=""/>
    <s v=""/>
    <n v="0.5"/>
    <n v="0.5"/>
    <n v="0"/>
    <n v="1"/>
    <n v="1"/>
    <n v="0.5"/>
    <n v="1"/>
    <n v="1"/>
    <n v="1"/>
    <n v="1"/>
    <n v="1"/>
    <n v="1"/>
    <n v="1"/>
    <n v="2"/>
    <n v="1"/>
    <n v="1"/>
    <n v="2"/>
    <n v="1"/>
    <n v="80"/>
    <n v="5120"/>
    <n v="70"/>
    <n v="300"/>
    <n v="190"/>
    <n v="50"/>
    <n v="800000"/>
    <n v="0.6"/>
    <n v="60"/>
    <n v="24.6"/>
    <n v="75.400000000000006"/>
    <n v="209"/>
    <n v="40"/>
    <n v="40"/>
    <n v="30"/>
    <n v="7.8"/>
    <x v="1"/>
    <x v="0"/>
  </r>
  <r>
    <x v="209"/>
    <s v="Granbuluグランブル"/>
    <x v="8"/>
    <x v="1"/>
    <x v="19"/>
    <s v="Intimidate"/>
    <s v="Quick Feet"/>
    <s v="Rattled"/>
    <s v=""/>
    <s v=""/>
    <s v=""/>
    <n v="0.5"/>
    <n v="0.5"/>
    <n v="0"/>
    <n v="1"/>
    <n v="1"/>
    <n v="0.5"/>
    <n v="1"/>
    <n v="1"/>
    <n v="1"/>
    <n v="1"/>
    <n v="1"/>
    <n v="1"/>
    <n v="1"/>
    <n v="2"/>
    <n v="1"/>
    <n v="1"/>
    <n v="2"/>
    <n v="1"/>
    <n v="120"/>
    <n v="5120"/>
    <n v="70"/>
    <n v="450"/>
    <n v="75"/>
    <n v="75"/>
    <n v="800000"/>
    <n v="1.4"/>
    <n v="90"/>
    <n v="24.6"/>
    <n v="75.400000000000006"/>
    <n v="210"/>
    <n v="60"/>
    <n v="60"/>
    <n v="45"/>
    <n v="48.7"/>
    <x v="1"/>
    <x v="0"/>
  </r>
  <r>
    <x v="210"/>
    <s v="Harysenハリーセン"/>
    <x v="2"/>
    <x v="0"/>
    <x v="21"/>
    <s v="Poison Point"/>
    <s v="Swift Swim"/>
    <s v="Intimidate"/>
    <s v=""/>
    <s v=""/>
    <s v=""/>
    <n v="0.5"/>
    <n v="1"/>
    <n v="1"/>
    <n v="2"/>
    <n v="0.5"/>
    <n v="0.5"/>
    <n v="0.5"/>
    <n v="1"/>
    <n v="1"/>
    <n v="1"/>
    <n v="2"/>
    <n v="0.5"/>
    <n v="1"/>
    <n v="0.5"/>
    <n v="2"/>
    <n v="1"/>
    <n v="0.5"/>
    <n v="0.5"/>
    <n v="95"/>
    <n v="5120"/>
    <n v="70"/>
    <n v="440"/>
    <n v="45"/>
    <n v="85"/>
    <n v="1000000"/>
    <n v="0.5"/>
    <n v="65"/>
    <n v="50"/>
    <n v="50"/>
    <n v="211"/>
    <n v="55"/>
    <n v="55"/>
    <n v="85"/>
    <n v="3.9"/>
    <x v="1"/>
    <x v="0"/>
  </r>
  <r>
    <x v="211"/>
    <s v="Hassamハッサム"/>
    <x v="3"/>
    <x v="11"/>
    <x v="57"/>
    <s v="Swarm"/>
    <s v="Technician"/>
    <s v="Light Metal"/>
    <s v=""/>
    <s v=""/>
    <s v=""/>
    <n v="0.5"/>
    <n v="1"/>
    <n v="0.5"/>
    <n v="1"/>
    <n v="0.5"/>
    <n v="1"/>
    <n v="4"/>
    <n v="1"/>
    <n v="1"/>
    <n v="0.25"/>
    <n v="1"/>
    <n v="0.5"/>
    <n v="0.5"/>
    <n v="0"/>
    <n v="0.5"/>
    <n v="1"/>
    <n v="0.5"/>
    <n v="1"/>
    <n v="150"/>
    <n v="6400"/>
    <n v="70"/>
    <n v="600"/>
    <n v="25"/>
    <n v="140"/>
    <n v="1000000"/>
    <n v="1.8"/>
    <n v="70"/>
    <n v="50"/>
    <n v="50"/>
    <n v="212"/>
    <n v="65"/>
    <n v="100"/>
    <n v="75"/>
    <n v="118"/>
    <x v="1"/>
    <x v="0"/>
  </r>
  <r>
    <x v="212"/>
    <s v="Tsubotsuboツボツボ"/>
    <x v="3"/>
    <x v="13"/>
    <x v="135"/>
    <s v="Sturdy"/>
    <s v="Gluttony"/>
    <s v="Contrary"/>
    <s v=""/>
    <s v=""/>
    <s v=""/>
    <n v="1"/>
    <n v="1"/>
    <n v="1"/>
    <n v="1"/>
    <n v="1"/>
    <n v="1"/>
    <n v="1"/>
    <n v="1"/>
    <n v="1"/>
    <n v="1"/>
    <n v="1"/>
    <n v="1"/>
    <n v="0.5"/>
    <n v="0.5"/>
    <n v="1"/>
    <n v="2"/>
    <n v="2"/>
    <n v="2"/>
    <n v="10"/>
    <n v="5120"/>
    <n v="70"/>
    <n v="505"/>
    <n v="190"/>
    <n v="230"/>
    <n v="1059860"/>
    <n v="0.6"/>
    <n v="20"/>
    <n v="50"/>
    <n v="50"/>
    <n v="213"/>
    <n v="10"/>
    <n v="230"/>
    <n v="5"/>
    <n v="20.5"/>
    <x v="1"/>
    <x v="0"/>
  </r>
  <r>
    <x v="213"/>
    <s v="Heracrosヘラクロス"/>
    <x v="3"/>
    <x v="9"/>
    <x v="136"/>
    <s v="Swarm"/>
    <s v="Guts"/>
    <s v="Moxie"/>
    <s v=""/>
    <s v=""/>
    <s v=""/>
    <n v="0.5"/>
    <n v="0.5"/>
    <n v="1"/>
    <n v="1"/>
    <n v="2"/>
    <n v="0.5"/>
    <n v="2"/>
    <n v="4"/>
    <n v="1"/>
    <n v="0.5"/>
    <n v="0.5"/>
    <n v="1"/>
    <n v="1"/>
    <n v="1"/>
    <n v="2"/>
    <n v="1"/>
    <n v="1"/>
    <n v="1"/>
    <n v="185"/>
    <n v="6400"/>
    <n v="70"/>
    <n v="600"/>
    <n v="45"/>
    <n v="115"/>
    <n v="1250000"/>
    <n v="1.5"/>
    <n v="80"/>
    <n v="50"/>
    <n v="50"/>
    <n v="214"/>
    <n v="40"/>
    <n v="105"/>
    <n v="75"/>
    <n v="54"/>
    <x v="1"/>
    <x v="0"/>
  </r>
  <r>
    <x v="214"/>
    <s v="Nyulaニューラ"/>
    <x v="15"/>
    <x v="5"/>
    <x v="137"/>
    <s v="Inner Focus"/>
    <s v="Keen Eye"/>
    <s v="Pickpocket"/>
    <s v=""/>
    <s v=""/>
    <s v=""/>
    <n v="2"/>
    <n v="0.5"/>
    <n v="1"/>
    <n v="1"/>
    <n v="2"/>
    <n v="4"/>
    <n v="2"/>
    <n v="1"/>
    <n v="0.5"/>
    <n v="1"/>
    <n v="1"/>
    <n v="0.5"/>
    <n v="1"/>
    <n v="1"/>
    <n v="0"/>
    <n v="2"/>
    <n v="2"/>
    <n v="1"/>
    <n v="95"/>
    <n v="5120"/>
    <n v="35"/>
    <n v="430"/>
    <n v="60"/>
    <n v="55"/>
    <n v="1059860"/>
    <n v="0.9"/>
    <n v="55"/>
    <n v="50"/>
    <n v="50"/>
    <n v="215"/>
    <n v="35"/>
    <n v="75"/>
    <n v="115"/>
    <n v="28"/>
    <x v="1"/>
    <x v="0"/>
  </r>
  <r>
    <x v="215"/>
    <s v="Himegumaヒメグマ"/>
    <x v="4"/>
    <x v="1"/>
    <x v="138"/>
    <s v="Pickup"/>
    <s v="Quick Feet"/>
    <s v="Honey Gather"/>
    <s v=""/>
    <s v=""/>
    <s v=""/>
    <n v="1"/>
    <n v="1"/>
    <n v="1"/>
    <n v="1"/>
    <n v="1"/>
    <n v="2"/>
    <n v="1"/>
    <n v="1"/>
    <n v="0"/>
    <n v="1"/>
    <n v="1"/>
    <n v="1"/>
    <n v="1"/>
    <n v="1"/>
    <n v="1"/>
    <n v="1"/>
    <n v="1"/>
    <n v="1"/>
    <n v="80"/>
    <n v="5120"/>
    <n v="70"/>
    <n v="330"/>
    <n v="120"/>
    <n v="50"/>
    <n v="1000000"/>
    <n v="0.6"/>
    <n v="60"/>
    <n v="50"/>
    <n v="50"/>
    <n v="216"/>
    <n v="50"/>
    <n v="50"/>
    <n v="40"/>
    <n v="8.8000000000000007"/>
    <x v="1"/>
    <x v="0"/>
  </r>
  <r>
    <x v="216"/>
    <s v="Ringumaリングマ"/>
    <x v="4"/>
    <x v="1"/>
    <x v="139"/>
    <s v="Guts"/>
    <s v="Quick Feet"/>
    <s v="Unnerve"/>
    <s v=""/>
    <s v=""/>
    <s v=""/>
    <n v="1"/>
    <n v="1"/>
    <n v="1"/>
    <n v="1"/>
    <n v="1"/>
    <n v="2"/>
    <n v="1"/>
    <n v="1"/>
    <n v="0"/>
    <n v="1"/>
    <n v="1"/>
    <n v="1"/>
    <n v="1"/>
    <n v="1"/>
    <n v="1"/>
    <n v="1"/>
    <n v="1"/>
    <n v="1"/>
    <n v="130"/>
    <n v="5120"/>
    <n v="70"/>
    <n v="500"/>
    <n v="60"/>
    <n v="75"/>
    <n v="1000000"/>
    <n v="1.8"/>
    <n v="90"/>
    <n v="50"/>
    <n v="50"/>
    <n v="217"/>
    <n v="75"/>
    <n v="75"/>
    <n v="55"/>
    <n v="125.8"/>
    <x v="1"/>
    <x v="0"/>
  </r>
  <r>
    <x v="217"/>
    <s v="Magmagマグマッグ"/>
    <x v="1"/>
    <x v="1"/>
    <x v="140"/>
    <s v="Magma Armor"/>
    <s v="Flame Body"/>
    <s v="Weak Armor"/>
    <s v=""/>
    <s v=""/>
    <s v=""/>
    <n v="0.5"/>
    <n v="1"/>
    <n v="1"/>
    <n v="1"/>
    <n v="0.5"/>
    <n v="1"/>
    <n v="0.5"/>
    <n v="1"/>
    <n v="1"/>
    <n v="0.5"/>
    <n v="2"/>
    <n v="0.5"/>
    <n v="1"/>
    <n v="1"/>
    <n v="1"/>
    <n v="2"/>
    <n v="0.5"/>
    <n v="2"/>
    <n v="40"/>
    <n v="5120"/>
    <n v="70"/>
    <n v="250"/>
    <n v="190"/>
    <n v="40"/>
    <n v="1000000"/>
    <n v="0.7"/>
    <n v="40"/>
    <n v="50"/>
    <n v="50"/>
    <n v="218"/>
    <n v="70"/>
    <n v="40"/>
    <n v="20"/>
    <n v="35"/>
    <x v="1"/>
    <x v="0"/>
  </r>
  <r>
    <x v="218"/>
    <s v="Magcargotマグカルゴ"/>
    <x v="1"/>
    <x v="13"/>
    <x v="140"/>
    <s v="Magma Armor"/>
    <s v="Flame Body"/>
    <s v="Weak Armor"/>
    <s v=""/>
    <s v=""/>
    <s v=""/>
    <n v="0.5"/>
    <n v="1"/>
    <n v="1"/>
    <n v="1"/>
    <n v="0.5"/>
    <n v="2"/>
    <n v="0.25"/>
    <n v="0.5"/>
    <n v="1"/>
    <n v="1"/>
    <n v="4"/>
    <n v="0.5"/>
    <n v="0.5"/>
    <n v="0.5"/>
    <n v="1"/>
    <n v="2"/>
    <n v="1"/>
    <n v="4"/>
    <n v="50"/>
    <n v="5120"/>
    <n v="70"/>
    <n v="430"/>
    <n v="75"/>
    <n v="120"/>
    <n v="1000000"/>
    <n v="0.8"/>
    <n v="60"/>
    <n v="50"/>
    <n v="50"/>
    <n v="219"/>
    <n v="90"/>
    <n v="80"/>
    <n v="30"/>
    <n v="55"/>
    <x v="1"/>
    <x v="0"/>
  </r>
  <r>
    <x v="219"/>
    <s v="Urimooウリムー"/>
    <x v="13"/>
    <x v="6"/>
    <x v="141"/>
    <s v="Oblivious"/>
    <s v="Snow Cloak"/>
    <s v="Thick Fat"/>
    <s v=""/>
    <s v=""/>
    <s v=""/>
    <n v="1"/>
    <n v="1"/>
    <n v="1"/>
    <n v="0"/>
    <n v="1"/>
    <n v="2"/>
    <n v="2"/>
    <n v="1"/>
    <n v="1"/>
    <n v="2"/>
    <n v="1"/>
    <n v="1"/>
    <n v="1"/>
    <n v="0.5"/>
    <n v="1"/>
    <n v="1"/>
    <n v="2"/>
    <n v="2"/>
    <n v="50"/>
    <n v="5120"/>
    <n v="70"/>
    <n v="250"/>
    <n v="225"/>
    <n v="40"/>
    <n v="1250000"/>
    <n v="0.4"/>
    <n v="50"/>
    <n v="50"/>
    <n v="50"/>
    <n v="220"/>
    <n v="30"/>
    <n v="30"/>
    <n v="50"/>
    <n v="6.5"/>
    <x v="1"/>
    <x v="0"/>
  </r>
  <r>
    <x v="220"/>
    <s v="Inomooイノムー"/>
    <x v="13"/>
    <x v="6"/>
    <x v="142"/>
    <s v="Oblivious"/>
    <s v="Snow Cloak"/>
    <s v="Thick Fat"/>
    <s v=""/>
    <s v=""/>
    <s v=""/>
    <n v="1"/>
    <n v="1"/>
    <n v="1"/>
    <n v="0"/>
    <n v="1"/>
    <n v="2"/>
    <n v="2"/>
    <n v="1"/>
    <n v="1"/>
    <n v="2"/>
    <n v="1"/>
    <n v="1"/>
    <n v="1"/>
    <n v="0.5"/>
    <n v="1"/>
    <n v="1"/>
    <n v="2"/>
    <n v="2"/>
    <n v="100"/>
    <n v="5120"/>
    <n v="70"/>
    <n v="450"/>
    <n v="75"/>
    <n v="80"/>
    <n v="1250000"/>
    <n v="1.1000000000000001"/>
    <n v="100"/>
    <n v="50"/>
    <n v="50"/>
    <n v="221"/>
    <n v="60"/>
    <n v="60"/>
    <n v="50"/>
    <n v="55.8"/>
    <x v="1"/>
    <x v="0"/>
  </r>
  <r>
    <x v="221"/>
    <s v="Sunnygoサニーゴ"/>
    <x v="2"/>
    <x v="13"/>
    <x v="143"/>
    <s v="Hustle"/>
    <s v="Natural Cure"/>
    <s v="Regenerator"/>
    <s v=""/>
    <s v=""/>
    <s v=""/>
    <n v="1"/>
    <n v="1"/>
    <n v="1"/>
    <n v="2"/>
    <n v="1"/>
    <n v="2"/>
    <n v="0.25"/>
    <n v="0.5"/>
    <n v="1"/>
    <n v="4"/>
    <n v="2"/>
    <n v="0.5"/>
    <n v="0.5"/>
    <n v="0.5"/>
    <n v="1"/>
    <n v="1"/>
    <n v="1"/>
    <n v="1"/>
    <n v="55"/>
    <n v="5120"/>
    <n v="70"/>
    <n v="410"/>
    <n v="60"/>
    <n v="95"/>
    <n v="800000"/>
    <n v="0.6"/>
    <n v="65"/>
    <n v="24.6"/>
    <n v="75.400000000000006"/>
    <n v="222"/>
    <n v="65"/>
    <n v="95"/>
    <n v="35"/>
    <n v="5"/>
    <x v="1"/>
    <x v="0"/>
  </r>
  <r>
    <x v="222"/>
    <s v="Teppouoテッポウオ"/>
    <x v="2"/>
    <x v="1"/>
    <x v="144"/>
    <s v="Hustle"/>
    <s v="Sniper"/>
    <s v="Moody"/>
    <s v=""/>
    <s v=""/>
    <s v=""/>
    <n v="1"/>
    <n v="1"/>
    <n v="1"/>
    <n v="2"/>
    <n v="1"/>
    <n v="1"/>
    <n v="0.5"/>
    <n v="1"/>
    <n v="1"/>
    <n v="2"/>
    <n v="1"/>
    <n v="0.5"/>
    <n v="1"/>
    <n v="1"/>
    <n v="1"/>
    <n v="1"/>
    <n v="0.5"/>
    <n v="0.5"/>
    <n v="65"/>
    <n v="5120"/>
    <n v="70"/>
    <n v="300"/>
    <n v="190"/>
    <n v="35"/>
    <n v="1000000"/>
    <n v="0.6"/>
    <n v="35"/>
    <n v="50"/>
    <n v="50"/>
    <n v="223"/>
    <n v="65"/>
    <n v="35"/>
    <n v="65"/>
    <n v="12"/>
    <x v="1"/>
    <x v="0"/>
  </r>
  <r>
    <x v="223"/>
    <s v="Okutankオクタン"/>
    <x v="2"/>
    <x v="1"/>
    <x v="144"/>
    <s v="Suction Cups"/>
    <s v="Sniper"/>
    <s v="Moody"/>
    <s v=""/>
    <s v=""/>
    <s v=""/>
    <n v="1"/>
    <n v="1"/>
    <n v="1"/>
    <n v="2"/>
    <n v="1"/>
    <n v="1"/>
    <n v="0.5"/>
    <n v="1"/>
    <n v="1"/>
    <n v="2"/>
    <n v="1"/>
    <n v="0.5"/>
    <n v="1"/>
    <n v="1"/>
    <n v="1"/>
    <n v="1"/>
    <n v="0.5"/>
    <n v="0.5"/>
    <n v="105"/>
    <n v="5120"/>
    <n v="70"/>
    <n v="480"/>
    <n v="75"/>
    <n v="75"/>
    <n v="1000000"/>
    <n v="0.9"/>
    <n v="75"/>
    <n v="50"/>
    <n v="50"/>
    <n v="224"/>
    <n v="105"/>
    <n v="75"/>
    <n v="45"/>
    <n v="28.5"/>
    <x v="1"/>
    <x v="0"/>
  </r>
  <r>
    <x v="224"/>
    <s v="Delibirdデリバード"/>
    <x v="13"/>
    <x v="2"/>
    <x v="145"/>
    <s v="Vital Spirit"/>
    <s v="Hustle"/>
    <s v="Insomnia"/>
    <s v=""/>
    <s v=""/>
    <s v=""/>
    <n v="0.5"/>
    <n v="1"/>
    <n v="1"/>
    <n v="2"/>
    <n v="1"/>
    <n v="1"/>
    <n v="2"/>
    <n v="1"/>
    <n v="1"/>
    <n v="0.5"/>
    <n v="0"/>
    <n v="1"/>
    <n v="1"/>
    <n v="1"/>
    <n v="1"/>
    <n v="4"/>
    <n v="2"/>
    <n v="1"/>
    <n v="55"/>
    <n v="5120"/>
    <n v="70"/>
    <n v="330"/>
    <n v="45"/>
    <n v="45"/>
    <n v="800000"/>
    <n v="0.9"/>
    <n v="45"/>
    <n v="50"/>
    <n v="50"/>
    <n v="225"/>
    <n v="65"/>
    <n v="45"/>
    <n v="75"/>
    <n v="16"/>
    <x v="1"/>
    <x v="0"/>
  </r>
  <r>
    <x v="225"/>
    <s v="Mantainマンタイン"/>
    <x v="2"/>
    <x v="2"/>
    <x v="146"/>
    <s v="Swift Swim"/>
    <s v="Water Absorb"/>
    <s v="Water Veil"/>
    <s v=""/>
    <s v=""/>
    <s v=""/>
    <n v="0.5"/>
    <n v="1"/>
    <n v="1"/>
    <n v="4"/>
    <n v="1"/>
    <n v="0.5"/>
    <n v="0.5"/>
    <n v="1"/>
    <n v="1"/>
    <n v="1"/>
    <n v="0"/>
    <n v="1"/>
    <n v="1"/>
    <n v="1"/>
    <n v="1"/>
    <n v="2"/>
    <n v="0.5"/>
    <n v="0.5"/>
    <n v="40"/>
    <n v="6400"/>
    <n v="70"/>
    <n v="485"/>
    <n v="25"/>
    <n v="70"/>
    <n v="1250000"/>
    <n v="2.1"/>
    <n v="85"/>
    <n v="50"/>
    <n v="50"/>
    <n v="226"/>
    <n v="80"/>
    <n v="140"/>
    <n v="70"/>
    <n v="220"/>
    <x v="1"/>
    <x v="0"/>
  </r>
  <r>
    <x v="226"/>
    <s v="Airmdエアームド"/>
    <x v="16"/>
    <x v="2"/>
    <x v="147"/>
    <s v="Keen Eye"/>
    <s v="Sturdy"/>
    <s v="Weak Armor"/>
    <s v=""/>
    <s v=""/>
    <s v=""/>
    <n v="0.25"/>
    <n v="1"/>
    <n v="0.5"/>
    <n v="2"/>
    <n v="0.5"/>
    <n v="1"/>
    <n v="2"/>
    <n v="0.5"/>
    <n v="1"/>
    <n v="0.25"/>
    <n v="0"/>
    <n v="1"/>
    <n v="0.5"/>
    <n v="0"/>
    <n v="0.5"/>
    <n v="1"/>
    <n v="0.5"/>
    <n v="1"/>
    <n v="80"/>
    <n v="6400"/>
    <n v="70"/>
    <n v="465"/>
    <n v="25"/>
    <n v="140"/>
    <n v="1250000"/>
    <n v="1.7"/>
    <n v="65"/>
    <n v="50"/>
    <n v="50"/>
    <n v="227"/>
    <n v="40"/>
    <n v="70"/>
    <n v="70"/>
    <n v="50.5"/>
    <x v="1"/>
    <x v="0"/>
  </r>
  <r>
    <x v="227"/>
    <s v="Delvilデルビル"/>
    <x v="15"/>
    <x v="12"/>
    <x v="148"/>
    <s v="Early Bird"/>
    <s v="Flash Fire"/>
    <s v="Unnerve"/>
    <s v=""/>
    <s v=""/>
    <s v=""/>
    <n v="1"/>
    <n v="0.5"/>
    <n v="1"/>
    <n v="1"/>
    <n v="1"/>
    <n v="2"/>
    <n v="0.5"/>
    <n v="1"/>
    <n v="0.5"/>
    <n v="0.5"/>
    <n v="2"/>
    <n v="0.5"/>
    <n v="1"/>
    <n v="1"/>
    <n v="0"/>
    <n v="2"/>
    <n v="0.5"/>
    <n v="2"/>
    <n v="60"/>
    <n v="5120"/>
    <n v="35"/>
    <n v="330"/>
    <n v="120"/>
    <n v="30"/>
    <n v="1250000"/>
    <n v="0.6"/>
    <n v="45"/>
    <n v="50"/>
    <n v="50"/>
    <n v="228"/>
    <n v="80"/>
    <n v="50"/>
    <n v="65"/>
    <n v="10.8"/>
    <x v="1"/>
    <x v="0"/>
  </r>
  <r>
    <x v="228"/>
    <s v="Hellgarヘルガー"/>
    <x v="15"/>
    <x v="12"/>
    <x v="148"/>
    <s v="Early Bird"/>
    <s v="Flash Fire"/>
    <s v="Unnerve"/>
    <s v=""/>
    <s v=""/>
    <s v=""/>
    <n v="1"/>
    <n v="0.5"/>
    <n v="1"/>
    <n v="1"/>
    <n v="1"/>
    <n v="2"/>
    <n v="0.5"/>
    <n v="1"/>
    <n v="0.5"/>
    <n v="0.5"/>
    <n v="2"/>
    <n v="0.5"/>
    <n v="1"/>
    <n v="1"/>
    <n v="0"/>
    <n v="2"/>
    <n v="0.5"/>
    <n v="2"/>
    <n v="90"/>
    <n v="5120"/>
    <n v="35"/>
    <n v="600"/>
    <n v="45"/>
    <n v="90"/>
    <n v="1250000"/>
    <n v="1.4"/>
    <n v="75"/>
    <n v="50"/>
    <n v="50"/>
    <n v="229"/>
    <n v="140"/>
    <n v="90"/>
    <n v="115"/>
    <n v="35"/>
    <x v="1"/>
    <x v="0"/>
  </r>
  <r>
    <x v="229"/>
    <s v="Kingdraキングドラ"/>
    <x v="2"/>
    <x v="15"/>
    <x v="70"/>
    <s v="Swift Swim"/>
    <s v="Sniper"/>
    <s v="Damp"/>
    <s v=""/>
    <s v=""/>
    <s v=""/>
    <n v="1"/>
    <n v="1"/>
    <n v="2"/>
    <n v="1"/>
    <n v="2"/>
    <n v="1"/>
    <n v="0.25"/>
    <n v="1"/>
    <n v="1"/>
    <n v="1"/>
    <n v="1"/>
    <n v="1"/>
    <n v="1"/>
    <n v="1"/>
    <n v="1"/>
    <n v="1"/>
    <n v="0.5"/>
    <n v="0.25"/>
    <n v="95"/>
    <n v="5120"/>
    <n v="70"/>
    <n v="540"/>
    <n v="45"/>
    <n v="95"/>
    <n v="1000000"/>
    <n v="1.8"/>
    <n v="75"/>
    <n v="50"/>
    <n v="50"/>
    <n v="230"/>
    <n v="95"/>
    <n v="95"/>
    <n v="85"/>
    <n v="152"/>
    <x v="1"/>
    <x v="0"/>
  </r>
  <r>
    <x v="230"/>
    <s v="Gomazouゴマゾウ"/>
    <x v="7"/>
    <x v="1"/>
    <x v="149"/>
    <s v="Pickup"/>
    <s v="Sand Veil"/>
    <s v=""/>
    <s v=""/>
    <s v=""/>
    <s v=""/>
    <n v="1"/>
    <n v="1"/>
    <n v="1"/>
    <n v="0"/>
    <n v="1"/>
    <n v="1"/>
    <n v="1"/>
    <n v="1"/>
    <n v="1"/>
    <n v="2"/>
    <n v="1"/>
    <n v="2"/>
    <n v="1"/>
    <n v="0.5"/>
    <n v="1"/>
    <n v="0.5"/>
    <n v="1"/>
    <n v="2"/>
    <n v="60"/>
    <n v="5120"/>
    <n v="70"/>
    <n v="330"/>
    <n v="120"/>
    <n v="60"/>
    <n v="1000000"/>
    <n v="0.5"/>
    <n v="90"/>
    <n v="50"/>
    <n v="50"/>
    <n v="231"/>
    <n v="40"/>
    <n v="40"/>
    <n v="40"/>
    <n v="33.5"/>
    <x v="1"/>
    <x v="0"/>
  </r>
  <r>
    <x v="231"/>
    <s v="Donfanドンファン"/>
    <x v="7"/>
    <x v="1"/>
    <x v="150"/>
    <s v="Sturdy"/>
    <s v="Sand Veil"/>
    <s v=""/>
    <s v=""/>
    <s v=""/>
    <s v=""/>
    <n v="1"/>
    <n v="1"/>
    <n v="1"/>
    <n v="0"/>
    <n v="1"/>
    <n v="1"/>
    <n v="1"/>
    <n v="1"/>
    <n v="1"/>
    <n v="2"/>
    <n v="1"/>
    <n v="2"/>
    <n v="1"/>
    <n v="0.5"/>
    <n v="1"/>
    <n v="0.5"/>
    <n v="1"/>
    <n v="2"/>
    <n v="120"/>
    <n v="5120"/>
    <n v="70"/>
    <n v="500"/>
    <n v="60"/>
    <n v="120"/>
    <n v="1000000"/>
    <n v="1.1000000000000001"/>
    <n v="90"/>
    <n v="50"/>
    <n v="50"/>
    <n v="232"/>
    <n v="60"/>
    <n v="60"/>
    <n v="50"/>
    <n v="120"/>
    <x v="1"/>
    <x v="0"/>
  </r>
  <r>
    <x v="232"/>
    <s v="Porygon2ポリゴン２"/>
    <x v="4"/>
    <x v="1"/>
    <x v="88"/>
    <s v="Trace"/>
    <s v="Download"/>
    <s v="Analytic"/>
    <s v=""/>
    <s v=""/>
    <s v=""/>
    <n v="1"/>
    <n v="1"/>
    <n v="1"/>
    <n v="1"/>
    <n v="1"/>
    <n v="2"/>
    <n v="1"/>
    <n v="1"/>
    <n v="0"/>
    <n v="1"/>
    <n v="1"/>
    <n v="1"/>
    <n v="1"/>
    <n v="1"/>
    <n v="1"/>
    <n v="1"/>
    <n v="1"/>
    <n v="1"/>
    <n v="80"/>
    <n v="5120"/>
    <n v="70"/>
    <n v="515"/>
    <n v="45"/>
    <n v="90"/>
    <n v="1000000"/>
    <n v="0.6"/>
    <n v="85"/>
    <s v=""/>
    <s v=""/>
    <n v="233"/>
    <n v="105"/>
    <n v="95"/>
    <n v="60"/>
    <n v="32.5"/>
    <x v="1"/>
    <x v="0"/>
  </r>
  <r>
    <x v="233"/>
    <s v="Odoshishiオドシシ"/>
    <x v="4"/>
    <x v="1"/>
    <x v="151"/>
    <s v="Intimidate"/>
    <s v="Frisk"/>
    <s v="Sap Sipper"/>
    <s v=""/>
    <s v=""/>
    <s v=""/>
    <n v="1"/>
    <n v="1"/>
    <n v="1"/>
    <n v="1"/>
    <n v="1"/>
    <n v="2"/>
    <n v="1"/>
    <n v="1"/>
    <n v="0"/>
    <n v="1"/>
    <n v="1"/>
    <n v="1"/>
    <n v="1"/>
    <n v="1"/>
    <n v="1"/>
    <n v="1"/>
    <n v="1"/>
    <n v="1"/>
    <n v="95"/>
    <n v="5120"/>
    <n v="70"/>
    <n v="465"/>
    <n v="45"/>
    <n v="62"/>
    <n v="1250000"/>
    <n v="1.4"/>
    <n v="73"/>
    <n v="50"/>
    <n v="50"/>
    <n v="234"/>
    <n v="85"/>
    <n v="65"/>
    <n v="85"/>
    <n v="71.2"/>
    <x v="1"/>
    <x v="0"/>
  </r>
  <r>
    <x v="234"/>
    <s v="Dobleドーブル"/>
    <x v="4"/>
    <x v="1"/>
    <x v="152"/>
    <s v="Own Tempo"/>
    <s v="Technician"/>
    <s v="Moody"/>
    <s v=""/>
    <s v=""/>
    <s v=""/>
    <n v="1"/>
    <n v="1"/>
    <n v="1"/>
    <n v="1"/>
    <n v="1"/>
    <n v="2"/>
    <n v="1"/>
    <n v="1"/>
    <n v="0"/>
    <n v="1"/>
    <n v="1"/>
    <n v="1"/>
    <n v="1"/>
    <n v="1"/>
    <n v="1"/>
    <n v="1"/>
    <n v="1"/>
    <n v="1"/>
    <n v="20"/>
    <n v="5120"/>
    <n v="70"/>
    <n v="250"/>
    <n v="45"/>
    <n v="35"/>
    <n v="800000"/>
    <n v="1.2"/>
    <n v="55"/>
    <n v="50"/>
    <n v="50"/>
    <n v="235"/>
    <n v="20"/>
    <n v="45"/>
    <n v="75"/>
    <n v="58"/>
    <x v="1"/>
    <x v="0"/>
  </r>
  <r>
    <x v="235"/>
    <s v="Balkieバルキー"/>
    <x v="9"/>
    <x v="1"/>
    <x v="153"/>
    <s v="Guts"/>
    <s v="Steadfast"/>
    <s v="Vital Spirit"/>
    <s v=""/>
    <s v=""/>
    <s v=""/>
    <n v="0.5"/>
    <n v="0.5"/>
    <n v="1"/>
    <n v="1"/>
    <n v="2"/>
    <n v="1"/>
    <n v="1"/>
    <n v="2"/>
    <n v="1"/>
    <n v="1"/>
    <n v="1"/>
    <n v="1"/>
    <n v="1"/>
    <n v="1"/>
    <n v="2"/>
    <n v="0.5"/>
    <n v="1"/>
    <n v="1"/>
    <n v="35"/>
    <n v="6400"/>
    <n v="70"/>
    <n v="210"/>
    <n v="75"/>
    <n v="35"/>
    <n v="1000000"/>
    <n v="0.7"/>
    <n v="35"/>
    <n v="100"/>
    <n v="0"/>
    <n v="236"/>
    <n v="35"/>
    <n v="35"/>
    <n v="35"/>
    <n v="21"/>
    <x v="1"/>
    <x v="0"/>
  </r>
  <r>
    <x v="236"/>
    <s v="Kapoererカポエラー"/>
    <x v="9"/>
    <x v="1"/>
    <x v="154"/>
    <s v="Intimidate"/>
    <s v="Technician"/>
    <s v="Steadfast"/>
    <s v=""/>
    <s v=""/>
    <s v=""/>
    <n v="0.5"/>
    <n v="0.5"/>
    <n v="1"/>
    <n v="1"/>
    <n v="2"/>
    <n v="1"/>
    <n v="1"/>
    <n v="2"/>
    <n v="1"/>
    <n v="1"/>
    <n v="1"/>
    <n v="1"/>
    <n v="1"/>
    <n v="1"/>
    <n v="2"/>
    <n v="0.5"/>
    <n v="1"/>
    <n v="1"/>
    <n v="95"/>
    <n v="6400"/>
    <n v="70"/>
    <n v="455"/>
    <n v="45"/>
    <n v="95"/>
    <n v="1000000"/>
    <n v="1.4"/>
    <n v="50"/>
    <n v="100"/>
    <n v="0"/>
    <n v="237"/>
    <n v="35"/>
    <n v="110"/>
    <n v="70"/>
    <n v="48"/>
    <x v="1"/>
    <x v="0"/>
  </r>
  <r>
    <x v="237"/>
    <s v="Muchulムチュール"/>
    <x v="13"/>
    <x v="10"/>
    <x v="155"/>
    <s v="Oblivious"/>
    <s v="Forewarn"/>
    <s v="Hydration"/>
    <s v=""/>
    <s v=""/>
    <s v=""/>
    <n v="2"/>
    <n v="2"/>
    <n v="1"/>
    <n v="1"/>
    <n v="1"/>
    <n v="1"/>
    <n v="2"/>
    <n v="1"/>
    <n v="2"/>
    <n v="1"/>
    <n v="1"/>
    <n v="0.5"/>
    <n v="1"/>
    <n v="1"/>
    <n v="0.5"/>
    <n v="2"/>
    <n v="2"/>
    <n v="1"/>
    <n v="30"/>
    <n v="6400"/>
    <n v="70"/>
    <n v="305"/>
    <n v="45"/>
    <n v="15"/>
    <n v="1000000"/>
    <n v="0.4"/>
    <n v="45"/>
    <n v="0"/>
    <n v="100"/>
    <n v="238"/>
    <n v="85"/>
    <n v="65"/>
    <n v="65"/>
    <n v="6"/>
    <x v="1"/>
    <x v="0"/>
  </r>
  <r>
    <x v="238"/>
    <s v="Elekidエレキッド"/>
    <x v="6"/>
    <x v="1"/>
    <x v="77"/>
    <s v="Static"/>
    <s v="Vital Spirit"/>
    <s v=""/>
    <s v=""/>
    <s v=""/>
    <s v=""/>
    <n v="1"/>
    <n v="1"/>
    <n v="1"/>
    <n v="0.5"/>
    <n v="1"/>
    <n v="1"/>
    <n v="1"/>
    <n v="0.5"/>
    <n v="1"/>
    <n v="1"/>
    <n v="2"/>
    <n v="1"/>
    <n v="1"/>
    <n v="1"/>
    <n v="1"/>
    <n v="1"/>
    <n v="0.5"/>
    <n v="1"/>
    <n v="63"/>
    <n v="6400"/>
    <n v="70"/>
    <n v="360"/>
    <n v="45"/>
    <n v="37"/>
    <n v="1000000"/>
    <n v="0.6"/>
    <n v="45"/>
    <n v="75.400000000000006"/>
    <n v="24.599999999999994"/>
    <n v="239"/>
    <n v="65"/>
    <n v="55"/>
    <n v="95"/>
    <n v="23.5"/>
    <x v="1"/>
    <x v="0"/>
  </r>
  <r>
    <x v="239"/>
    <s v="Bubyブビィ"/>
    <x v="1"/>
    <x v="1"/>
    <x v="156"/>
    <s v="Flame Body"/>
    <s v="Vital Spirit"/>
    <s v=""/>
    <s v=""/>
    <s v=""/>
    <s v=""/>
    <n v="0.5"/>
    <n v="1"/>
    <n v="1"/>
    <n v="1"/>
    <n v="0.5"/>
    <n v="1"/>
    <n v="0.5"/>
    <n v="1"/>
    <n v="1"/>
    <n v="0.5"/>
    <n v="2"/>
    <n v="0.5"/>
    <n v="1"/>
    <n v="1"/>
    <n v="1"/>
    <n v="2"/>
    <n v="0.5"/>
    <n v="2"/>
    <n v="75"/>
    <n v="6400"/>
    <n v="70"/>
    <n v="365"/>
    <n v="45"/>
    <n v="37"/>
    <n v="1000000"/>
    <n v="0.7"/>
    <n v="45"/>
    <n v="75.400000000000006"/>
    <n v="24.599999999999994"/>
    <n v="240"/>
    <n v="70"/>
    <n v="55"/>
    <n v="83"/>
    <n v="21.4"/>
    <x v="1"/>
    <x v="0"/>
  </r>
  <r>
    <x v="240"/>
    <s v="Miltankミルタンク"/>
    <x v="4"/>
    <x v="1"/>
    <x v="157"/>
    <s v="Thick Fat"/>
    <s v="Scrappy"/>
    <s v="Sap Sipper"/>
    <s v=""/>
    <s v=""/>
    <s v=""/>
    <n v="1"/>
    <n v="1"/>
    <n v="1"/>
    <n v="1"/>
    <n v="1"/>
    <n v="2"/>
    <n v="1"/>
    <n v="1"/>
    <n v="0"/>
    <n v="1"/>
    <n v="1"/>
    <n v="1"/>
    <n v="1"/>
    <n v="1"/>
    <n v="1"/>
    <n v="1"/>
    <n v="1"/>
    <n v="1"/>
    <n v="80"/>
    <n v="5120"/>
    <n v="70"/>
    <n v="490"/>
    <n v="45"/>
    <n v="105"/>
    <n v="1250000"/>
    <n v="1.2"/>
    <n v="95"/>
    <n v="0"/>
    <n v="100"/>
    <n v="241"/>
    <n v="40"/>
    <n v="70"/>
    <n v="100"/>
    <n v="75.5"/>
    <x v="1"/>
    <x v="0"/>
  </r>
  <r>
    <x v="241"/>
    <s v="Happinasハピナス"/>
    <x v="4"/>
    <x v="1"/>
    <x v="111"/>
    <s v="Natural Cure"/>
    <s v="Serene Grace"/>
    <s v="Healer"/>
    <s v=""/>
    <s v=""/>
    <s v=""/>
    <n v="1"/>
    <n v="1"/>
    <n v="1"/>
    <n v="1"/>
    <n v="1"/>
    <n v="2"/>
    <n v="1"/>
    <n v="1"/>
    <n v="0"/>
    <n v="1"/>
    <n v="1"/>
    <n v="1"/>
    <n v="1"/>
    <n v="1"/>
    <n v="1"/>
    <n v="1"/>
    <n v="1"/>
    <n v="1"/>
    <n v="10"/>
    <n v="10240"/>
    <n v="140"/>
    <n v="540"/>
    <n v="30"/>
    <n v="10"/>
    <n v="800000"/>
    <n v="1.5"/>
    <n v="255"/>
    <n v="0"/>
    <n v="100"/>
    <n v="242"/>
    <n v="75"/>
    <n v="135"/>
    <n v="55"/>
    <n v="46.8"/>
    <x v="1"/>
    <x v="0"/>
  </r>
  <r>
    <x v="242"/>
    <s v="Raikouライコウ"/>
    <x v="6"/>
    <x v="1"/>
    <x v="158"/>
    <s v="Pressure"/>
    <s v="Inner Focus"/>
    <s v=""/>
    <s v=""/>
    <s v=""/>
    <s v=""/>
    <n v="1"/>
    <n v="1"/>
    <n v="1"/>
    <n v="0.5"/>
    <n v="1"/>
    <n v="1"/>
    <n v="1"/>
    <n v="0.5"/>
    <n v="1"/>
    <n v="1"/>
    <n v="2"/>
    <n v="1"/>
    <n v="1"/>
    <n v="1"/>
    <n v="1"/>
    <n v="1"/>
    <n v="0.5"/>
    <n v="1"/>
    <n v="85"/>
    <n v="20480"/>
    <n v="35"/>
    <n v="580"/>
    <n v="3"/>
    <n v="75"/>
    <n v="1250000"/>
    <n v="1.9"/>
    <n v="90"/>
    <s v=""/>
    <s v=""/>
    <n v="243"/>
    <n v="115"/>
    <n v="100"/>
    <n v="115"/>
    <n v="178"/>
    <x v="1"/>
    <x v="1"/>
  </r>
  <r>
    <x v="243"/>
    <s v="Enteiエンテイ"/>
    <x v="1"/>
    <x v="1"/>
    <x v="98"/>
    <s v="Pressure"/>
    <s v="Inner Focus"/>
    <s v=""/>
    <s v=""/>
    <s v=""/>
    <s v=""/>
    <n v="0.5"/>
    <n v="1"/>
    <n v="1"/>
    <n v="1"/>
    <n v="0.5"/>
    <n v="1"/>
    <n v="0.5"/>
    <n v="1"/>
    <n v="1"/>
    <n v="0.5"/>
    <n v="2"/>
    <n v="0.5"/>
    <n v="1"/>
    <n v="1"/>
    <n v="1"/>
    <n v="2"/>
    <n v="0.5"/>
    <n v="2"/>
    <n v="115"/>
    <n v="20480"/>
    <n v="35"/>
    <n v="580"/>
    <n v="3"/>
    <n v="85"/>
    <n v="1250000"/>
    <n v="2.1"/>
    <n v="115"/>
    <s v=""/>
    <s v=""/>
    <n v="244"/>
    <n v="90"/>
    <n v="75"/>
    <n v="100"/>
    <n v="198"/>
    <x v="1"/>
    <x v="1"/>
  </r>
  <r>
    <x v="244"/>
    <s v="Suicuneスイクン"/>
    <x v="2"/>
    <x v="1"/>
    <x v="159"/>
    <s v="Pressure"/>
    <s v="Inner Focus"/>
    <s v=""/>
    <s v=""/>
    <s v=""/>
    <s v=""/>
    <n v="1"/>
    <n v="1"/>
    <n v="1"/>
    <n v="2"/>
    <n v="1"/>
    <n v="1"/>
    <n v="0.5"/>
    <n v="1"/>
    <n v="1"/>
    <n v="2"/>
    <n v="1"/>
    <n v="0.5"/>
    <n v="1"/>
    <n v="1"/>
    <n v="1"/>
    <n v="1"/>
    <n v="0.5"/>
    <n v="0.5"/>
    <n v="75"/>
    <n v="20480"/>
    <n v="35"/>
    <n v="580"/>
    <n v="3"/>
    <n v="115"/>
    <n v="1250000"/>
    <n v="2"/>
    <n v="100"/>
    <s v=""/>
    <s v=""/>
    <n v="245"/>
    <n v="90"/>
    <n v="115"/>
    <n v="85"/>
    <n v="187"/>
    <x v="1"/>
    <x v="1"/>
  </r>
  <r>
    <x v="245"/>
    <s v="Yogirasヨーギラス"/>
    <x v="11"/>
    <x v="6"/>
    <x v="160"/>
    <s v="Guts"/>
    <s v="Sand Veil"/>
    <s v=""/>
    <s v=""/>
    <s v=""/>
    <s v=""/>
    <n v="1"/>
    <n v="1"/>
    <n v="1"/>
    <n v="0"/>
    <n v="1"/>
    <n v="2"/>
    <n v="0.5"/>
    <n v="0.5"/>
    <n v="1"/>
    <n v="4"/>
    <n v="2"/>
    <n v="2"/>
    <n v="0.5"/>
    <n v="0.25"/>
    <n v="1"/>
    <n v="0.5"/>
    <n v="2"/>
    <n v="4"/>
    <n v="64"/>
    <n v="10240"/>
    <n v="35"/>
    <n v="300"/>
    <n v="45"/>
    <n v="50"/>
    <n v="1250000"/>
    <n v="0.6"/>
    <n v="50"/>
    <n v="50"/>
    <n v="50"/>
    <n v="246"/>
    <n v="45"/>
    <n v="50"/>
    <n v="41"/>
    <n v="72"/>
    <x v="1"/>
    <x v="0"/>
  </r>
  <r>
    <x v="246"/>
    <s v="Sanagirasサナギラス"/>
    <x v="11"/>
    <x v="6"/>
    <x v="161"/>
    <s v="Shed Skin"/>
    <s v=""/>
    <s v=""/>
    <s v=""/>
    <s v=""/>
    <s v=""/>
    <n v="1"/>
    <n v="1"/>
    <n v="1"/>
    <n v="0"/>
    <n v="1"/>
    <n v="2"/>
    <n v="0.5"/>
    <n v="0.5"/>
    <n v="1"/>
    <n v="4"/>
    <n v="2"/>
    <n v="2"/>
    <n v="0.5"/>
    <n v="0.25"/>
    <n v="1"/>
    <n v="0.5"/>
    <n v="2"/>
    <n v="4"/>
    <n v="84"/>
    <n v="10240"/>
    <n v="35"/>
    <n v="410"/>
    <n v="45"/>
    <n v="70"/>
    <n v="1250000"/>
    <n v="1.2"/>
    <n v="70"/>
    <n v="50"/>
    <n v="50"/>
    <n v="247"/>
    <n v="65"/>
    <n v="70"/>
    <n v="51"/>
    <n v="152"/>
    <x v="1"/>
    <x v="0"/>
  </r>
  <r>
    <x v="247"/>
    <s v="Bangirasバンギラス"/>
    <x v="11"/>
    <x v="3"/>
    <x v="150"/>
    <s v="Sand Stream"/>
    <s v="Unnerve"/>
    <s v=""/>
    <s v=""/>
    <s v=""/>
    <s v=""/>
    <n v="2"/>
    <n v="0.5"/>
    <n v="1"/>
    <n v="1"/>
    <n v="2"/>
    <n v="4"/>
    <n v="0.5"/>
    <n v="0.5"/>
    <n v="0.5"/>
    <n v="2"/>
    <n v="2"/>
    <n v="1"/>
    <n v="0.5"/>
    <n v="0.5"/>
    <n v="0"/>
    <n v="1"/>
    <n v="2"/>
    <n v="2"/>
    <n v="164"/>
    <n v="10240"/>
    <n v="35"/>
    <n v="700"/>
    <n v="45"/>
    <n v="150"/>
    <n v="1250000"/>
    <n v="2"/>
    <n v="100"/>
    <n v="50"/>
    <n v="50"/>
    <n v="248"/>
    <n v="95"/>
    <n v="120"/>
    <n v="71"/>
    <n v="202"/>
    <x v="1"/>
    <x v="0"/>
  </r>
  <r>
    <x v="248"/>
    <s v="Lugiaルギア"/>
    <x v="10"/>
    <x v="2"/>
    <x v="162"/>
    <s v="Pressure"/>
    <s v="Multiscale"/>
    <s v=""/>
    <s v=""/>
    <s v=""/>
    <s v=""/>
    <n v="1"/>
    <n v="2"/>
    <n v="1"/>
    <n v="2"/>
    <n v="1"/>
    <n v="0.25"/>
    <n v="1"/>
    <n v="1"/>
    <n v="2"/>
    <n v="0.5"/>
    <n v="0"/>
    <n v="2"/>
    <n v="1"/>
    <n v="1"/>
    <n v="0.5"/>
    <n v="2"/>
    <n v="1"/>
    <n v="1"/>
    <n v="90"/>
    <n v="30720"/>
    <n v="0"/>
    <n v="680"/>
    <n v="3"/>
    <n v="130"/>
    <n v="1250000"/>
    <n v="5.2"/>
    <n v="106"/>
    <s v=""/>
    <s v=""/>
    <n v="249"/>
    <n v="90"/>
    <n v="154"/>
    <n v="110"/>
    <n v="216"/>
    <x v="1"/>
    <x v="1"/>
  </r>
  <r>
    <x v="249"/>
    <s v="Hououホウオウ"/>
    <x v="1"/>
    <x v="2"/>
    <x v="163"/>
    <s v="Pressure"/>
    <s v="Regenerator"/>
    <s v=""/>
    <s v=""/>
    <s v=""/>
    <s v=""/>
    <n v="0.25"/>
    <n v="1"/>
    <n v="1"/>
    <n v="2"/>
    <n v="0.5"/>
    <n v="0.5"/>
    <n v="0.5"/>
    <n v="1"/>
    <n v="1"/>
    <n v="0.25"/>
    <n v="0"/>
    <n v="1"/>
    <n v="1"/>
    <n v="1"/>
    <n v="1"/>
    <n v="4"/>
    <n v="0.5"/>
    <n v="2"/>
    <n v="130"/>
    <n v="30720"/>
    <n v="0"/>
    <n v="680"/>
    <n v="3"/>
    <n v="90"/>
    <n v="1250000"/>
    <n v="3.8"/>
    <n v="106"/>
    <s v=""/>
    <s v=""/>
    <n v="250"/>
    <n v="110"/>
    <n v="154"/>
    <n v="90"/>
    <n v="199"/>
    <x v="1"/>
    <x v="1"/>
  </r>
  <r>
    <x v="250"/>
    <s v="Celebiセレビィ"/>
    <x v="10"/>
    <x v="8"/>
    <x v="164"/>
    <s v="Natural Cure"/>
    <s v=""/>
    <s v=""/>
    <s v=""/>
    <s v=""/>
    <s v=""/>
    <n v="4"/>
    <n v="2"/>
    <n v="1"/>
    <n v="0.5"/>
    <n v="1"/>
    <n v="0.5"/>
    <n v="2"/>
    <n v="2"/>
    <n v="2"/>
    <n v="0.5"/>
    <n v="0.5"/>
    <n v="2"/>
    <n v="1"/>
    <n v="2"/>
    <n v="0.5"/>
    <n v="1"/>
    <n v="1"/>
    <n v="0.5"/>
    <n v="100"/>
    <n v="30720"/>
    <n v="100"/>
    <n v="600"/>
    <n v="45"/>
    <n v="100"/>
    <n v="1059860"/>
    <n v="0.6"/>
    <n v="100"/>
    <s v=""/>
    <s v=""/>
    <n v="251"/>
    <n v="100"/>
    <n v="100"/>
    <n v="100"/>
    <n v="5"/>
    <x v="1"/>
    <x v="1"/>
  </r>
  <r>
    <x v="251"/>
    <s v="Kimoriキモリ"/>
    <x v="0"/>
    <x v="1"/>
    <x v="165"/>
    <s v="Overgrow"/>
    <s v="Unburden"/>
    <s v=""/>
    <s v=""/>
    <s v=""/>
    <s v=""/>
    <n v="2"/>
    <n v="1"/>
    <n v="1"/>
    <n v="0.5"/>
    <n v="1"/>
    <n v="1"/>
    <n v="2"/>
    <n v="2"/>
    <n v="1"/>
    <n v="0.5"/>
    <n v="0.5"/>
    <n v="2"/>
    <n v="1"/>
    <n v="2"/>
    <n v="1"/>
    <n v="1"/>
    <n v="1"/>
    <n v="0.5"/>
    <n v="45"/>
    <n v="5120"/>
    <n v="70"/>
    <n v="310"/>
    <n v="45"/>
    <n v="35"/>
    <n v="1059860"/>
    <n v="0.5"/>
    <n v="40"/>
    <n v="88.1"/>
    <n v="11.900000000000006"/>
    <n v="252"/>
    <n v="65"/>
    <n v="55"/>
    <n v="70"/>
    <n v="5"/>
    <x v="2"/>
    <x v="0"/>
  </r>
  <r>
    <x v="252"/>
    <s v="Juptileジュプトル"/>
    <x v="0"/>
    <x v="1"/>
    <x v="165"/>
    <s v="Overgrow"/>
    <s v="Unburden"/>
    <s v=""/>
    <s v=""/>
    <s v=""/>
    <s v=""/>
    <n v="2"/>
    <n v="1"/>
    <n v="1"/>
    <n v="0.5"/>
    <n v="1"/>
    <n v="1"/>
    <n v="2"/>
    <n v="2"/>
    <n v="1"/>
    <n v="0.5"/>
    <n v="0.5"/>
    <n v="2"/>
    <n v="1"/>
    <n v="2"/>
    <n v="1"/>
    <n v="1"/>
    <n v="1"/>
    <n v="0.5"/>
    <n v="65"/>
    <n v="5120"/>
    <n v="70"/>
    <n v="405"/>
    <n v="45"/>
    <n v="45"/>
    <n v="1059860"/>
    <n v="0.9"/>
    <n v="50"/>
    <n v="88.1"/>
    <n v="11.900000000000006"/>
    <n v="253"/>
    <n v="85"/>
    <n v="65"/>
    <n v="95"/>
    <n v="21.6"/>
    <x v="2"/>
    <x v="0"/>
  </r>
  <r>
    <x v="253"/>
    <s v="Jukainジュカイン"/>
    <x v="0"/>
    <x v="1"/>
    <x v="166"/>
    <s v="Overgrow"/>
    <s v="Unburden"/>
    <s v=""/>
    <s v=""/>
    <s v=""/>
    <s v=""/>
    <n v="2"/>
    <n v="1"/>
    <n v="1"/>
    <n v="0.5"/>
    <n v="1"/>
    <n v="1"/>
    <n v="2"/>
    <n v="2"/>
    <n v="1"/>
    <n v="0.5"/>
    <n v="0.5"/>
    <n v="2"/>
    <n v="1"/>
    <n v="2"/>
    <n v="1"/>
    <n v="1"/>
    <n v="1"/>
    <n v="0.5"/>
    <n v="110"/>
    <n v="5120"/>
    <n v="70"/>
    <n v="630"/>
    <n v="45"/>
    <n v="75"/>
    <n v="1059860"/>
    <n v="1.7"/>
    <n v="70"/>
    <n v="88.1"/>
    <n v="11.900000000000006"/>
    <n v="254"/>
    <n v="145"/>
    <n v="85"/>
    <n v="145"/>
    <n v="52.2"/>
    <x v="2"/>
    <x v="0"/>
  </r>
  <r>
    <x v="254"/>
    <s v="Achamoアチャモ"/>
    <x v="1"/>
    <x v="1"/>
    <x v="167"/>
    <s v="Blaze"/>
    <s v="Speed Boost"/>
    <s v=""/>
    <s v=""/>
    <s v=""/>
    <s v=""/>
    <n v="0.5"/>
    <n v="1"/>
    <n v="1"/>
    <n v="1"/>
    <n v="0.5"/>
    <n v="1"/>
    <n v="0.5"/>
    <n v="1"/>
    <n v="1"/>
    <n v="0.5"/>
    <n v="2"/>
    <n v="0.5"/>
    <n v="1"/>
    <n v="1"/>
    <n v="1"/>
    <n v="2"/>
    <n v="0.5"/>
    <n v="2"/>
    <n v="60"/>
    <n v="5120"/>
    <n v="70"/>
    <n v="310"/>
    <n v="45"/>
    <n v="40"/>
    <n v="1059860"/>
    <n v="0.4"/>
    <n v="45"/>
    <n v="88.1"/>
    <n v="11.900000000000006"/>
    <n v="255"/>
    <n v="70"/>
    <n v="50"/>
    <n v="45"/>
    <n v="2.5"/>
    <x v="2"/>
    <x v="0"/>
  </r>
  <r>
    <x v="255"/>
    <s v="Wakasyamoワカシャモ"/>
    <x v="1"/>
    <x v="9"/>
    <x v="168"/>
    <s v="Blaze"/>
    <s v="Speed Boost"/>
    <s v=""/>
    <s v=""/>
    <s v=""/>
    <s v=""/>
    <n v="0.25"/>
    <n v="0.5"/>
    <n v="1"/>
    <n v="1"/>
    <n v="1"/>
    <n v="1"/>
    <n v="0.5"/>
    <n v="2"/>
    <n v="1"/>
    <n v="0.5"/>
    <n v="2"/>
    <n v="0.5"/>
    <n v="1"/>
    <n v="1"/>
    <n v="2"/>
    <n v="1"/>
    <n v="0.5"/>
    <n v="2"/>
    <n v="85"/>
    <n v="5120"/>
    <n v="70"/>
    <n v="405"/>
    <n v="45"/>
    <n v="60"/>
    <n v="1059860"/>
    <n v="0.9"/>
    <n v="60"/>
    <n v="88.1"/>
    <n v="11.900000000000006"/>
    <n v="256"/>
    <n v="85"/>
    <n v="60"/>
    <n v="55"/>
    <n v="19.5"/>
    <x v="2"/>
    <x v="0"/>
  </r>
  <r>
    <x v="256"/>
    <s v="Bursyamoバシャーモ"/>
    <x v="1"/>
    <x v="9"/>
    <x v="169"/>
    <s v="Blaze"/>
    <s v="Speed Boost"/>
    <s v=""/>
    <s v=""/>
    <s v=""/>
    <s v=""/>
    <n v="0.25"/>
    <n v="0.5"/>
    <n v="1"/>
    <n v="1"/>
    <n v="1"/>
    <n v="1"/>
    <n v="0.5"/>
    <n v="2"/>
    <n v="1"/>
    <n v="0.5"/>
    <n v="2"/>
    <n v="0.5"/>
    <n v="1"/>
    <n v="1"/>
    <n v="2"/>
    <n v="1"/>
    <n v="0.5"/>
    <n v="2"/>
    <n v="160"/>
    <n v="5120"/>
    <n v="70"/>
    <n v="630"/>
    <n v="45"/>
    <n v="80"/>
    <n v="1059860"/>
    <n v="1.9"/>
    <n v="80"/>
    <n v="88.1"/>
    <n v="11.900000000000006"/>
    <n v="257"/>
    <n v="130"/>
    <n v="80"/>
    <n v="100"/>
    <n v="52"/>
    <x v="2"/>
    <x v="0"/>
  </r>
  <r>
    <x v="257"/>
    <s v="Mizugorouミズゴロウ"/>
    <x v="2"/>
    <x v="1"/>
    <x v="170"/>
    <s v="Torrent"/>
    <s v="Damp"/>
    <s v=""/>
    <s v=""/>
    <s v=""/>
    <s v=""/>
    <n v="1"/>
    <n v="1"/>
    <n v="1"/>
    <n v="2"/>
    <n v="1"/>
    <n v="1"/>
    <n v="0.5"/>
    <n v="1"/>
    <n v="1"/>
    <n v="2"/>
    <n v="1"/>
    <n v="0.5"/>
    <n v="1"/>
    <n v="1"/>
    <n v="1"/>
    <n v="1"/>
    <n v="0.5"/>
    <n v="0.5"/>
    <n v="70"/>
    <n v="5120"/>
    <n v="70"/>
    <n v="310"/>
    <n v="45"/>
    <n v="50"/>
    <n v="1059860"/>
    <n v="0.4"/>
    <n v="50"/>
    <n v="88.1"/>
    <n v="11.900000000000006"/>
    <n v="258"/>
    <n v="50"/>
    <n v="50"/>
    <n v="40"/>
    <n v="7.6"/>
    <x v="2"/>
    <x v="0"/>
  </r>
  <r>
    <x v="258"/>
    <s v="Numacrawヌマクロー"/>
    <x v="2"/>
    <x v="6"/>
    <x v="170"/>
    <s v="Torrent"/>
    <s v="Damp"/>
    <s v=""/>
    <s v=""/>
    <s v=""/>
    <s v=""/>
    <n v="1"/>
    <n v="1"/>
    <n v="1"/>
    <n v="0"/>
    <n v="1"/>
    <n v="1"/>
    <n v="0.5"/>
    <n v="1"/>
    <n v="1"/>
    <n v="4"/>
    <n v="1"/>
    <n v="1"/>
    <n v="1"/>
    <n v="0.5"/>
    <n v="1"/>
    <n v="0.5"/>
    <n v="0.5"/>
    <n v="1"/>
    <n v="85"/>
    <n v="5120"/>
    <n v="70"/>
    <n v="405"/>
    <n v="45"/>
    <n v="70"/>
    <n v="1059860"/>
    <n v="0.7"/>
    <n v="70"/>
    <n v="88.1"/>
    <n v="11.900000000000006"/>
    <n v="259"/>
    <n v="60"/>
    <n v="70"/>
    <n v="50"/>
    <n v="28"/>
    <x v="2"/>
    <x v="0"/>
  </r>
  <r>
    <x v="259"/>
    <s v="Laglargeラグラージ"/>
    <x v="2"/>
    <x v="6"/>
    <x v="170"/>
    <s v="Torrent"/>
    <s v="Damp"/>
    <s v=""/>
    <s v=""/>
    <s v=""/>
    <s v=""/>
    <n v="1"/>
    <n v="1"/>
    <n v="1"/>
    <n v="0"/>
    <n v="1"/>
    <n v="1"/>
    <n v="0.5"/>
    <n v="1"/>
    <n v="1"/>
    <n v="4"/>
    <n v="1"/>
    <n v="1"/>
    <n v="1"/>
    <n v="0.5"/>
    <n v="1"/>
    <n v="0.5"/>
    <n v="0.5"/>
    <n v="1"/>
    <n v="150"/>
    <n v="5120"/>
    <n v="70"/>
    <n v="635"/>
    <n v="45"/>
    <n v="110"/>
    <n v="1059860"/>
    <n v="1.5"/>
    <n v="100"/>
    <n v="88.1"/>
    <n v="11.900000000000006"/>
    <n v="260"/>
    <n v="95"/>
    <n v="110"/>
    <n v="70"/>
    <n v="81.900000000000006"/>
    <x v="2"/>
    <x v="0"/>
  </r>
  <r>
    <x v="260"/>
    <s v="Pochienaポチエナ"/>
    <x v="15"/>
    <x v="1"/>
    <x v="171"/>
    <s v="Run Away"/>
    <s v="Quick Feet"/>
    <s v="Rattled"/>
    <s v=""/>
    <s v=""/>
    <s v=""/>
    <n v="2"/>
    <n v="0.5"/>
    <n v="1"/>
    <n v="1"/>
    <n v="2"/>
    <n v="2"/>
    <n v="1"/>
    <n v="1"/>
    <n v="0.5"/>
    <n v="1"/>
    <n v="1"/>
    <n v="1"/>
    <n v="1"/>
    <n v="1"/>
    <n v="0"/>
    <n v="1"/>
    <n v="1"/>
    <n v="1"/>
    <n v="55"/>
    <n v="3840"/>
    <n v="70"/>
    <n v="220"/>
    <n v="255"/>
    <n v="35"/>
    <n v="1000000"/>
    <n v="0.5"/>
    <n v="35"/>
    <n v="50"/>
    <n v="50"/>
    <n v="261"/>
    <n v="30"/>
    <n v="30"/>
    <n v="35"/>
    <n v="13.6"/>
    <x v="2"/>
    <x v="0"/>
  </r>
  <r>
    <x v="261"/>
    <s v="Graenaグラエナ"/>
    <x v="15"/>
    <x v="1"/>
    <x v="171"/>
    <s v="Intimidate"/>
    <s v="Quick Feet"/>
    <s v="Moxie"/>
    <s v=""/>
    <s v=""/>
    <s v=""/>
    <n v="2"/>
    <n v="0.5"/>
    <n v="1"/>
    <n v="1"/>
    <n v="2"/>
    <n v="2"/>
    <n v="1"/>
    <n v="1"/>
    <n v="0.5"/>
    <n v="1"/>
    <n v="1"/>
    <n v="1"/>
    <n v="1"/>
    <n v="1"/>
    <n v="0"/>
    <n v="1"/>
    <n v="1"/>
    <n v="1"/>
    <n v="90"/>
    <n v="3840"/>
    <n v="70"/>
    <n v="420"/>
    <n v="127"/>
    <n v="70"/>
    <n v="1000000"/>
    <n v="1"/>
    <n v="70"/>
    <n v="50"/>
    <n v="50"/>
    <n v="262"/>
    <n v="60"/>
    <n v="60"/>
    <n v="70"/>
    <n v="37"/>
    <x v="2"/>
    <x v="0"/>
  </r>
  <r>
    <x v="262"/>
    <s v="Jiguzagumaジグザグマ"/>
    <x v="4"/>
    <x v="1"/>
    <x v="172"/>
    <s v="Pickup"/>
    <s v="Gluttony"/>
    <s v="Quick Feet"/>
    <s v=""/>
    <s v=""/>
    <s v=""/>
    <n v="1"/>
    <n v="1"/>
    <n v="1"/>
    <n v="1"/>
    <n v="1"/>
    <n v="2"/>
    <n v="1"/>
    <n v="1"/>
    <n v="0"/>
    <n v="1"/>
    <n v="1"/>
    <n v="1"/>
    <n v="1"/>
    <n v="1"/>
    <n v="1"/>
    <n v="1"/>
    <n v="1"/>
    <n v="1"/>
    <n v="30"/>
    <n v="3840"/>
    <n v="70"/>
    <n v="240"/>
    <n v="255"/>
    <n v="41"/>
    <n v="1000000"/>
    <n v="0.4"/>
    <n v="38"/>
    <n v="50"/>
    <n v="50"/>
    <n v="263"/>
    <n v="30"/>
    <n v="41"/>
    <n v="60"/>
    <n v="17.5"/>
    <x v="2"/>
    <x v="0"/>
  </r>
  <r>
    <x v="263"/>
    <s v="Massugumaマッスグマ"/>
    <x v="4"/>
    <x v="1"/>
    <x v="173"/>
    <s v="Pickup"/>
    <s v="Gluttony"/>
    <s v="Quick Feet"/>
    <s v=""/>
    <s v=""/>
    <s v=""/>
    <n v="1"/>
    <n v="1"/>
    <n v="1"/>
    <n v="1"/>
    <n v="1"/>
    <n v="2"/>
    <n v="1"/>
    <n v="1"/>
    <n v="0"/>
    <n v="1"/>
    <n v="1"/>
    <n v="1"/>
    <n v="1"/>
    <n v="1"/>
    <n v="1"/>
    <n v="1"/>
    <n v="1"/>
    <n v="1"/>
    <n v="70"/>
    <n v="3840"/>
    <n v="70"/>
    <n v="420"/>
    <n v="90"/>
    <n v="61"/>
    <n v="1000000"/>
    <n v="0.5"/>
    <n v="78"/>
    <n v="50"/>
    <n v="50"/>
    <n v="264"/>
    <n v="50"/>
    <n v="61"/>
    <n v="100"/>
    <n v="32.5"/>
    <x v="2"/>
    <x v="0"/>
  </r>
  <r>
    <x v="264"/>
    <s v="Kemussoケムッソ"/>
    <x v="3"/>
    <x v="1"/>
    <x v="6"/>
    <s v="Shield Dust"/>
    <s v="Run Away"/>
    <s v=""/>
    <s v=""/>
    <s v=""/>
    <s v=""/>
    <n v="1"/>
    <n v="1"/>
    <n v="1"/>
    <n v="1"/>
    <n v="1"/>
    <n v="0.5"/>
    <n v="2"/>
    <n v="2"/>
    <n v="1"/>
    <n v="0.5"/>
    <n v="0.5"/>
    <n v="1"/>
    <n v="1"/>
    <n v="1"/>
    <n v="1"/>
    <n v="2"/>
    <n v="1"/>
    <n v="1"/>
    <n v="45"/>
    <n v="3840"/>
    <n v="70"/>
    <n v="195"/>
    <n v="255"/>
    <n v="35"/>
    <n v="1000000"/>
    <n v="0.3"/>
    <n v="45"/>
    <n v="50"/>
    <n v="50"/>
    <n v="265"/>
    <n v="20"/>
    <n v="30"/>
    <n v="20"/>
    <n v="3.6"/>
    <x v="2"/>
    <x v="0"/>
  </r>
  <r>
    <x v="265"/>
    <s v="Karasalisカラサリス"/>
    <x v="3"/>
    <x v="1"/>
    <x v="7"/>
    <s v="Shed Skin"/>
    <s v=""/>
    <s v=""/>
    <s v=""/>
    <s v=""/>
    <s v=""/>
    <n v="1"/>
    <n v="1"/>
    <n v="1"/>
    <n v="1"/>
    <n v="1"/>
    <n v="0.5"/>
    <n v="2"/>
    <n v="2"/>
    <n v="1"/>
    <n v="0.5"/>
    <n v="0.5"/>
    <n v="1"/>
    <n v="1"/>
    <n v="1"/>
    <n v="1"/>
    <n v="2"/>
    <n v="1"/>
    <n v="1"/>
    <n v="35"/>
    <n v="3840"/>
    <n v="70"/>
    <n v="205"/>
    <n v="120"/>
    <n v="55"/>
    <n v="1000000"/>
    <n v="0.6"/>
    <n v="50"/>
    <n v="50"/>
    <n v="50"/>
    <n v="266"/>
    <n v="25"/>
    <n v="25"/>
    <n v="15"/>
    <n v="10"/>
    <x v="2"/>
    <x v="0"/>
  </r>
  <r>
    <x v="266"/>
    <s v="Agehuntアゲハント"/>
    <x v="3"/>
    <x v="2"/>
    <x v="8"/>
    <s v="Swarm"/>
    <s v="Rivalry"/>
    <s v=""/>
    <s v=""/>
    <s v=""/>
    <s v=""/>
    <n v="0.5"/>
    <n v="1"/>
    <n v="1"/>
    <n v="2"/>
    <n v="1"/>
    <n v="0.25"/>
    <n v="2"/>
    <n v="2"/>
    <n v="1"/>
    <n v="0.25"/>
    <n v="0"/>
    <n v="2"/>
    <n v="1"/>
    <n v="1"/>
    <n v="1"/>
    <n v="4"/>
    <n v="1"/>
    <n v="1"/>
    <n v="70"/>
    <n v="3840"/>
    <n v="70"/>
    <n v="395"/>
    <n v="45"/>
    <n v="50"/>
    <n v="1000000"/>
    <n v="1"/>
    <n v="60"/>
    <n v="50"/>
    <n v="50"/>
    <n v="267"/>
    <n v="100"/>
    <n v="50"/>
    <n v="65"/>
    <n v="28.4"/>
    <x v="2"/>
    <x v="0"/>
  </r>
  <r>
    <x v="267"/>
    <s v="Mayuldマユルド"/>
    <x v="3"/>
    <x v="1"/>
    <x v="7"/>
    <s v="Shed Skin"/>
    <s v=""/>
    <s v=""/>
    <s v=""/>
    <s v=""/>
    <s v=""/>
    <n v="1"/>
    <n v="1"/>
    <n v="1"/>
    <n v="1"/>
    <n v="1"/>
    <n v="0.5"/>
    <n v="2"/>
    <n v="2"/>
    <n v="1"/>
    <n v="0.5"/>
    <n v="0.5"/>
    <n v="1"/>
    <n v="1"/>
    <n v="1"/>
    <n v="1"/>
    <n v="2"/>
    <n v="1"/>
    <n v="1"/>
    <n v="35"/>
    <n v="3840"/>
    <n v="70"/>
    <n v="205"/>
    <n v="120"/>
    <n v="55"/>
    <n v="1000000"/>
    <n v="0.7"/>
    <n v="50"/>
    <n v="50"/>
    <n v="50"/>
    <n v="268"/>
    <n v="25"/>
    <n v="25"/>
    <n v="15"/>
    <n v="11.5"/>
    <x v="2"/>
    <x v="0"/>
  </r>
  <r>
    <x v="268"/>
    <s v="Dokucaleドクケイル"/>
    <x v="3"/>
    <x v="0"/>
    <x v="27"/>
    <s v="Shield Dust"/>
    <s v="Compoundeyes"/>
    <s v=""/>
    <s v=""/>
    <s v=""/>
    <s v=""/>
    <n v="0.5"/>
    <n v="1"/>
    <n v="1"/>
    <n v="1"/>
    <n v="0.5"/>
    <n v="0.25"/>
    <n v="2"/>
    <n v="2"/>
    <n v="1"/>
    <n v="0.25"/>
    <n v="1"/>
    <n v="1"/>
    <n v="1"/>
    <n v="0.5"/>
    <n v="2"/>
    <n v="2"/>
    <n v="1"/>
    <n v="1"/>
    <n v="50"/>
    <n v="3840"/>
    <n v="70"/>
    <n v="385"/>
    <n v="45"/>
    <n v="70"/>
    <n v="1000000"/>
    <n v="1.2"/>
    <n v="60"/>
    <n v="50"/>
    <n v="50"/>
    <n v="269"/>
    <n v="50"/>
    <n v="90"/>
    <n v="65"/>
    <n v="31.6"/>
    <x v="2"/>
    <x v="0"/>
  </r>
  <r>
    <x v="269"/>
    <s v="Hassbohハスボー"/>
    <x v="2"/>
    <x v="8"/>
    <x v="174"/>
    <s v="Swift Swim"/>
    <s v="Rain Dish"/>
    <s v="Own Tempo"/>
    <s v=""/>
    <s v=""/>
    <s v=""/>
    <n v="2"/>
    <n v="1"/>
    <n v="1"/>
    <n v="1"/>
    <n v="1"/>
    <n v="1"/>
    <n v="1"/>
    <n v="2"/>
    <n v="1"/>
    <n v="1"/>
    <n v="0.5"/>
    <n v="1"/>
    <n v="1"/>
    <n v="2"/>
    <n v="1"/>
    <n v="1"/>
    <n v="0.5"/>
    <n v="0.25"/>
    <n v="30"/>
    <n v="3840"/>
    <n v="70"/>
    <n v="220"/>
    <n v="255"/>
    <n v="30"/>
    <n v="1059860"/>
    <n v="0.5"/>
    <n v="40"/>
    <n v="50"/>
    <n v="50"/>
    <n v="270"/>
    <n v="40"/>
    <n v="50"/>
    <n v="30"/>
    <n v="2.6"/>
    <x v="2"/>
    <x v="0"/>
  </r>
  <r>
    <x v="270"/>
    <s v="Hasubreroハスブレロ"/>
    <x v="2"/>
    <x v="8"/>
    <x v="175"/>
    <s v="Swift Swim"/>
    <s v="Rain Dish"/>
    <s v="Own Tempo"/>
    <s v=""/>
    <s v=""/>
    <s v=""/>
    <n v="2"/>
    <n v="1"/>
    <n v="1"/>
    <n v="1"/>
    <n v="1"/>
    <n v="1"/>
    <n v="1"/>
    <n v="2"/>
    <n v="1"/>
    <n v="1"/>
    <n v="0.5"/>
    <n v="1"/>
    <n v="1"/>
    <n v="2"/>
    <n v="1"/>
    <n v="1"/>
    <n v="0.5"/>
    <n v="0.25"/>
    <n v="50"/>
    <n v="3840"/>
    <n v="70"/>
    <n v="340"/>
    <n v="120"/>
    <n v="50"/>
    <n v="1059860"/>
    <n v="1.2"/>
    <n v="60"/>
    <n v="50"/>
    <n v="50"/>
    <n v="271"/>
    <n v="60"/>
    <n v="70"/>
    <n v="50"/>
    <n v="32.5"/>
    <x v="2"/>
    <x v="0"/>
  </r>
  <r>
    <x v="271"/>
    <s v="Runpappaルンパッパ"/>
    <x v="2"/>
    <x v="8"/>
    <x v="176"/>
    <s v="Swift Swim"/>
    <s v="Rain Dish"/>
    <s v="Own Tempo"/>
    <s v=""/>
    <s v=""/>
    <s v=""/>
    <n v="2"/>
    <n v="1"/>
    <n v="1"/>
    <n v="1"/>
    <n v="1"/>
    <n v="1"/>
    <n v="1"/>
    <n v="2"/>
    <n v="1"/>
    <n v="1"/>
    <n v="0.5"/>
    <n v="1"/>
    <n v="1"/>
    <n v="2"/>
    <n v="1"/>
    <n v="1"/>
    <n v="0.5"/>
    <n v="0.25"/>
    <n v="70"/>
    <n v="3840"/>
    <n v="70"/>
    <n v="480"/>
    <n v="45"/>
    <n v="70"/>
    <n v="1059860"/>
    <n v="1.5"/>
    <n v="80"/>
    <n v="50"/>
    <n v="50"/>
    <n v="272"/>
    <n v="90"/>
    <n v="100"/>
    <n v="70"/>
    <n v="55"/>
    <x v="2"/>
    <x v="0"/>
  </r>
  <r>
    <x v="272"/>
    <s v="Tanebohタネボー"/>
    <x v="0"/>
    <x v="1"/>
    <x v="177"/>
    <s v="Chlorophyll"/>
    <s v="Early Bird"/>
    <s v="Pickpocket"/>
    <s v=""/>
    <s v=""/>
    <s v=""/>
    <n v="2"/>
    <n v="1"/>
    <n v="1"/>
    <n v="0.5"/>
    <n v="1"/>
    <n v="1"/>
    <n v="2"/>
    <n v="2"/>
    <n v="1"/>
    <n v="0.5"/>
    <n v="0.5"/>
    <n v="2"/>
    <n v="1"/>
    <n v="2"/>
    <n v="1"/>
    <n v="1"/>
    <n v="1"/>
    <n v="0.5"/>
    <n v="40"/>
    <n v="3840"/>
    <n v="70"/>
    <n v="220"/>
    <n v="255"/>
    <n v="50"/>
    <n v="1059860"/>
    <n v="0.5"/>
    <n v="40"/>
    <n v="50"/>
    <n v="50"/>
    <n v="273"/>
    <n v="30"/>
    <n v="30"/>
    <n v="30"/>
    <n v="4"/>
    <x v="2"/>
    <x v="0"/>
  </r>
  <r>
    <x v="273"/>
    <s v="Konohanaコノハナ"/>
    <x v="0"/>
    <x v="3"/>
    <x v="178"/>
    <s v="Chlorophyll"/>
    <s v="Early Bird"/>
    <s v="Pickpocket"/>
    <s v=""/>
    <s v=""/>
    <s v=""/>
    <n v="4"/>
    <n v="0.5"/>
    <n v="1"/>
    <n v="0.5"/>
    <n v="2"/>
    <n v="2"/>
    <n v="2"/>
    <n v="2"/>
    <n v="0.5"/>
    <n v="0.5"/>
    <n v="0.5"/>
    <n v="2"/>
    <n v="1"/>
    <n v="2"/>
    <n v="0"/>
    <n v="1"/>
    <n v="1"/>
    <n v="0.5"/>
    <n v="70"/>
    <n v="3840"/>
    <n v="70"/>
    <n v="340"/>
    <n v="120"/>
    <n v="40"/>
    <n v="1059860"/>
    <n v="1"/>
    <n v="70"/>
    <n v="50"/>
    <n v="50"/>
    <n v="274"/>
    <n v="60"/>
    <n v="40"/>
    <n v="60"/>
    <n v="28"/>
    <x v="2"/>
    <x v="0"/>
  </r>
  <r>
    <x v="274"/>
    <s v="Dirtengダーテング"/>
    <x v="0"/>
    <x v="3"/>
    <x v="179"/>
    <s v="Chlorophyll"/>
    <s v="Early Bird"/>
    <s v="Pickpocket"/>
    <s v=""/>
    <s v=""/>
    <s v=""/>
    <n v="4"/>
    <n v="0.5"/>
    <n v="1"/>
    <n v="0.5"/>
    <n v="2"/>
    <n v="2"/>
    <n v="2"/>
    <n v="2"/>
    <n v="0.5"/>
    <n v="0.5"/>
    <n v="0.5"/>
    <n v="2"/>
    <n v="1"/>
    <n v="2"/>
    <n v="0"/>
    <n v="1"/>
    <n v="1"/>
    <n v="0.5"/>
    <n v="100"/>
    <n v="3840"/>
    <n v="70"/>
    <n v="480"/>
    <n v="45"/>
    <n v="60"/>
    <n v="1059860"/>
    <n v="1.3"/>
    <n v="90"/>
    <n v="50"/>
    <n v="50"/>
    <n v="275"/>
    <n v="90"/>
    <n v="60"/>
    <n v="80"/>
    <n v="59.6"/>
    <x v="2"/>
    <x v="0"/>
  </r>
  <r>
    <x v="275"/>
    <s v="Subameスバメ"/>
    <x v="4"/>
    <x v="2"/>
    <x v="180"/>
    <s v="Guts"/>
    <s v="Scrappy"/>
    <s v=""/>
    <s v=""/>
    <s v=""/>
    <s v=""/>
    <n v="0.5"/>
    <n v="1"/>
    <n v="1"/>
    <n v="2"/>
    <n v="1"/>
    <n v="1"/>
    <n v="1"/>
    <n v="1"/>
    <n v="0"/>
    <n v="0.5"/>
    <n v="0"/>
    <n v="2"/>
    <n v="1"/>
    <n v="1"/>
    <n v="1"/>
    <n v="2"/>
    <n v="1"/>
    <n v="1"/>
    <n v="55"/>
    <n v="3840"/>
    <n v="70"/>
    <n v="270"/>
    <n v="200"/>
    <n v="30"/>
    <n v="1059860"/>
    <n v="0.3"/>
    <n v="40"/>
    <n v="50"/>
    <n v="50"/>
    <n v="276"/>
    <n v="30"/>
    <n v="30"/>
    <n v="85"/>
    <n v="2.2999999999999998"/>
    <x v="2"/>
    <x v="0"/>
  </r>
  <r>
    <x v="276"/>
    <s v="Ohsubameオオスバメ"/>
    <x v="4"/>
    <x v="2"/>
    <x v="181"/>
    <s v="Guts"/>
    <s v="Scrappy"/>
    <s v=""/>
    <s v=""/>
    <s v=""/>
    <s v=""/>
    <n v="0.5"/>
    <n v="1"/>
    <n v="1"/>
    <n v="2"/>
    <n v="1"/>
    <n v="1"/>
    <n v="1"/>
    <n v="1"/>
    <n v="0"/>
    <n v="0.5"/>
    <n v="0"/>
    <n v="2"/>
    <n v="1"/>
    <n v="1"/>
    <n v="1"/>
    <n v="2"/>
    <n v="1"/>
    <n v="1"/>
    <n v="85"/>
    <n v="3840"/>
    <n v="70"/>
    <n v="455"/>
    <n v="45"/>
    <n v="60"/>
    <n v="1059860"/>
    <n v="0.7"/>
    <n v="60"/>
    <n v="50"/>
    <n v="50"/>
    <n v="277"/>
    <n v="75"/>
    <n v="50"/>
    <n v="125"/>
    <n v="19.8"/>
    <x v="2"/>
    <x v="0"/>
  </r>
  <r>
    <x v="277"/>
    <s v="Camomeキャモメ"/>
    <x v="2"/>
    <x v="2"/>
    <x v="182"/>
    <s v="Keen Eye"/>
    <s v="Hydration"/>
    <s v="Rain Dish"/>
    <s v=""/>
    <s v=""/>
    <s v=""/>
    <n v="0.5"/>
    <n v="1"/>
    <n v="1"/>
    <n v="4"/>
    <n v="1"/>
    <n v="0.5"/>
    <n v="0.5"/>
    <n v="1"/>
    <n v="1"/>
    <n v="1"/>
    <n v="0"/>
    <n v="1"/>
    <n v="1"/>
    <n v="1"/>
    <n v="1"/>
    <n v="2"/>
    <n v="0.5"/>
    <n v="0.5"/>
    <n v="30"/>
    <n v="5120"/>
    <n v="70"/>
    <n v="270"/>
    <n v="190"/>
    <n v="30"/>
    <n v="1000000"/>
    <n v="0.6"/>
    <n v="40"/>
    <n v="50"/>
    <n v="50"/>
    <n v="278"/>
    <n v="55"/>
    <n v="30"/>
    <n v="85"/>
    <n v="9.5"/>
    <x v="2"/>
    <x v="0"/>
  </r>
  <r>
    <x v="278"/>
    <s v="Pelipperペリッパー"/>
    <x v="2"/>
    <x v="2"/>
    <x v="183"/>
    <s v="Keen Eye"/>
    <s v="Drizzle"/>
    <s v="Rain Dish"/>
    <s v=""/>
    <s v=""/>
    <s v=""/>
    <n v="0.5"/>
    <n v="1"/>
    <n v="1"/>
    <n v="4"/>
    <n v="1"/>
    <n v="0.5"/>
    <n v="0.5"/>
    <n v="1"/>
    <n v="1"/>
    <n v="1"/>
    <n v="0"/>
    <n v="1"/>
    <n v="1"/>
    <n v="1"/>
    <n v="1"/>
    <n v="2"/>
    <n v="0.5"/>
    <n v="0.5"/>
    <n v="50"/>
    <n v="5120"/>
    <n v="70"/>
    <n v="440"/>
    <n v="45"/>
    <n v="100"/>
    <n v="1000000"/>
    <n v="1.2"/>
    <n v="60"/>
    <n v="50"/>
    <n v="50"/>
    <n v="279"/>
    <n v="95"/>
    <n v="70"/>
    <n v="65"/>
    <n v="28"/>
    <x v="2"/>
    <x v="0"/>
  </r>
  <r>
    <x v="279"/>
    <s v="Raltsラルトス"/>
    <x v="10"/>
    <x v="7"/>
    <x v="184"/>
    <s v="Synchronize"/>
    <s v="Trace"/>
    <s v="Telepathy"/>
    <s v=""/>
    <s v=""/>
    <s v=""/>
    <n v="1"/>
    <n v="1"/>
    <n v="0"/>
    <n v="1"/>
    <n v="1"/>
    <n v="0.25"/>
    <n v="1"/>
    <n v="1"/>
    <n v="2"/>
    <n v="1"/>
    <n v="1"/>
    <n v="1"/>
    <n v="1"/>
    <n v="2"/>
    <n v="0.5"/>
    <n v="1"/>
    <n v="2"/>
    <n v="1"/>
    <n v="25"/>
    <n v="5120"/>
    <n v="35"/>
    <n v="198"/>
    <n v="235"/>
    <n v="25"/>
    <n v="1250000"/>
    <n v="0.4"/>
    <n v="28"/>
    <n v="50"/>
    <n v="50"/>
    <n v="280"/>
    <n v="45"/>
    <n v="35"/>
    <n v="40"/>
    <n v="6.6"/>
    <x v="2"/>
    <x v="0"/>
  </r>
  <r>
    <x v="280"/>
    <s v="Kirliaキルリア"/>
    <x v="10"/>
    <x v="7"/>
    <x v="185"/>
    <s v="Synchronize"/>
    <s v="Trace"/>
    <s v="Telepathy"/>
    <s v=""/>
    <s v=""/>
    <s v=""/>
    <n v="1"/>
    <n v="1"/>
    <n v="0"/>
    <n v="1"/>
    <n v="1"/>
    <n v="0.25"/>
    <n v="1"/>
    <n v="1"/>
    <n v="2"/>
    <n v="1"/>
    <n v="1"/>
    <n v="1"/>
    <n v="1"/>
    <n v="2"/>
    <n v="0.5"/>
    <n v="1"/>
    <n v="2"/>
    <n v="1"/>
    <n v="35"/>
    <n v="5120"/>
    <n v="35"/>
    <n v="278"/>
    <n v="120"/>
    <n v="35"/>
    <n v="1250000"/>
    <n v="0.8"/>
    <n v="38"/>
    <n v="50"/>
    <n v="50"/>
    <n v="281"/>
    <n v="65"/>
    <n v="55"/>
    <n v="50"/>
    <n v="20.2"/>
    <x v="2"/>
    <x v="0"/>
  </r>
  <r>
    <x v="281"/>
    <s v="Sirnightサーナイト"/>
    <x v="10"/>
    <x v="7"/>
    <x v="186"/>
    <s v="Synchronize"/>
    <s v="Trace"/>
    <s v="Telepathy"/>
    <s v=""/>
    <s v=""/>
    <s v=""/>
    <n v="1"/>
    <n v="1"/>
    <n v="0"/>
    <n v="1"/>
    <n v="1"/>
    <n v="0.25"/>
    <n v="1"/>
    <n v="1"/>
    <n v="2"/>
    <n v="1"/>
    <n v="1"/>
    <n v="1"/>
    <n v="1"/>
    <n v="2"/>
    <n v="0.5"/>
    <n v="1"/>
    <n v="2"/>
    <n v="1"/>
    <n v="85"/>
    <n v="5120"/>
    <n v="35"/>
    <n v="618"/>
    <n v="45"/>
    <n v="65"/>
    <n v="1250000"/>
    <n v="1.6"/>
    <n v="68"/>
    <n v="50"/>
    <n v="50"/>
    <n v="282"/>
    <n v="165"/>
    <n v="135"/>
    <n v="100"/>
    <n v="48.4"/>
    <x v="2"/>
    <x v="0"/>
  </r>
  <r>
    <x v="282"/>
    <s v="Ametamaアメタマ"/>
    <x v="3"/>
    <x v="14"/>
    <x v="187"/>
    <s v="Swift Swim"/>
    <s v="Rain Dish"/>
    <s v=""/>
    <s v=""/>
    <s v=""/>
    <s v=""/>
    <n v="1"/>
    <n v="1"/>
    <n v="1"/>
    <n v="2"/>
    <n v="1"/>
    <n v="0.5"/>
    <n v="1"/>
    <n v="2"/>
    <n v="1"/>
    <n v="1"/>
    <n v="0.5"/>
    <n v="0.5"/>
    <n v="1"/>
    <n v="1"/>
    <n v="1"/>
    <n v="2"/>
    <n v="0.5"/>
    <n v="0.5"/>
    <n v="30"/>
    <n v="3840"/>
    <n v="70"/>
    <n v="269"/>
    <n v="200"/>
    <n v="32"/>
    <n v="1000000"/>
    <n v="0.5"/>
    <n v="40"/>
    <n v="50"/>
    <n v="50"/>
    <n v="283"/>
    <n v="50"/>
    <n v="52"/>
    <n v="65"/>
    <n v="1.7"/>
    <x v="2"/>
    <x v="0"/>
  </r>
  <r>
    <x v="283"/>
    <s v="Amemothアメモース"/>
    <x v="3"/>
    <x v="2"/>
    <x v="188"/>
    <s v="Intimidate"/>
    <s v="Unnerve"/>
    <s v=""/>
    <s v=""/>
    <s v=""/>
    <s v=""/>
    <n v="0.5"/>
    <n v="1"/>
    <n v="1"/>
    <n v="2"/>
    <n v="1"/>
    <n v="0.25"/>
    <n v="2"/>
    <n v="2"/>
    <n v="1"/>
    <n v="0.25"/>
    <n v="0"/>
    <n v="2"/>
    <n v="1"/>
    <n v="1"/>
    <n v="1"/>
    <n v="4"/>
    <n v="1"/>
    <n v="1"/>
    <n v="60"/>
    <n v="3840"/>
    <n v="70"/>
    <n v="454"/>
    <n v="75"/>
    <n v="62"/>
    <n v="1000000"/>
    <n v="0.8"/>
    <n v="70"/>
    <n v="50"/>
    <n v="50"/>
    <n v="284"/>
    <n v="100"/>
    <n v="82"/>
    <n v="80"/>
    <n v="3.6"/>
    <x v="2"/>
    <x v="0"/>
  </r>
  <r>
    <x v="284"/>
    <s v="Kinococoキノココ"/>
    <x v="0"/>
    <x v="1"/>
    <x v="25"/>
    <s v="Effect Spore"/>
    <s v="Poison Heal"/>
    <s v="Quick Feet"/>
    <s v=""/>
    <s v=""/>
    <s v=""/>
    <n v="2"/>
    <n v="1"/>
    <n v="1"/>
    <n v="0.5"/>
    <n v="1"/>
    <n v="1"/>
    <n v="2"/>
    <n v="2"/>
    <n v="1"/>
    <n v="0.5"/>
    <n v="0.5"/>
    <n v="2"/>
    <n v="1"/>
    <n v="2"/>
    <n v="1"/>
    <n v="1"/>
    <n v="1"/>
    <n v="0.5"/>
    <n v="40"/>
    <n v="3840"/>
    <n v="70"/>
    <n v="295"/>
    <n v="255"/>
    <n v="60"/>
    <n v="1640000"/>
    <n v="0.4"/>
    <n v="60"/>
    <n v="50"/>
    <n v="50"/>
    <n v="285"/>
    <n v="40"/>
    <n v="60"/>
    <n v="35"/>
    <n v="4.5"/>
    <x v="2"/>
    <x v="0"/>
  </r>
  <r>
    <x v="285"/>
    <s v="Kinogassaキノガッサ"/>
    <x v="0"/>
    <x v="9"/>
    <x v="25"/>
    <s v="Effect Spore"/>
    <s v="Poison Heal"/>
    <s v="Technician"/>
    <s v=""/>
    <s v=""/>
    <s v=""/>
    <n v="1"/>
    <n v="0.5"/>
    <n v="1"/>
    <n v="0.5"/>
    <n v="2"/>
    <n v="1"/>
    <n v="2"/>
    <n v="4"/>
    <n v="1"/>
    <n v="0.5"/>
    <n v="0.5"/>
    <n v="2"/>
    <n v="1"/>
    <n v="2"/>
    <n v="2"/>
    <n v="0.5"/>
    <n v="1"/>
    <n v="0.5"/>
    <n v="130"/>
    <n v="3840"/>
    <n v="70"/>
    <n v="460"/>
    <n v="90"/>
    <n v="80"/>
    <n v="1640000"/>
    <n v="1.2"/>
    <n v="60"/>
    <n v="50"/>
    <n v="50"/>
    <n v="286"/>
    <n v="60"/>
    <n v="60"/>
    <n v="70"/>
    <n v="39.200000000000003"/>
    <x v="2"/>
    <x v="0"/>
  </r>
  <r>
    <x v="286"/>
    <s v="Namakeroナマケロ"/>
    <x v="4"/>
    <x v="1"/>
    <x v="189"/>
    <s v="Truant"/>
    <s v=""/>
    <s v=""/>
    <s v=""/>
    <s v=""/>
    <s v=""/>
    <n v="1"/>
    <n v="1"/>
    <n v="1"/>
    <n v="1"/>
    <n v="1"/>
    <n v="2"/>
    <n v="1"/>
    <n v="1"/>
    <n v="0"/>
    <n v="1"/>
    <n v="1"/>
    <n v="1"/>
    <n v="1"/>
    <n v="1"/>
    <n v="1"/>
    <n v="1"/>
    <n v="1"/>
    <n v="1"/>
    <n v="60"/>
    <n v="3840"/>
    <n v="70"/>
    <n v="280"/>
    <n v="255"/>
    <n v="60"/>
    <n v="1250000"/>
    <n v="0.8"/>
    <n v="60"/>
    <n v="50"/>
    <n v="50"/>
    <n v="287"/>
    <n v="35"/>
    <n v="35"/>
    <n v="30"/>
    <n v="24"/>
    <x v="2"/>
    <x v="0"/>
  </r>
  <r>
    <x v="287"/>
    <s v="Yarukimonoヤルキモノ"/>
    <x v="4"/>
    <x v="1"/>
    <x v="190"/>
    <s v="Vital Spirit"/>
    <s v=""/>
    <s v=""/>
    <s v=""/>
    <s v=""/>
    <s v=""/>
    <n v="1"/>
    <n v="1"/>
    <n v="1"/>
    <n v="1"/>
    <n v="1"/>
    <n v="2"/>
    <n v="1"/>
    <n v="1"/>
    <n v="0"/>
    <n v="1"/>
    <n v="1"/>
    <n v="1"/>
    <n v="1"/>
    <n v="1"/>
    <n v="1"/>
    <n v="1"/>
    <n v="1"/>
    <n v="1"/>
    <n v="80"/>
    <n v="3840"/>
    <n v="70"/>
    <n v="440"/>
    <n v="120"/>
    <n v="80"/>
    <n v="1250000"/>
    <n v="1.4"/>
    <n v="80"/>
    <n v="50"/>
    <n v="50"/>
    <n v="288"/>
    <n v="55"/>
    <n v="55"/>
    <n v="90"/>
    <n v="46.5"/>
    <x v="2"/>
    <x v="0"/>
  </r>
  <r>
    <x v="288"/>
    <s v="Kekkingケッキング"/>
    <x v="4"/>
    <x v="1"/>
    <x v="191"/>
    <s v="Truant"/>
    <s v=""/>
    <s v=""/>
    <s v=""/>
    <s v=""/>
    <s v=""/>
    <n v="1"/>
    <n v="1"/>
    <n v="1"/>
    <n v="1"/>
    <n v="1"/>
    <n v="2"/>
    <n v="1"/>
    <n v="1"/>
    <n v="0"/>
    <n v="1"/>
    <n v="1"/>
    <n v="1"/>
    <n v="1"/>
    <n v="1"/>
    <n v="1"/>
    <n v="1"/>
    <n v="1"/>
    <n v="1"/>
    <n v="160"/>
    <n v="3840"/>
    <n v="70"/>
    <n v="670"/>
    <n v="45"/>
    <n v="100"/>
    <n v="1250000"/>
    <n v="2"/>
    <n v="150"/>
    <n v="50"/>
    <n v="50"/>
    <n v="289"/>
    <n v="95"/>
    <n v="65"/>
    <n v="100"/>
    <n v="130.5"/>
    <x v="2"/>
    <x v="0"/>
  </r>
  <r>
    <x v="289"/>
    <s v="Tutininツチニン"/>
    <x v="3"/>
    <x v="6"/>
    <x v="192"/>
    <s v="Compoundeyes"/>
    <s v="Run Away"/>
    <s v=""/>
    <s v=""/>
    <s v=""/>
    <s v=""/>
    <n v="1"/>
    <n v="1"/>
    <n v="1"/>
    <n v="0"/>
    <n v="1"/>
    <n v="0.5"/>
    <n v="2"/>
    <n v="2"/>
    <n v="1"/>
    <n v="1"/>
    <n v="0.5"/>
    <n v="2"/>
    <n v="1"/>
    <n v="0.5"/>
    <n v="1"/>
    <n v="1"/>
    <n v="1"/>
    <n v="2"/>
    <n v="45"/>
    <n v="3840"/>
    <n v="70"/>
    <n v="266"/>
    <n v="255"/>
    <n v="90"/>
    <n v="600000"/>
    <n v="0.5"/>
    <n v="31"/>
    <n v="50"/>
    <n v="50"/>
    <n v="290"/>
    <n v="30"/>
    <n v="30"/>
    <n v="40"/>
    <n v="5.5"/>
    <x v="2"/>
    <x v="0"/>
  </r>
  <r>
    <x v="290"/>
    <s v="Tekkaninテッカニン"/>
    <x v="3"/>
    <x v="2"/>
    <x v="193"/>
    <s v="Speed Boost"/>
    <s v="Infiltrator"/>
    <s v=""/>
    <s v=""/>
    <s v=""/>
    <s v=""/>
    <n v="0.5"/>
    <n v="1"/>
    <n v="1"/>
    <n v="2"/>
    <n v="1"/>
    <n v="0.25"/>
    <n v="2"/>
    <n v="2"/>
    <n v="1"/>
    <n v="0.25"/>
    <n v="0"/>
    <n v="2"/>
    <n v="1"/>
    <n v="1"/>
    <n v="1"/>
    <n v="4"/>
    <n v="1"/>
    <n v="1"/>
    <n v="90"/>
    <n v="3840"/>
    <n v="70"/>
    <n v="456"/>
    <n v="120"/>
    <n v="45"/>
    <n v="600000"/>
    <n v="0.8"/>
    <n v="61"/>
    <n v="50"/>
    <n v="50"/>
    <n v="291"/>
    <n v="50"/>
    <n v="50"/>
    <n v="160"/>
    <n v="12"/>
    <x v="2"/>
    <x v="0"/>
  </r>
  <r>
    <x v="291"/>
    <s v="Nukeninヌケニン"/>
    <x v="3"/>
    <x v="16"/>
    <x v="194"/>
    <s v="Wonder Guard"/>
    <s v=""/>
    <s v=""/>
    <s v=""/>
    <s v=""/>
    <s v=""/>
    <n v="0.5"/>
    <n v="2"/>
    <n v="1"/>
    <n v="1"/>
    <n v="1"/>
    <n v="0"/>
    <n v="2"/>
    <n v="2"/>
    <n v="2"/>
    <n v="0.5"/>
    <n v="0.5"/>
    <n v="1"/>
    <n v="0"/>
    <n v="0.5"/>
    <n v="1"/>
    <n v="2"/>
    <n v="1"/>
    <n v="1"/>
    <n v="90"/>
    <n v="3840"/>
    <n v="70"/>
    <n v="236"/>
    <n v="45"/>
    <n v="45"/>
    <n v="600000"/>
    <n v="0.8"/>
    <n v="1"/>
    <s v=""/>
    <s v=""/>
    <n v="292"/>
    <n v="30"/>
    <n v="30"/>
    <n v="40"/>
    <n v="1.2"/>
    <x v="2"/>
    <x v="0"/>
  </r>
  <r>
    <x v="292"/>
    <s v="Gonyonyoゴニョニョ"/>
    <x v="4"/>
    <x v="1"/>
    <x v="195"/>
    <s v="Soundproof"/>
    <s v="Rattled"/>
    <s v=""/>
    <s v=""/>
    <s v=""/>
    <s v=""/>
    <n v="1"/>
    <n v="1"/>
    <n v="1"/>
    <n v="1"/>
    <n v="1"/>
    <n v="2"/>
    <n v="1"/>
    <n v="1"/>
    <n v="0"/>
    <n v="1"/>
    <n v="1"/>
    <n v="1"/>
    <n v="1"/>
    <n v="1"/>
    <n v="1"/>
    <n v="1"/>
    <n v="1"/>
    <n v="1"/>
    <n v="51"/>
    <n v="5120"/>
    <n v="70"/>
    <n v="240"/>
    <n v="190"/>
    <n v="23"/>
    <n v="1059860"/>
    <n v="0.6"/>
    <n v="64"/>
    <n v="50"/>
    <n v="50"/>
    <n v="293"/>
    <n v="51"/>
    <n v="23"/>
    <n v="28"/>
    <n v="16.3"/>
    <x v="2"/>
    <x v="0"/>
  </r>
  <r>
    <x v="293"/>
    <s v="Dogohmbドゴーム"/>
    <x v="4"/>
    <x v="1"/>
    <x v="196"/>
    <s v="Soundproof"/>
    <s v="Scrappy"/>
    <s v=""/>
    <s v=""/>
    <s v=""/>
    <s v=""/>
    <n v="1"/>
    <n v="1"/>
    <n v="1"/>
    <n v="1"/>
    <n v="1"/>
    <n v="2"/>
    <n v="1"/>
    <n v="1"/>
    <n v="0"/>
    <n v="1"/>
    <n v="1"/>
    <n v="1"/>
    <n v="1"/>
    <n v="1"/>
    <n v="1"/>
    <n v="1"/>
    <n v="1"/>
    <n v="1"/>
    <n v="71"/>
    <n v="5120"/>
    <n v="70"/>
    <n v="360"/>
    <n v="120"/>
    <n v="43"/>
    <n v="1059860"/>
    <n v="1"/>
    <n v="84"/>
    <n v="50"/>
    <n v="50"/>
    <n v="294"/>
    <n v="71"/>
    <n v="43"/>
    <n v="48"/>
    <n v="40.5"/>
    <x v="2"/>
    <x v="0"/>
  </r>
  <r>
    <x v="294"/>
    <s v="Bakuongバクオング"/>
    <x v="4"/>
    <x v="1"/>
    <x v="197"/>
    <s v="Soundproof"/>
    <s v="Scrappy"/>
    <s v=""/>
    <s v=""/>
    <s v=""/>
    <s v=""/>
    <n v="1"/>
    <n v="1"/>
    <n v="1"/>
    <n v="1"/>
    <n v="1"/>
    <n v="2"/>
    <n v="1"/>
    <n v="1"/>
    <n v="0"/>
    <n v="1"/>
    <n v="1"/>
    <n v="1"/>
    <n v="1"/>
    <n v="1"/>
    <n v="1"/>
    <n v="1"/>
    <n v="1"/>
    <n v="1"/>
    <n v="91"/>
    <n v="5120"/>
    <n v="70"/>
    <n v="490"/>
    <n v="45"/>
    <n v="63"/>
    <n v="1059860"/>
    <n v="1.5"/>
    <n v="104"/>
    <n v="50"/>
    <n v="50"/>
    <n v="295"/>
    <n v="91"/>
    <n v="73"/>
    <n v="68"/>
    <n v="84"/>
    <x v="2"/>
    <x v="0"/>
  </r>
  <r>
    <x v="295"/>
    <s v="Makunoshitaマクノシタ"/>
    <x v="9"/>
    <x v="1"/>
    <x v="198"/>
    <s v="Thick Fat"/>
    <s v="Guts"/>
    <s v="Sheer Force"/>
    <s v=""/>
    <s v=""/>
    <s v=""/>
    <n v="0.5"/>
    <n v="0.5"/>
    <n v="1"/>
    <n v="1"/>
    <n v="2"/>
    <n v="1"/>
    <n v="1"/>
    <n v="2"/>
    <n v="1"/>
    <n v="1"/>
    <n v="1"/>
    <n v="1"/>
    <n v="1"/>
    <n v="1"/>
    <n v="2"/>
    <n v="0.5"/>
    <n v="1"/>
    <n v="1"/>
    <n v="60"/>
    <n v="5120"/>
    <n v="70"/>
    <n v="237"/>
    <n v="180"/>
    <n v="30"/>
    <n v="1640000"/>
    <n v="1"/>
    <n v="72"/>
    <n v="75.400000000000006"/>
    <n v="24.599999999999994"/>
    <n v="296"/>
    <n v="20"/>
    <n v="30"/>
    <n v="25"/>
    <n v="86.4"/>
    <x v="2"/>
    <x v="0"/>
  </r>
  <r>
    <x v="296"/>
    <s v="Hariteyamaハリテヤマ"/>
    <x v="9"/>
    <x v="1"/>
    <x v="199"/>
    <s v="Thick Fat"/>
    <s v="Guts"/>
    <s v="Sheer Force"/>
    <s v=""/>
    <s v=""/>
    <s v=""/>
    <n v="0.5"/>
    <n v="0.5"/>
    <n v="1"/>
    <n v="1"/>
    <n v="2"/>
    <n v="1"/>
    <n v="1"/>
    <n v="2"/>
    <n v="1"/>
    <n v="1"/>
    <n v="1"/>
    <n v="1"/>
    <n v="1"/>
    <n v="1"/>
    <n v="2"/>
    <n v="0.5"/>
    <n v="1"/>
    <n v="1"/>
    <n v="120"/>
    <n v="5120"/>
    <n v="70"/>
    <n v="474"/>
    <n v="200"/>
    <n v="60"/>
    <n v="1640000"/>
    <n v="2.2999999999999998"/>
    <n v="144"/>
    <n v="75.400000000000006"/>
    <n v="24.599999999999994"/>
    <n v="297"/>
    <n v="40"/>
    <n v="60"/>
    <n v="50"/>
    <n v="253.8"/>
    <x v="2"/>
    <x v="0"/>
  </r>
  <r>
    <x v="297"/>
    <s v="Ruririルリリ"/>
    <x v="4"/>
    <x v="7"/>
    <x v="200"/>
    <s v="Thick Fat"/>
    <s v="Huge Power"/>
    <s v="Sap Sipper"/>
    <s v=""/>
    <s v=""/>
    <s v=""/>
    <n v="0.5"/>
    <n v="0.5"/>
    <n v="0"/>
    <n v="1"/>
    <n v="1"/>
    <n v="1"/>
    <n v="1"/>
    <n v="1"/>
    <n v="0"/>
    <n v="1"/>
    <n v="1"/>
    <n v="1"/>
    <n v="1"/>
    <n v="2"/>
    <n v="1"/>
    <n v="1"/>
    <n v="2"/>
    <n v="1"/>
    <n v="20"/>
    <n v="2560"/>
    <n v="70"/>
    <n v="190"/>
    <n v="150"/>
    <n v="40"/>
    <n v="800000"/>
    <n v="0.2"/>
    <n v="50"/>
    <n v="24.6"/>
    <n v="75.400000000000006"/>
    <n v="298"/>
    <n v="20"/>
    <n v="40"/>
    <n v="20"/>
    <n v="2"/>
    <x v="2"/>
    <x v="0"/>
  </r>
  <r>
    <x v="298"/>
    <s v="Nosepassノズパス"/>
    <x v="11"/>
    <x v="1"/>
    <x v="201"/>
    <s v="Sturdy"/>
    <s v="Magnet Pull"/>
    <s v="Sand Force"/>
    <s v=""/>
    <s v=""/>
    <s v=""/>
    <n v="1"/>
    <n v="1"/>
    <n v="1"/>
    <n v="1"/>
    <n v="1"/>
    <n v="2"/>
    <n v="0.5"/>
    <n v="0.5"/>
    <n v="1"/>
    <n v="2"/>
    <n v="2"/>
    <n v="1"/>
    <n v="0.5"/>
    <n v="0.5"/>
    <n v="1"/>
    <n v="1"/>
    <n v="2"/>
    <n v="2"/>
    <n v="45"/>
    <n v="5120"/>
    <n v="70"/>
    <n v="375"/>
    <n v="255"/>
    <n v="135"/>
    <n v="1000000"/>
    <n v="1"/>
    <n v="30"/>
    <n v="50"/>
    <n v="50"/>
    <n v="299"/>
    <n v="45"/>
    <n v="90"/>
    <n v="30"/>
    <n v="97"/>
    <x v="2"/>
    <x v="0"/>
  </r>
  <r>
    <x v="299"/>
    <s v="Enecoエネコ"/>
    <x v="4"/>
    <x v="1"/>
    <x v="202"/>
    <s v="Cute Charm"/>
    <s v="Normalize"/>
    <s v="Wonder Skin"/>
    <s v=""/>
    <s v=""/>
    <s v=""/>
    <n v="1"/>
    <n v="1"/>
    <n v="1"/>
    <n v="1"/>
    <n v="1"/>
    <n v="2"/>
    <n v="1"/>
    <n v="1"/>
    <n v="0"/>
    <n v="1"/>
    <n v="1"/>
    <n v="1"/>
    <n v="1"/>
    <n v="1"/>
    <n v="1"/>
    <n v="1"/>
    <n v="1"/>
    <n v="1"/>
    <n v="45"/>
    <n v="3840"/>
    <n v="70"/>
    <n v="260"/>
    <n v="255"/>
    <n v="45"/>
    <n v="800000"/>
    <n v="0.6"/>
    <n v="50"/>
    <n v="24.6"/>
    <n v="75.400000000000006"/>
    <n v="300"/>
    <n v="35"/>
    <n v="35"/>
    <n v="50"/>
    <n v="11"/>
    <x v="2"/>
    <x v="0"/>
  </r>
  <r>
    <x v="300"/>
    <s v="Enekororoエネコロロ"/>
    <x v="4"/>
    <x v="1"/>
    <x v="203"/>
    <s v="Cute Charm"/>
    <s v="Normalize"/>
    <s v="Wonder Skin"/>
    <s v=""/>
    <s v=""/>
    <s v=""/>
    <n v="1"/>
    <n v="1"/>
    <n v="1"/>
    <n v="1"/>
    <n v="1"/>
    <n v="2"/>
    <n v="1"/>
    <n v="1"/>
    <n v="0"/>
    <n v="1"/>
    <n v="1"/>
    <n v="1"/>
    <n v="1"/>
    <n v="1"/>
    <n v="1"/>
    <n v="1"/>
    <n v="1"/>
    <n v="1"/>
    <n v="65"/>
    <n v="3840"/>
    <n v="70"/>
    <n v="400"/>
    <n v="60"/>
    <n v="65"/>
    <n v="800000"/>
    <n v="1.1000000000000001"/>
    <n v="70"/>
    <n v="24.6"/>
    <n v="75.400000000000006"/>
    <n v="301"/>
    <n v="55"/>
    <n v="55"/>
    <n v="90"/>
    <n v="32.6"/>
    <x v="2"/>
    <x v="0"/>
  </r>
  <r>
    <x v="301"/>
    <s v="Yamiramiヤミラミ"/>
    <x v="15"/>
    <x v="16"/>
    <x v="125"/>
    <s v="Keen Eye"/>
    <s v="Stall"/>
    <s v="Prankster"/>
    <s v=""/>
    <s v=""/>
    <s v=""/>
    <n v="1"/>
    <n v="1"/>
    <n v="1"/>
    <n v="1"/>
    <n v="2"/>
    <n v="0"/>
    <n v="1"/>
    <n v="1"/>
    <n v="1"/>
    <n v="1"/>
    <n v="1"/>
    <n v="1"/>
    <n v="0"/>
    <n v="0.5"/>
    <n v="0"/>
    <n v="1"/>
    <n v="1"/>
    <n v="1"/>
    <n v="85"/>
    <n v="6400"/>
    <n v="35"/>
    <n v="480"/>
    <n v="45"/>
    <n v="125"/>
    <n v="1059860"/>
    <n v="0.5"/>
    <n v="50"/>
    <n v="50"/>
    <n v="50"/>
    <n v="302"/>
    <n v="85"/>
    <n v="115"/>
    <n v="20"/>
    <n v="11"/>
    <x v="2"/>
    <x v="0"/>
  </r>
  <r>
    <x v="302"/>
    <s v="Kucheatクチート"/>
    <x v="16"/>
    <x v="7"/>
    <x v="204"/>
    <s v="Hyper Cutter"/>
    <s v="Intimidate"/>
    <s v="Sheer Force"/>
    <s v=""/>
    <s v=""/>
    <s v=""/>
    <n v="0.25"/>
    <n v="0.5"/>
    <n v="0"/>
    <n v="1"/>
    <n v="0.5"/>
    <n v="1"/>
    <n v="2"/>
    <n v="0.5"/>
    <n v="1"/>
    <n v="0.5"/>
    <n v="2"/>
    <n v="0.5"/>
    <n v="0.5"/>
    <n v="0"/>
    <n v="0.5"/>
    <n v="0.5"/>
    <n v="1"/>
    <n v="1"/>
    <n v="105"/>
    <n v="5120"/>
    <n v="70"/>
    <n v="480"/>
    <n v="45"/>
    <n v="125"/>
    <n v="800000"/>
    <n v="0.6"/>
    <n v="50"/>
    <n v="50"/>
    <n v="50"/>
    <n v="303"/>
    <n v="55"/>
    <n v="95"/>
    <n v="50"/>
    <n v="11.5"/>
    <x v="2"/>
    <x v="0"/>
  </r>
  <r>
    <x v="303"/>
    <s v="Cokodoraココドラ"/>
    <x v="16"/>
    <x v="13"/>
    <x v="205"/>
    <s v="Sturdy"/>
    <s v="Rock Head"/>
    <s v="Heavy Metal"/>
    <s v=""/>
    <s v=""/>
    <s v=""/>
    <n v="0.5"/>
    <n v="1"/>
    <n v="0.5"/>
    <n v="1"/>
    <n v="0.5"/>
    <n v="4"/>
    <n v="1"/>
    <n v="0.25"/>
    <n v="1"/>
    <n v="1"/>
    <n v="4"/>
    <n v="0.5"/>
    <n v="0.25"/>
    <n v="0"/>
    <n v="0.5"/>
    <n v="0.5"/>
    <n v="1"/>
    <n v="2"/>
    <n v="70"/>
    <n v="8960"/>
    <n v="35"/>
    <n v="330"/>
    <n v="180"/>
    <n v="100"/>
    <n v="1250000"/>
    <n v="0.4"/>
    <n v="50"/>
    <n v="50"/>
    <n v="50"/>
    <n v="304"/>
    <n v="40"/>
    <n v="40"/>
    <n v="30"/>
    <n v="60"/>
    <x v="2"/>
    <x v="0"/>
  </r>
  <r>
    <x v="304"/>
    <s v="Kodoraコドラ"/>
    <x v="16"/>
    <x v="13"/>
    <x v="205"/>
    <s v="Sturdy"/>
    <s v="Rock Head"/>
    <s v="Heavy Metal"/>
    <s v=""/>
    <s v=""/>
    <s v=""/>
    <n v="0.5"/>
    <n v="1"/>
    <n v="0.5"/>
    <n v="1"/>
    <n v="0.5"/>
    <n v="4"/>
    <n v="1"/>
    <n v="0.25"/>
    <n v="1"/>
    <n v="1"/>
    <n v="4"/>
    <n v="0.5"/>
    <n v="0.25"/>
    <n v="0"/>
    <n v="0.5"/>
    <n v="0.5"/>
    <n v="1"/>
    <n v="2"/>
    <n v="90"/>
    <n v="8960"/>
    <n v="35"/>
    <n v="430"/>
    <n v="90"/>
    <n v="140"/>
    <n v="1250000"/>
    <n v="0.9"/>
    <n v="60"/>
    <n v="50"/>
    <n v="50"/>
    <n v="305"/>
    <n v="50"/>
    <n v="50"/>
    <n v="40"/>
    <n v="120"/>
    <x v="2"/>
    <x v="0"/>
  </r>
  <r>
    <x v="305"/>
    <s v="Bossgodoraボスゴドラ"/>
    <x v="16"/>
    <x v="13"/>
    <x v="205"/>
    <s v="Sturdy"/>
    <s v="Rock Head"/>
    <s v="Heavy Metal"/>
    <s v=""/>
    <s v=""/>
    <s v=""/>
    <n v="0.5"/>
    <n v="1"/>
    <n v="0.5"/>
    <n v="1"/>
    <n v="0.5"/>
    <n v="4"/>
    <n v="1"/>
    <n v="0.25"/>
    <n v="1"/>
    <n v="1"/>
    <n v="4"/>
    <n v="0.5"/>
    <n v="0.25"/>
    <n v="0"/>
    <n v="0.5"/>
    <n v="0.5"/>
    <n v="1"/>
    <n v="2"/>
    <n v="140"/>
    <n v="8960"/>
    <n v="35"/>
    <n v="630"/>
    <n v="45"/>
    <n v="230"/>
    <n v="1250000"/>
    <n v="2.1"/>
    <n v="70"/>
    <n v="50"/>
    <n v="50"/>
    <n v="306"/>
    <n v="60"/>
    <n v="80"/>
    <n v="50"/>
    <n v="360"/>
    <x v="2"/>
    <x v="0"/>
  </r>
  <r>
    <x v="306"/>
    <s v="Asananアサナン"/>
    <x v="9"/>
    <x v="10"/>
    <x v="206"/>
    <s v="Pure Power"/>
    <s v="Telepathy"/>
    <s v=""/>
    <s v=""/>
    <s v=""/>
    <s v=""/>
    <n v="1"/>
    <n v="1"/>
    <n v="1"/>
    <n v="1"/>
    <n v="2"/>
    <n v="0.5"/>
    <n v="1"/>
    <n v="2"/>
    <n v="2"/>
    <n v="1"/>
    <n v="1"/>
    <n v="1"/>
    <n v="1"/>
    <n v="1"/>
    <n v="1"/>
    <n v="0.5"/>
    <n v="1"/>
    <n v="1"/>
    <n v="40"/>
    <n v="5120"/>
    <n v="70"/>
    <n v="280"/>
    <n v="180"/>
    <n v="55"/>
    <n v="1000000"/>
    <n v="0.6"/>
    <n v="30"/>
    <n v="50"/>
    <n v="50"/>
    <n v="307"/>
    <n v="40"/>
    <n v="55"/>
    <n v="60"/>
    <n v="11.2"/>
    <x v="2"/>
    <x v="0"/>
  </r>
  <r>
    <x v="307"/>
    <s v="Charemチャーレム"/>
    <x v="9"/>
    <x v="10"/>
    <x v="206"/>
    <s v="Pure Power"/>
    <s v="Telepathy"/>
    <s v=""/>
    <s v=""/>
    <s v=""/>
    <s v=""/>
    <n v="1"/>
    <n v="1"/>
    <n v="1"/>
    <n v="1"/>
    <n v="2"/>
    <n v="0.5"/>
    <n v="1"/>
    <n v="2"/>
    <n v="2"/>
    <n v="1"/>
    <n v="1"/>
    <n v="1"/>
    <n v="1"/>
    <n v="1"/>
    <n v="1"/>
    <n v="0.5"/>
    <n v="1"/>
    <n v="1"/>
    <n v="100"/>
    <n v="5120"/>
    <n v="70"/>
    <n v="510"/>
    <n v="90"/>
    <n v="85"/>
    <n v="1000000"/>
    <n v="1.3"/>
    <n v="60"/>
    <n v="50"/>
    <n v="50"/>
    <n v="308"/>
    <n v="80"/>
    <n v="85"/>
    <n v="100"/>
    <n v="31.5"/>
    <x v="2"/>
    <x v="0"/>
  </r>
  <r>
    <x v="308"/>
    <s v="Rakuraiラクライ"/>
    <x v="6"/>
    <x v="1"/>
    <x v="87"/>
    <s v="Static"/>
    <s v="Lightningrod"/>
    <s v="Minus"/>
    <s v=""/>
    <s v=""/>
    <s v=""/>
    <n v="1"/>
    <n v="1"/>
    <n v="1"/>
    <n v="0.5"/>
    <n v="1"/>
    <n v="1"/>
    <n v="1"/>
    <n v="0.5"/>
    <n v="1"/>
    <n v="1"/>
    <n v="2"/>
    <n v="1"/>
    <n v="1"/>
    <n v="1"/>
    <n v="1"/>
    <n v="1"/>
    <n v="0.5"/>
    <n v="1"/>
    <n v="45"/>
    <n v="5120"/>
    <n v="70"/>
    <n v="295"/>
    <n v="120"/>
    <n v="40"/>
    <n v="1250000"/>
    <n v="0.6"/>
    <n v="40"/>
    <n v="50"/>
    <n v="50"/>
    <n v="309"/>
    <n v="65"/>
    <n v="40"/>
    <n v="65"/>
    <n v="15.2"/>
    <x v="2"/>
    <x v="0"/>
  </r>
  <r>
    <x v="309"/>
    <s v="Livoltライボルト"/>
    <x v="6"/>
    <x v="1"/>
    <x v="207"/>
    <s v="Static"/>
    <s v="Lightningrod"/>
    <s v="Minus"/>
    <s v=""/>
    <s v=""/>
    <s v=""/>
    <n v="1"/>
    <n v="1"/>
    <n v="1"/>
    <n v="0.5"/>
    <n v="1"/>
    <n v="1"/>
    <n v="1"/>
    <n v="0.5"/>
    <n v="1"/>
    <n v="1"/>
    <n v="2"/>
    <n v="1"/>
    <n v="1"/>
    <n v="1"/>
    <n v="1"/>
    <n v="1"/>
    <n v="0.5"/>
    <n v="1"/>
    <n v="75"/>
    <n v="5120"/>
    <n v="70"/>
    <n v="575"/>
    <n v="45"/>
    <n v="80"/>
    <n v="1250000"/>
    <n v="1.5"/>
    <n v="70"/>
    <n v="50"/>
    <n v="50"/>
    <n v="310"/>
    <n v="135"/>
    <n v="80"/>
    <n v="135"/>
    <n v="40.200000000000003"/>
    <x v="2"/>
    <x v="0"/>
  </r>
  <r>
    <x v="310"/>
    <s v="Prasleプラスル"/>
    <x v="6"/>
    <x v="1"/>
    <x v="208"/>
    <s v="Plus"/>
    <s v="Lightningrod"/>
    <s v=""/>
    <s v=""/>
    <s v=""/>
    <s v=""/>
    <n v="1"/>
    <n v="1"/>
    <n v="1"/>
    <n v="0.5"/>
    <n v="1"/>
    <n v="1"/>
    <n v="1"/>
    <n v="0.5"/>
    <n v="1"/>
    <n v="1"/>
    <n v="2"/>
    <n v="1"/>
    <n v="1"/>
    <n v="1"/>
    <n v="1"/>
    <n v="1"/>
    <n v="0.5"/>
    <n v="1"/>
    <n v="50"/>
    <n v="5120"/>
    <n v="70"/>
    <n v="405"/>
    <n v="200"/>
    <n v="40"/>
    <n v="1000000"/>
    <n v="0.4"/>
    <n v="60"/>
    <n v="50"/>
    <n v="50"/>
    <n v="311"/>
    <n v="85"/>
    <n v="75"/>
    <n v="95"/>
    <n v="4.2"/>
    <x v="2"/>
    <x v="0"/>
  </r>
  <r>
    <x v="311"/>
    <s v="Minunマイナン"/>
    <x v="6"/>
    <x v="1"/>
    <x v="208"/>
    <s v="Minus"/>
    <s v="Volt Absorb"/>
    <s v=""/>
    <s v=""/>
    <s v=""/>
    <s v=""/>
    <n v="1"/>
    <n v="1"/>
    <n v="1"/>
    <n v="0.5"/>
    <n v="1"/>
    <n v="1"/>
    <n v="1"/>
    <n v="0.5"/>
    <n v="1"/>
    <n v="1"/>
    <n v="2"/>
    <n v="1"/>
    <n v="1"/>
    <n v="1"/>
    <n v="1"/>
    <n v="1"/>
    <n v="0.5"/>
    <n v="1"/>
    <n v="40"/>
    <n v="5120"/>
    <n v="70"/>
    <n v="405"/>
    <n v="200"/>
    <n v="50"/>
    <n v="1000000"/>
    <n v="0.4"/>
    <n v="60"/>
    <n v="50"/>
    <n v="50"/>
    <n v="312"/>
    <n v="75"/>
    <n v="85"/>
    <n v="95"/>
    <n v="4.2"/>
    <x v="2"/>
    <x v="0"/>
  </r>
  <r>
    <x v="312"/>
    <s v="Barubeatバルビート"/>
    <x v="3"/>
    <x v="1"/>
    <x v="209"/>
    <s v="Illuminate"/>
    <s v="Swarm"/>
    <s v="Prankster"/>
    <s v=""/>
    <s v=""/>
    <s v=""/>
    <n v="1"/>
    <n v="1"/>
    <n v="1"/>
    <n v="1"/>
    <n v="1"/>
    <n v="0.5"/>
    <n v="2"/>
    <n v="2"/>
    <n v="1"/>
    <n v="0.5"/>
    <n v="0.5"/>
    <n v="1"/>
    <n v="1"/>
    <n v="1"/>
    <n v="1"/>
    <n v="2"/>
    <n v="1"/>
    <n v="1"/>
    <n v="73"/>
    <n v="3840"/>
    <n v="70"/>
    <n v="430"/>
    <n v="150"/>
    <n v="75"/>
    <n v="600000"/>
    <n v="0.7"/>
    <n v="65"/>
    <n v="100"/>
    <n v="0"/>
    <n v="313"/>
    <n v="47"/>
    <n v="85"/>
    <n v="85"/>
    <n v="17.7"/>
    <x v="2"/>
    <x v="0"/>
  </r>
  <r>
    <x v="313"/>
    <s v="Illumiseイルミーゼ"/>
    <x v="3"/>
    <x v="1"/>
    <x v="209"/>
    <s v="Oblivious"/>
    <s v="Tinted Lens"/>
    <s v="Prankster"/>
    <s v=""/>
    <s v=""/>
    <s v=""/>
    <n v="1"/>
    <n v="1"/>
    <n v="1"/>
    <n v="1"/>
    <n v="1"/>
    <n v="0.5"/>
    <n v="2"/>
    <n v="2"/>
    <n v="1"/>
    <n v="0.5"/>
    <n v="0.5"/>
    <n v="1"/>
    <n v="1"/>
    <n v="1"/>
    <n v="1"/>
    <n v="2"/>
    <n v="1"/>
    <n v="1"/>
    <n v="47"/>
    <n v="3840"/>
    <n v="70"/>
    <n v="430"/>
    <n v="150"/>
    <n v="75"/>
    <n v="1640000"/>
    <n v="0.6"/>
    <n v="65"/>
    <n v="0"/>
    <n v="100"/>
    <n v="314"/>
    <n v="73"/>
    <n v="85"/>
    <n v="85"/>
    <n v="17.7"/>
    <x v="2"/>
    <x v="0"/>
  </r>
  <r>
    <x v="314"/>
    <s v="Roseliaロゼリア"/>
    <x v="0"/>
    <x v="0"/>
    <x v="210"/>
    <s v="Natural Cure"/>
    <s v="Poison Point"/>
    <s v="Leaf Guard"/>
    <s v=""/>
    <s v=""/>
    <s v=""/>
    <n v="1"/>
    <n v="1"/>
    <n v="1"/>
    <n v="0.5"/>
    <n v="0.5"/>
    <n v="0.5"/>
    <n v="2"/>
    <n v="2"/>
    <n v="1"/>
    <n v="0.25"/>
    <n v="1"/>
    <n v="2"/>
    <n v="1"/>
    <n v="1"/>
    <n v="2"/>
    <n v="1"/>
    <n v="1"/>
    <n v="0.5"/>
    <n v="60"/>
    <n v="5120"/>
    <n v="70"/>
    <n v="400"/>
    <n v="150"/>
    <n v="45"/>
    <n v="1059860"/>
    <n v="0.3"/>
    <n v="50"/>
    <n v="50"/>
    <n v="50"/>
    <n v="315"/>
    <n v="100"/>
    <n v="80"/>
    <n v="65"/>
    <n v="2"/>
    <x v="2"/>
    <x v="0"/>
  </r>
  <r>
    <x v="315"/>
    <s v="Gokulinゴクリン"/>
    <x v="5"/>
    <x v="1"/>
    <x v="211"/>
    <s v="Liquid Ooze"/>
    <s v="Sticky Hold"/>
    <s v="Gluttony"/>
    <s v=""/>
    <s v=""/>
    <s v=""/>
    <n v="0.5"/>
    <n v="1"/>
    <n v="1"/>
    <n v="1"/>
    <n v="0.5"/>
    <n v="0.5"/>
    <n v="1"/>
    <n v="1"/>
    <n v="1"/>
    <n v="0.5"/>
    <n v="2"/>
    <n v="1"/>
    <n v="1"/>
    <n v="0.5"/>
    <n v="2"/>
    <n v="1"/>
    <n v="1"/>
    <n v="1"/>
    <n v="43"/>
    <n v="5120"/>
    <n v="70"/>
    <n v="302"/>
    <n v="225"/>
    <n v="53"/>
    <n v="1640000"/>
    <n v="0.4"/>
    <n v="70"/>
    <n v="50"/>
    <n v="50"/>
    <n v="316"/>
    <n v="43"/>
    <n v="53"/>
    <n v="40"/>
    <n v="10.3"/>
    <x v="2"/>
    <x v="0"/>
  </r>
  <r>
    <x v="316"/>
    <s v="Marunoomマルノーム"/>
    <x v="5"/>
    <x v="1"/>
    <x v="212"/>
    <s v="Liquid Ooze"/>
    <s v="Sticky Hold"/>
    <s v="Gluttony"/>
    <s v=""/>
    <s v=""/>
    <s v=""/>
    <n v="0.5"/>
    <n v="1"/>
    <n v="1"/>
    <n v="1"/>
    <n v="0.5"/>
    <n v="0.5"/>
    <n v="1"/>
    <n v="1"/>
    <n v="1"/>
    <n v="0.5"/>
    <n v="2"/>
    <n v="1"/>
    <n v="1"/>
    <n v="0.5"/>
    <n v="2"/>
    <n v="1"/>
    <n v="1"/>
    <n v="1"/>
    <n v="73"/>
    <n v="5120"/>
    <n v="70"/>
    <n v="467"/>
    <n v="75"/>
    <n v="83"/>
    <n v="1640000"/>
    <n v="1.7"/>
    <n v="100"/>
    <n v="50"/>
    <n v="50"/>
    <n v="317"/>
    <n v="73"/>
    <n v="83"/>
    <n v="55"/>
    <n v="80"/>
    <x v="2"/>
    <x v="0"/>
  </r>
  <r>
    <x v="317"/>
    <s v="Kibanhaキバニア"/>
    <x v="2"/>
    <x v="3"/>
    <x v="213"/>
    <s v="Rough Skin"/>
    <s v="Speed Boost"/>
    <s v=""/>
    <s v=""/>
    <s v=""/>
    <s v=""/>
    <n v="2"/>
    <n v="0.5"/>
    <n v="1"/>
    <n v="2"/>
    <n v="2"/>
    <n v="2"/>
    <n v="0.5"/>
    <n v="1"/>
    <n v="0.5"/>
    <n v="2"/>
    <n v="1"/>
    <n v="0.5"/>
    <n v="1"/>
    <n v="1"/>
    <n v="0"/>
    <n v="1"/>
    <n v="0.5"/>
    <n v="0.5"/>
    <n v="90"/>
    <n v="5120"/>
    <n v="35"/>
    <n v="305"/>
    <n v="225"/>
    <n v="20"/>
    <n v="1250000"/>
    <n v="0.8"/>
    <n v="45"/>
    <n v="50"/>
    <n v="50"/>
    <n v="318"/>
    <n v="65"/>
    <n v="20"/>
    <n v="65"/>
    <n v="20.8"/>
    <x v="2"/>
    <x v="0"/>
  </r>
  <r>
    <x v="318"/>
    <s v="Samehaderサメハダー"/>
    <x v="2"/>
    <x v="3"/>
    <x v="214"/>
    <s v="Rough Skin"/>
    <s v="Speed Boost"/>
    <s v=""/>
    <s v=""/>
    <s v=""/>
    <s v=""/>
    <n v="2"/>
    <n v="0.5"/>
    <n v="1"/>
    <n v="2"/>
    <n v="2"/>
    <n v="2"/>
    <n v="0.5"/>
    <n v="1"/>
    <n v="0.5"/>
    <n v="2"/>
    <n v="1"/>
    <n v="0.5"/>
    <n v="1"/>
    <n v="1"/>
    <n v="0"/>
    <n v="1"/>
    <n v="0.5"/>
    <n v="0.5"/>
    <n v="140"/>
    <n v="5120"/>
    <n v="35"/>
    <n v="560"/>
    <n v="60"/>
    <n v="70"/>
    <n v="1250000"/>
    <n v="1.8"/>
    <n v="70"/>
    <n v="50"/>
    <n v="50"/>
    <n v="319"/>
    <n v="110"/>
    <n v="65"/>
    <n v="105"/>
    <n v="88.8"/>
    <x v="2"/>
    <x v="0"/>
  </r>
  <r>
    <x v="319"/>
    <s v="Hoerukoホエルコ"/>
    <x v="2"/>
    <x v="1"/>
    <x v="215"/>
    <s v="Water Veil"/>
    <s v="Oblivious"/>
    <s v="Pressure"/>
    <s v=""/>
    <s v=""/>
    <s v=""/>
    <n v="1"/>
    <n v="1"/>
    <n v="1"/>
    <n v="2"/>
    <n v="1"/>
    <n v="1"/>
    <n v="0.5"/>
    <n v="1"/>
    <n v="1"/>
    <n v="2"/>
    <n v="1"/>
    <n v="0.5"/>
    <n v="1"/>
    <n v="1"/>
    <n v="1"/>
    <n v="1"/>
    <n v="0.5"/>
    <n v="0.5"/>
    <n v="70"/>
    <n v="10240"/>
    <n v="70"/>
    <n v="400"/>
    <n v="125"/>
    <n v="35"/>
    <n v="1640000"/>
    <n v="2"/>
    <n v="130"/>
    <n v="50"/>
    <n v="50"/>
    <n v="320"/>
    <n v="70"/>
    <n v="35"/>
    <n v="60"/>
    <n v="130"/>
    <x v="2"/>
    <x v="0"/>
  </r>
  <r>
    <x v="320"/>
    <s v="Whalohホエルオー"/>
    <x v="2"/>
    <x v="1"/>
    <x v="216"/>
    <s v="Water Veil"/>
    <s v="Oblivious"/>
    <s v="Pressure"/>
    <s v=""/>
    <s v=""/>
    <s v=""/>
    <n v="1"/>
    <n v="1"/>
    <n v="1"/>
    <n v="2"/>
    <n v="1"/>
    <n v="1"/>
    <n v="0.5"/>
    <n v="1"/>
    <n v="1"/>
    <n v="2"/>
    <n v="1"/>
    <n v="0.5"/>
    <n v="1"/>
    <n v="1"/>
    <n v="1"/>
    <n v="1"/>
    <n v="0.5"/>
    <n v="0.5"/>
    <n v="90"/>
    <n v="10240"/>
    <n v="70"/>
    <n v="500"/>
    <n v="60"/>
    <n v="45"/>
    <n v="1640000"/>
    <n v="14.5"/>
    <n v="170"/>
    <n v="50"/>
    <n v="50"/>
    <n v="321"/>
    <n v="90"/>
    <n v="45"/>
    <n v="60"/>
    <n v="398"/>
    <x v="2"/>
    <x v="0"/>
  </r>
  <r>
    <x v="321"/>
    <s v="Donmelドンメル"/>
    <x v="1"/>
    <x v="6"/>
    <x v="217"/>
    <s v="Oblivious"/>
    <s v="Simple"/>
    <s v="Own Tempo"/>
    <s v=""/>
    <s v=""/>
    <s v=""/>
    <n v="0.5"/>
    <n v="1"/>
    <n v="1"/>
    <n v="0"/>
    <n v="0.5"/>
    <n v="1"/>
    <n v="0.5"/>
    <n v="1"/>
    <n v="1"/>
    <n v="1"/>
    <n v="2"/>
    <n v="1"/>
    <n v="1"/>
    <n v="0.5"/>
    <n v="1"/>
    <n v="1"/>
    <n v="0.5"/>
    <n v="4"/>
    <n v="60"/>
    <n v="5120"/>
    <n v="70"/>
    <n v="305"/>
    <n v="255"/>
    <n v="40"/>
    <n v="1000000"/>
    <n v="0.7"/>
    <n v="60"/>
    <n v="50"/>
    <n v="50"/>
    <n v="322"/>
    <n v="65"/>
    <n v="45"/>
    <n v="35"/>
    <n v="24"/>
    <x v="2"/>
    <x v="0"/>
  </r>
  <r>
    <x v="322"/>
    <s v="Bakuudaバクーダ"/>
    <x v="1"/>
    <x v="6"/>
    <x v="218"/>
    <s v="Magma Armor"/>
    <s v="Solid Rock"/>
    <s v="Anger Point"/>
    <s v=""/>
    <s v=""/>
    <s v=""/>
    <n v="0.5"/>
    <n v="1"/>
    <n v="1"/>
    <n v="0"/>
    <n v="0.5"/>
    <n v="1"/>
    <n v="0.5"/>
    <n v="1"/>
    <n v="1"/>
    <n v="1"/>
    <n v="2"/>
    <n v="1"/>
    <n v="1"/>
    <n v="0.5"/>
    <n v="1"/>
    <n v="1"/>
    <n v="0.5"/>
    <n v="4"/>
    <n v="120"/>
    <n v="5120"/>
    <n v="70"/>
    <n v="560"/>
    <n v="150"/>
    <n v="100"/>
    <n v="1000000"/>
    <n v="1.9"/>
    <n v="70"/>
    <n v="50"/>
    <n v="50"/>
    <n v="323"/>
    <n v="145"/>
    <n v="105"/>
    <n v="20"/>
    <n v="220"/>
    <x v="2"/>
    <x v="0"/>
  </r>
  <r>
    <x v="323"/>
    <s v="Cotoiseコータス"/>
    <x v="1"/>
    <x v="1"/>
    <x v="219"/>
    <s v="White Smoke"/>
    <s v="Drought"/>
    <s v="Shell Armor"/>
    <s v=""/>
    <s v=""/>
    <s v=""/>
    <n v="0.5"/>
    <n v="1"/>
    <n v="1"/>
    <n v="1"/>
    <n v="0.5"/>
    <n v="1"/>
    <n v="0.5"/>
    <n v="1"/>
    <n v="1"/>
    <n v="0.5"/>
    <n v="2"/>
    <n v="0.5"/>
    <n v="1"/>
    <n v="1"/>
    <n v="1"/>
    <n v="2"/>
    <n v="0.5"/>
    <n v="2"/>
    <n v="85"/>
    <n v="5120"/>
    <n v="70"/>
    <n v="470"/>
    <n v="90"/>
    <n v="140"/>
    <n v="1000000"/>
    <n v="0.5"/>
    <n v="70"/>
    <n v="50"/>
    <n v="50"/>
    <n v="324"/>
    <n v="85"/>
    <n v="70"/>
    <n v="20"/>
    <n v="80.400000000000006"/>
    <x v="2"/>
    <x v="0"/>
  </r>
  <r>
    <x v="324"/>
    <s v="Banebooバネブー"/>
    <x v="10"/>
    <x v="1"/>
    <x v="220"/>
    <s v="Thick Fat"/>
    <s v="Own Tempo"/>
    <s v="Gluttony"/>
    <s v=""/>
    <s v=""/>
    <s v=""/>
    <n v="2"/>
    <n v="2"/>
    <n v="1"/>
    <n v="1"/>
    <n v="1"/>
    <n v="0.5"/>
    <n v="1"/>
    <n v="1"/>
    <n v="2"/>
    <n v="1"/>
    <n v="1"/>
    <n v="1"/>
    <n v="1"/>
    <n v="1"/>
    <n v="0.5"/>
    <n v="1"/>
    <n v="1"/>
    <n v="1"/>
    <n v="25"/>
    <n v="5120"/>
    <n v="70"/>
    <n v="330"/>
    <n v="255"/>
    <n v="35"/>
    <n v="800000"/>
    <n v="0.7"/>
    <n v="60"/>
    <n v="50"/>
    <n v="50"/>
    <n v="325"/>
    <n v="70"/>
    <n v="80"/>
    <n v="60"/>
    <n v="30.6"/>
    <x v="2"/>
    <x v="0"/>
  </r>
  <r>
    <x v="325"/>
    <s v="Boopigブーピッグ"/>
    <x v="10"/>
    <x v="1"/>
    <x v="221"/>
    <s v="Thick Fat"/>
    <s v="Own Tempo"/>
    <s v="Gluttony"/>
    <s v=""/>
    <s v=""/>
    <s v=""/>
    <n v="2"/>
    <n v="2"/>
    <n v="1"/>
    <n v="1"/>
    <n v="1"/>
    <n v="0.5"/>
    <n v="1"/>
    <n v="1"/>
    <n v="2"/>
    <n v="1"/>
    <n v="1"/>
    <n v="1"/>
    <n v="1"/>
    <n v="1"/>
    <n v="0.5"/>
    <n v="1"/>
    <n v="1"/>
    <n v="1"/>
    <n v="45"/>
    <n v="5120"/>
    <n v="70"/>
    <n v="470"/>
    <n v="60"/>
    <n v="65"/>
    <n v="800000"/>
    <n v="0.9"/>
    <n v="80"/>
    <n v="50"/>
    <n v="50"/>
    <n v="326"/>
    <n v="90"/>
    <n v="110"/>
    <n v="80"/>
    <n v="71.5"/>
    <x v="2"/>
    <x v="0"/>
  </r>
  <r>
    <x v="326"/>
    <s v="Patcheelパッチール"/>
    <x v="4"/>
    <x v="1"/>
    <x v="222"/>
    <s v="Own Tempo"/>
    <s v="Tangled Feet"/>
    <s v="Contrary"/>
    <s v=""/>
    <s v=""/>
    <s v=""/>
    <n v="1"/>
    <n v="1"/>
    <n v="1"/>
    <n v="1"/>
    <n v="1"/>
    <n v="2"/>
    <n v="1"/>
    <n v="1"/>
    <n v="0"/>
    <n v="1"/>
    <n v="1"/>
    <n v="1"/>
    <n v="1"/>
    <n v="1"/>
    <n v="1"/>
    <n v="1"/>
    <n v="1"/>
    <n v="1"/>
    <n v="60"/>
    <n v="3840"/>
    <n v="70"/>
    <n v="360"/>
    <n v="255"/>
    <n v="60"/>
    <n v="800000"/>
    <n v="1.1000000000000001"/>
    <n v="60"/>
    <n v="50"/>
    <n v="50"/>
    <n v="327"/>
    <n v="60"/>
    <n v="60"/>
    <n v="60"/>
    <n v="5"/>
    <x v="2"/>
    <x v="0"/>
  </r>
  <r>
    <x v="327"/>
    <s v="Nuckrarナックラー"/>
    <x v="7"/>
    <x v="1"/>
    <x v="223"/>
    <s v="Hyper Cutter"/>
    <s v="Arena Trap"/>
    <s v="Sheer Force"/>
    <s v=""/>
    <s v=""/>
    <s v=""/>
    <n v="1"/>
    <n v="1"/>
    <n v="1"/>
    <n v="0"/>
    <n v="1"/>
    <n v="1"/>
    <n v="1"/>
    <n v="1"/>
    <n v="1"/>
    <n v="2"/>
    <n v="1"/>
    <n v="2"/>
    <n v="1"/>
    <n v="0.5"/>
    <n v="1"/>
    <n v="0.5"/>
    <n v="1"/>
    <n v="2"/>
    <n v="100"/>
    <n v="5120"/>
    <n v="70"/>
    <n v="290"/>
    <n v="255"/>
    <n v="45"/>
    <n v="1059860"/>
    <n v="0.7"/>
    <n v="45"/>
    <n v="50"/>
    <n v="50"/>
    <n v="328"/>
    <n v="45"/>
    <n v="45"/>
    <n v="10"/>
    <n v="15"/>
    <x v="2"/>
    <x v="0"/>
  </r>
  <r>
    <x v="328"/>
    <s v="Vibravaビブラーバ"/>
    <x v="7"/>
    <x v="15"/>
    <x v="224"/>
    <s v="Levitate"/>
    <s v=""/>
    <s v=""/>
    <s v=""/>
    <s v=""/>
    <s v=""/>
    <n v="1"/>
    <n v="1"/>
    <n v="2"/>
    <n v="0"/>
    <n v="2"/>
    <n v="1"/>
    <n v="0.5"/>
    <n v="1"/>
    <n v="1"/>
    <n v="1"/>
    <n v="1"/>
    <n v="4"/>
    <n v="1"/>
    <n v="0.5"/>
    <n v="1"/>
    <n v="0.5"/>
    <n v="1"/>
    <n v="1"/>
    <n v="70"/>
    <n v="5120"/>
    <n v="70"/>
    <n v="340"/>
    <n v="120"/>
    <n v="50"/>
    <n v="1059860"/>
    <n v="1.1000000000000001"/>
    <n v="50"/>
    <n v="50"/>
    <n v="50"/>
    <n v="329"/>
    <n v="50"/>
    <n v="50"/>
    <n v="70"/>
    <n v="15.3"/>
    <x v="2"/>
    <x v="0"/>
  </r>
  <r>
    <x v="329"/>
    <s v="Flygonフライゴン"/>
    <x v="7"/>
    <x v="15"/>
    <x v="113"/>
    <s v="Levitate"/>
    <s v=""/>
    <s v=""/>
    <s v=""/>
    <s v=""/>
    <s v=""/>
    <n v="1"/>
    <n v="1"/>
    <n v="2"/>
    <n v="0"/>
    <n v="2"/>
    <n v="1"/>
    <n v="0.5"/>
    <n v="1"/>
    <n v="1"/>
    <n v="1"/>
    <n v="1"/>
    <n v="4"/>
    <n v="1"/>
    <n v="0.5"/>
    <n v="1"/>
    <n v="0.5"/>
    <n v="1"/>
    <n v="1"/>
    <n v="100"/>
    <n v="5120"/>
    <n v="70"/>
    <n v="520"/>
    <n v="45"/>
    <n v="80"/>
    <n v="1059860"/>
    <n v="2"/>
    <n v="80"/>
    <n v="50"/>
    <n v="50"/>
    <n v="330"/>
    <n v="80"/>
    <n v="80"/>
    <n v="100"/>
    <n v="82"/>
    <x v="2"/>
    <x v="0"/>
  </r>
  <r>
    <x v="330"/>
    <s v="Saboneaサボネア"/>
    <x v="0"/>
    <x v="1"/>
    <x v="225"/>
    <s v="Sand Veil"/>
    <s v="Water Absorb"/>
    <s v=""/>
    <s v=""/>
    <s v=""/>
    <s v=""/>
    <n v="2"/>
    <n v="1"/>
    <n v="1"/>
    <n v="0.5"/>
    <n v="1"/>
    <n v="1"/>
    <n v="2"/>
    <n v="2"/>
    <n v="1"/>
    <n v="0.5"/>
    <n v="0.5"/>
    <n v="2"/>
    <n v="1"/>
    <n v="2"/>
    <n v="1"/>
    <n v="1"/>
    <n v="1"/>
    <n v="0.5"/>
    <n v="85"/>
    <n v="5120"/>
    <n v="35"/>
    <n v="335"/>
    <n v="190"/>
    <n v="40"/>
    <n v="1059860"/>
    <n v="0.4"/>
    <n v="50"/>
    <n v="50"/>
    <n v="50"/>
    <n v="331"/>
    <n v="85"/>
    <n v="40"/>
    <n v="35"/>
    <n v="51.3"/>
    <x v="2"/>
    <x v="0"/>
  </r>
  <r>
    <x v="331"/>
    <s v="Noctusノクタス"/>
    <x v="0"/>
    <x v="3"/>
    <x v="226"/>
    <s v="Sand Veil"/>
    <s v="Water Absorb"/>
    <s v=""/>
    <s v=""/>
    <s v=""/>
    <s v=""/>
    <n v="4"/>
    <n v="0.5"/>
    <n v="1"/>
    <n v="0.5"/>
    <n v="2"/>
    <n v="2"/>
    <n v="2"/>
    <n v="2"/>
    <n v="0.5"/>
    <n v="0.5"/>
    <n v="0.5"/>
    <n v="2"/>
    <n v="1"/>
    <n v="2"/>
    <n v="0"/>
    <n v="1"/>
    <n v="1"/>
    <n v="0.5"/>
    <n v="115"/>
    <n v="5120"/>
    <n v="35"/>
    <n v="475"/>
    <n v="60"/>
    <n v="60"/>
    <n v="1059860"/>
    <n v="1.3"/>
    <n v="70"/>
    <n v="50"/>
    <n v="50"/>
    <n v="332"/>
    <n v="115"/>
    <n v="60"/>
    <n v="55"/>
    <n v="77.400000000000006"/>
    <x v="2"/>
    <x v="0"/>
  </r>
  <r>
    <x v="332"/>
    <s v="Tylttoチルット"/>
    <x v="4"/>
    <x v="2"/>
    <x v="227"/>
    <s v="Natural Cure"/>
    <s v="Cloud Nine"/>
    <s v=""/>
    <s v=""/>
    <s v=""/>
    <s v=""/>
    <n v="0.5"/>
    <n v="1"/>
    <n v="1"/>
    <n v="2"/>
    <n v="1"/>
    <n v="1"/>
    <n v="1"/>
    <n v="1"/>
    <n v="0"/>
    <n v="0.5"/>
    <n v="0"/>
    <n v="2"/>
    <n v="1"/>
    <n v="1"/>
    <n v="1"/>
    <n v="2"/>
    <n v="1"/>
    <n v="1"/>
    <n v="40"/>
    <n v="5120"/>
    <n v="70"/>
    <n v="310"/>
    <n v="255"/>
    <n v="60"/>
    <n v="600000"/>
    <n v="0.4"/>
    <n v="45"/>
    <n v="50"/>
    <n v="50"/>
    <n v="333"/>
    <n v="40"/>
    <n v="75"/>
    <n v="50"/>
    <n v="1.2"/>
    <x v="2"/>
    <x v="0"/>
  </r>
  <r>
    <x v="333"/>
    <s v="Tyltalisチルタリス"/>
    <x v="14"/>
    <x v="2"/>
    <x v="228"/>
    <s v="Natural Cure"/>
    <s v="Cloud Nine"/>
    <s v=""/>
    <s v=""/>
    <s v=""/>
    <s v=""/>
    <n v="0.5"/>
    <n v="1"/>
    <n v="2"/>
    <n v="1"/>
    <n v="2"/>
    <n v="0.5"/>
    <n v="0.5"/>
    <n v="1"/>
    <n v="1"/>
    <n v="0.25"/>
    <n v="0"/>
    <n v="4"/>
    <n v="1"/>
    <n v="1"/>
    <n v="1"/>
    <n v="2"/>
    <n v="1"/>
    <n v="0.5"/>
    <n v="110"/>
    <n v="5120"/>
    <n v="70"/>
    <n v="590"/>
    <n v="45"/>
    <n v="110"/>
    <n v="600000"/>
    <n v="1.1000000000000001"/>
    <n v="75"/>
    <n v="50"/>
    <n v="50"/>
    <n v="334"/>
    <n v="110"/>
    <n v="105"/>
    <n v="80"/>
    <n v="20.6"/>
    <x v="2"/>
    <x v="0"/>
  </r>
  <r>
    <x v="334"/>
    <s v="Zangooseザングース"/>
    <x v="4"/>
    <x v="1"/>
    <x v="229"/>
    <s v="Immunity"/>
    <s v="Toxic Boost"/>
    <s v=""/>
    <s v=""/>
    <s v=""/>
    <s v=""/>
    <n v="1"/>
    <n v="1"/>
    <n v="1"/>
    <n v="1"/>
    <n v="1"/>
    <n v="2"/>
    <n v="1"/>
    <n v="1"/>
    <n v="0"/>
    <n v="1"/>
    <n v="1"/>
    <n v="1"/>
    <n v="1"/>
    <n v="1"/>
    <n v="1"/>
    <n v="1"/>
    <n v="1"/>
    <n v="1"/>
    <n v="115"/>
    <n v="5120"/>
    <n v="70"/>
    <n v="458"/>
    <n v="90"/>
    <n v="60"/>
    <n v="600000"/>
    <n v="1.3"/>
    <n v="73"/>
    <n v="50"/>
    <n v="50"/>
    <n v="335"/>
    <n v="60"/>
    <n v="60"/>
    <n v="90"/>
    <n v="40.299999999999997"/>
    <x v="2"/>
    <x v="0"/>
  </r>
  <r>
    <x v="335"/>
    <s v="Habunakeハブネーク"/>
    <x v="5"/>
    <x v="1"/>
    <x v="230"/>
    <s v="Shed Skin"/>
    <s v="Infiltrator"/>
    <s v=""/>
    <s v=""/>
    <s v=""/>
    <s v=""/>
    <n v="0.5"/>
    <n v="1"/>
    <n v="1"/>
    <n v="1"/>
    <n v="0.5"/>
    <n v="0.5"/>
    <n v="1"/>
    <n v="1"/>
    <n v="1"/>
    <n v="0.5"/>
    <n v="2"/>
    <n v="1"/>
    <n v="1"/>
    <n v="0.5"/>
    <n v="2"/>
    <n v="1"/>
    <n v="1"/>
    <n v="1"/>
    <n v="100"/>
    <n v="5120"/>
    <n v="70"/>
    <n v="458"/>
    <n v="90"/>
    <n v="60"/>
    <n v="1640000"/>
    <n v="2.7"/>
    <n v="73"/>
    <n v="50"/>
    <n v="50"/>
    <n v="336"/>
    <n v="100"/>
    <n v="60"/>
    <n v="65"/>
    <n v="52.5"/>
    <x v="2"/>
    <x v="0"/>
  </r>
  <r>
    <x v="336"/>
    <s v="Lunatoneルナトーン"/>
    <x v="11"/>
    <x v="10"/>
    <x v="231"/>
    <s v="Levitate"/>
    <s v=""/>
    <s v=""/>
    <s v=""/>
    <s v=""/>
    <s v=""/>
    <n v="2"/>
    <n v="2"/>
    <n v="1"/>
    <n v="1"/>
    <n v="1"/>
    <n v="1"/>
    <n v="0.5"/>
    <n v="0.5"/>
    <n v="2"/>
    <n v="2"/>
    <n v="2"/>
    <n v="1"/>
    <n v="0.5"/>
    <n v="0.5"/>
    <n v="0.5"/>
    <n v="1"/>
    <n v="2"/>
    <n v="2"/>
    <n v="55"/>
    <n v="6400"/>
    <n v="70"/>
    <n v="460"/>
    <n v="45"/>
    <n v="65"/>
    <n v="800000"/>
    <n v="1"/>
    <n v="90"/>
    <s v=""/>
    <s v=""/>
    <n v="337"/>
    <n v="95"/>
    <n v="85"/>
    <n v="70"/>
    <n v="168"/>
    <x v="2"/>
    <x v="0"/>
  </r>
  <r>
    <x v="337"/>
    <s v="Solrockソルロック"/>
    <x v="11"/>
    <x v="10"/>
    <x v="231"/>
    <s v="Levitate"/>
    <s v=""/>
    <s v=""/>
    <s v=""/>
    <s v=""/>
    <s v=""/>
    <n v="2"/>
    <n v="2"/>
    <n v="1"/>
    <n v="1"/>
    <n v="1"/>
    <n v="1"/>
    <n v="0.5"/>
    <n v="0.5"/>
    <n v="2"/>
    <n v="2"/>
    <n v="2"/>
    <n v="1"/>
    <n v="0.5"/>
    <n v="0.5"/>
    <n v="0.5"/>
    <n v="1"/>
    <n v="2"/>
    <n v="2"/>
    <n v="95"/>
    <n v="6400"/>
    <n v="70"/>
    <n v="460"/>
    <n v="45"/>
    <n v="85"/>
    <n v="800000"/>
    <n v="1.2"/>
    <n v="90"/>
    <s v=""/>
    <s v=""/>
    <n v="338"/>
    <n v="55"/>
    <n v="65"/>
    <n v="70"/>
    <n v="154"/>
    <x v="2"/>
    <x v="0"/>
  </r>
  <r>
    <x v="338"/>
    <s v="Dojoachドジョッチ"/>
    <x v="2"/>
    <x v="6"/>
    <x v="232"/>
    <s v="Oblivious"/>
    <s v="Anticipation"/>
    <s v="Hydration"/>
    <s v=""/>
    <s v=""/>
    <s v=""/>
    <n v="1"/>
    <n v="1"/>
    <n v="1"/>
    <n v="0"/>
    <n v="1"/>
    <n v="1"/>
    <n v="0.5"/>
    <n v="1"/>
    <n v="1"/>
    <n v="4"/>
    <n v="1"/>
    <n v="1"/>
    <n v="1"/>
    <n v="0.5"/>
    <n v="1"/>
    <n v="0.5"/>
    <n v="0.5"/>
    <n v="1"/>
    <n v="48"/>
    <n v="5120"/>
    <n v="70"/>
    <n v="288"/>
    <n v="190"/>
    <n v="43"/>
    <n v="1000000"/>
    <n v="0.4"/>
    <n v="50"/>
    <n v="50"/>
    <n v="50"/>
    <n v="339"/>
    <n v="46"/>
    <n v="41"/>
    <n v="60"/>
    <n v="1.9"/>
    <x v="2"/>
    <x v="0"/>
  </r>
  <r>
    <x v="339"/>
    <s v="Namazunナマズン"/>
    <x v="2"/>
    <x v="6"/>
    <x v="232"/>
    <s v="Oblivious"/>
    <s v="Anticipation"/>
    <s v="Hydration"/>
    <s v=""/>
    <s v=""/>
    <s v=""/>
    <n v="1"/>
    <n v="1"/>
    <n v="1"/>
    <n v="0"/>
    <n v="1"/>
    <n v="1"/>
    <n v="0.5"/>
    <n v="1"/>
    <n v="1"/>
    <n v="4"/>
    <n v="1"/>
    <n v="1"/>
    <n v="1"/>
    <n v="0.5"/>
    <n v="1"/>
    <n v="0.5"/>
    <n v="0.5"/>
    <n v="1"/>
    <n v="78"/>
    <n v="5120"/>
    <n v="70"/>
    <n v="468"/>
    <n v="75"/>
    <n v="73"/>
    <n v="1000000"/>
    <n v="0.9"/>
    <n v="110"/>
    <n v="50"/>
    <n v="50"/>
    <n v="340"/>
    <n v="76"/>
    <n v="71"/>
    <n v="60"/>
    <n v="23.6"/>
    <x v="2"/>
    <x v="0"/>
  </r>
  <r>
    <x v="340"/>
    <s v="Heiganiヘイガニ"/>
    <x v="2"/>
    <x v="1"/>
    <x v="233"/>
    <s v="Hyper Cutter"/>
    <s v="Shell Armor"/>
    <s v="Adaptability"/>
    <s v=""/>
    <s v=""/>
    <s v=""/>
    <n v="1"/>
    <n v="1"/>
    <n v="1"/>
    <n v="2"/>
    <n v="1"/>
    <n v="1"/>
    <n v="0.5"/>
    <n v="1"/>
    <n v="1"/>
    <n v="2"/>
    <n v="1"/>
    <n v="0.5"/>
    <n v="1"/>
    <n v="1"/>
    <n v="1"/>
    <n v="1"/>
    <n v="0.5"/>
    <n v="0.5"/>
    <n v="80"/>
    <n v="3840"/>
    <n v="70"/>
    <n v="308"/>
    <n v="205"/>
    <n v="65"/>
    <n v="1640000"/>
    <n v="0.6"/>
    <n v="43"/>
    <n v="50"/>
    <n v="50"/>
    <n v="341"/>
    <n v="50"/>
    <n v="35"/>
    <n v="35"/>
    <n v="11.5"/>
    <x v="2"/>
    <x v="0"/>
  </r>
  <r>
    <x v="341"/>
    <s v="Shizarigerシザリガー"/>
    <x v="2"/>
    <x v="3"/>
    <x v="234"/>
    <s v="Hyper Cutter"/>
    <s v="Shell Armor"/>
    <s v="Adaptability"/>
    <s v=""/>
    <s v=""/>
    <s v=""/>
    <n v="2"/>
    <n v="0.5"/>
    <n v="1"/>
    <n v="2"/>
    <n v="2"/>
    <n v="2"/>
    <n v="0.5"/>
    <n v="1"/>
    <n v="0.5"/>
    <n v="2"/>
    <n v="1"/>
    <n v="0.5"/>
    <n v="1"/>
    <n v="1"/>
    <n v="0"/>
    <n v="1"/>
    <n v="0.5"/>
    <n v="0.5"/>
    <n v="120"/>
    <n v="3840"/>
    <n v="70"/>
    <n v="468"/>
    <n v="155"/>
    <n v="85"/>
    <n v="1640000"/>
    <n v="1.1000000000000001"/>
    <n v="63"/>
    <n v="50"/>
    <n v="50"/>
    <n v="342"/>
    <n v="90"/>
    <n v="55"/>
    <n v="55"/>
    <n v="32.799999999999997"/>
    <x v="2"/>
    <x v="0"/>
  </r>
  <r>
    <x v="342"/>
    <s v="Yajilonヤジロン"/>
    <x v="7"/>
    <x v="10"/>
    <x v="235"/>
    <s v="Levitate"/>
    <s v=""/>
    <s v=""/>
    <s v=""/>
    <s v=""/>
    <s v=""/>
    <n v="2"/>
    <n v="2"/>
    <n v="1"/>
    <n v="0"/>
    <n v="1"/>
    <n v="0.5"/>
    <n v="1"/>
    <n v="1"/>
    <n v="2"/>
    <n v="2"/>
    <n v="1"/>
    <n v="2"/>
    <n v="1"/>
    <n v="0.5"/>
    <n v="0.5"/>
    <n v="0.5"/>
    <n v="1"/>
    <n v="2"/>
    <n v="40"/>
    <n v="5120"/>
    <n v="70"/>
    <n v="300"/>
    <n v="255"/>
    <n v="55"/>
    <n v="1000000"/>
    <n v="0.5"/>
    <n v="40"/>
    <s v=""/>
    <s v=""/>
    <n v="343"/>
    <n v="40"/>
    <n v="70"/>
    <n v="55"/>
    <n v="21.5"/>
    <x v="2"/>
    <x v="0"/>
  </r>
  <r>
    <x v="343"/>
    <s v="Nendollネンドール"/>
    <x v="7"/>
    <x v="10"/>
    <x v="235"/>
    <s v="Levitate"/>
    <s v=""/>
    <s v=""/>
    <s v=""/>
    <s v=""/>
    <s v=""/>
    <n v="2"/>
    <n v="2"/>
    <n v="1"/>
    <n v="0"/>
    <n v="1"/>
    <n v="0.5"/>
    <n v="1"/>
    <n v="1"/>
    <n v="2"/>
    <n v="2"/>
    <n v="1"/>
    <n v="2"/>
    <n v="1"/>
    <n v="0.5"/>
    <n v="0.5"/>
    <n v="0.5"/>
    <n v="1"/>
    <n v="2"/>
    <n v="70"/>
    <n v="5120"/>
    <n v="70"/>
    <n v="500"/>
    <n v="90"/>
    <n v="105"/>
    <n v="1000000"/>
    <n v="1.5"/>
    <n v="60"/>
    <s v=""/>
    <s v=""/>
    <n v="344"/>
    <n v="70"/>
    <n v="120"/>
    <n v="75"/>
    <n v="108"/>
    <x v="2"/>
    <x v="0"/>
  </r>
  <r>
    <x v="344"/>
    <s v="Lilylaリリーラ"/>
    <x v="11"/>
    <x v="8"/>
    <x v="236"/>
    <s v="Suction Cups"/>
    <s v="Storm Drain"/>
    <s v=""/>
    <s v=""/>
    <s v=""/>
    <s v=""/>
    <n v="2"/>
    <n v="1"/>
    <n v="1"/>
    <n v="0.5"/>
    <n v="1"/>
    <n v="2"/>
    <n v="1"/>
    <n v="1"/>
    <n v="1"/>
    <n v="1"/>
    <n v="1"/>
    <n v="2"/>
    <n v="0.5"/>
    <n v="1"/>
    <n v="1"/>
    <n v="1"/>
    <n v="2"/>
    <n v="1"/>
    <n v="41"/>
    <n v="7680"/>
    <n v="70"/>
    <n v="355"/>
    <n v="45"/>
    <n v="77"/>
    <n v="600000"/>
    <n v="1"/>
    <n v="66"/>
    <n v="88.1"/>
    <n v="11.900000000000006"/>
    <n v="345"/>
    <n v="61"/>
    <n v="87"/>
    <n v="23"/>
    <n v="23.8"/>
    <x v="2"/>
    <x v="0"/>
  </r>
  <r>
    <x v="345"/>
    <s v="Yuradleユレイドル"/>
    <x v="11"/>
    <x v="8"/>
    <x v="237"/>
    <s v="Suction Cups"/>
    <s v="Storm Drain"/>
    <s v=""/>
    <s v=""/>
    <s v=""/>
    <s v=""/>
    <n v="2"/>
    <n v="1"/>
    <n v="1"/>
    <n v="0.5"/>
    <n v="1"/>
    <n v="2"/>
    <n v="1"/>
    <n v="1"/>
    <n v="1"/>
    <n v="1"/>
    <n v="1"/>
    <n v="2"/>
    <n v="0.5"/>
    <n v="1"/>
    <n v="1"/>
    <n v="1"/>
    <n v="2"/>
    <n v="1"/>
    <n v="81"/>
    <n v="7680"/>
    <n v="70"/>
    <n v="495"/>
    <n v="45"/>
    <n v="97"/>
    <n v="600000"/>
    <n v="1.5"/>
    <n v="86"/>
    <n v="88.1"/>
    <n v="11.900000000000006"/>
    <n v="346"/>
    <n v="81"/>
    <n v="107"/>
    <n v="43"/>
    <n v="60.4"/>
    <x v="2"/>
    <x v="0"/>
  </r>
  <r>
    <x v="346"/>
    <s v="Anopthアノプス"/>
    <x v="11"/>
    <x v="17"/>
    <x v="238"/>
    <s v="Battle Armor"/>
    <s v="Swift Swim"/>
    <s v=""/>
    <s v=""/>
    <s v=""/>
    <s v=""/>
    <n v="1"/>
    <n v="1"/>
    <n v="1"/>
    <n v="1"/>
    <n v="1"/>
    <n v="1"/>
    <n v="1"/>
    <n v="1"/>
    <n v="1"/>
    <n v="1"/>
    <n v="1"/>
    <n v="1"/>
    <n v="0.5"/>
    <n v="0.5"/>
    <n v="1"/>
    <n v="2"/>
    <n v="2"/>
    <n v="2"/>
    <n v="95"/>
    <n v="7680"/>
    <n v="70"/>
    <n v="355"/>
    <n v="45"/>
    <n v="50"/>
    <n v="600000"/>
    <n v="0.7"/>
    <n v="45"/>
    <n v="88.1"/>
    <n v="11.900000000000006"/>
    <n v="347"/>
    <n v="40"/>
    <n v="50"/>
    <n v="75"/>
    <n v="12.5"/>
    <x v="2"/>
    <x v="0"/>
  </r>
  <r>
    <x v="347"/>
    <s v="Armaldoアーマルド"/>
    <x v="11"/>
    <x v="17"/>
    <x v="239"/>
    <s v="Battle Armor"/>
    <s v="Swift Swim"/>
    <s v=""/>
    <s v=""/>
    <s v=""/>
    <s v=""/>
    <n v="1"/>
    <n v="1"/>
    <n v="1"/>
    <n v="1"/>
    <n v="1"/>
    <n v="1"/>
    <n v="1"/>
    <n v="1"/>
    <n v="1"/>
    <n v="1"/>
    <n v="1"/>
    <n v="1"/>
    <n v="0.5"/>
    <n v="0.5"/>
    <n v="1"/>
    <n v="2"/>
    <n v="2"/>
    <n v="2"/>
    <n v="125"/>
    <n v="7680"/>
    <n v="70"/>
    <n v="495"/>
    <n v="45"/>
    <n v="100"/>
    <n v="600000"/>
    <n v="1.5"/>
    <n v="75"/>
    <n v="88.1"/>
    <n v="11.900000000000006"/>
    <n v="348"/>
    <n v="70"/>
    <n v="80"/>
    <n v="45"/>
    <n v="68.2"/>
    <x v="2"/>
    <x v="0"/>
  </r>
  <r>
    <x v="348"/>
    <s v="Hinbassヒンバス"/>
    <x v="2"/>
    <x v="1"/>
    <x v="81"/>
    <s v="Swift Swim"/>
    <s v="Oblivious"/>
    <s v="Adaptability"/>
    <s v=""/>
    <s v=""/>
    <s v=""/>
    <n v="1"/>
    <n v="1"/>
    <n v="1"/>
    <n v="2"/>
    <n v="1"/>
    <n v="1"/>
    <n v="0.5"/>
    <n v="1"/>
    <n v="1"/>
    <n v="2"/>
    <n v="1"/>
    <n v="0.5"/>
    <n v="1"/>
    <n v="1"/>
    <n v="1"/>
    <n v="1"/>
    <n v="0.5"/>
    <n v="0.5"/>
    <n v="15"/>
    <n v="5120"/>
    <n v="70"/>
    <n v="200"/>
    <n v="255"/>
    <n v="20"/>
    <n v="600000"/>
    <n v="0.6"/>
    <n v="20"/>
    <n v="50"/>
    <n v="50"/>
    <n v="349"/>
    <n v="10"/>
    <n v="55"/>
    <n v="80"/>
    <n v="7.4"/>
    <x v="2"/>
    <x v="0"/>
  </r>
  <r>
    <x v="349"/>
    <s v="Milokarossミロカロス"/>
    <x v="2"/>
    <x v="1"/>
    <x v="240"/>
    <s v="Marvel Scale"/>
    <s v="Competitive"/>
    <s v="Cute Charm"/>
    <s v=""/>
    <s v=""/>
    <s v=""/>
    <n v="1"/>
    <n v="1"/>
    <n v="1"/>
    <n v="2"/>
    <n v="1"/>
    <n v="1"/>
    <n v="0.5"/>
    <n v="1"/>
    <n v="1"/>
    <n v="2"/>
    <n v="1"/>
    <n v="0.5"/>
    <n v="1"/>
    <n v="1"/>
    <n v="1"/>
    <n v="1"/>
    <n v="0.5"/>
    <n v="0.5"/>
    <n v="60"/>
    <n v="5120"/>
    <n v="70"/>
    <n v="540"/>
    <n v="60"/>
    <n v="79"/>
    <n v="600000"/>
    <n v="6.2"/>
    <n v="95"/>
    <n v="50"/>
    <n v="50"/>
    <n v="350"/>
    <n v="100"/>
    <n v="125"/>
    <n v="81"/>
    <n v="162"/>
    <x v="2"/>
    <x v="0"/>
  </r>
  <r>
    <x v="350"/>
    <s v="Powalenポワルン"/>
    <x v="4"/>
    <x v="1"/>
    <x v="241"/>
    <s v="Forecast"/>
    <s v=""/>
    <s v=""/>
    <s v=""/>
    <s v=""/>
    <s v=""/>
    <n v="1"/>
    <n v="1"/>
    <n v="1"/>
    <n v="1"/>
    <n v="1"/>
    <n v="2"/>
    <n v="1"/>
    <n v="1"/>
    <n v="0"/>
    <n v="1"/>
    <n v="1"/>
    <n v="1"/>
    <n v="1"/>
    <n v="1"/>
    <n v="1"/>
    <n v="1"/>
    <n v="1"/>
    <n v="1"/>
    <n v="70"/>
    <n v="6400"/>
    <n v="70"/>
    <n v="420"/>
    <n v="45"/>
    <n v="70"/>
    <n v="1000000"/>
    <n v="0.3"/>
    <n v="70"/>
    <n v="50"/>
    <n v="50"/>
    <n v="351"/>
    <n v="70"/>
    <n v="70"/>
    <n v="70"/>
    <n v="0.8"/>
    <x v="2"/>
    <x v="0"/>
  </r>
  <r>
    <x v="351"/>
    <s v="Kakureonカクレオン"/>
    <x v="4"/>
    <x v="1"/>
    <x v="242"/>
    <s v="Color Change"/>
    <s v="Protean"/>
    <s v=""/>
    <s v=""/>
    <s v=""/>
    <s v=""/>
    <n v="1"/>
    <n v="1"/>
    <n v="1"/>
    <n v="1"/>
    <n v="1"/>
    <n v="2"/>
    <n v="1"/>
    <n v="1"/>
    <n v="0"/>
    <n v="1"/>
    <n v="1"/>
    <n v="1"/>
    <n v="1"/>
    <n v="1"/>
    <n v="1"/>
    <n v="1"/>
    <n v="1"/>
    <n v="1"/>
    <n v="90"/>
    <n v="5120"/>
    <n v="70"/>
    <n v="440"/>
    <n v="200"/>
    <n v="70"/>
    <n v="1059860"/>
    <n v="1"/>
    <n v="60"/>
    <n v="50"/>
    <n v="50"/>
    <n v="352"/>
    <n v="60"/>
    <n v="120"/>
    <n v="40"/>
    <n v="22"/>
    <x v="2"/>
    <x v="0"/>
  </r>
  <r>
    <x v="352"/>
    <s v="Kagebouzuカゲボウズ"/>
    <x v="12"/>
    <x v="1"/>
    <x v="243"/>
    <s v="Insomnia"/>
    <s v="Frisk"/>
    <s v="Cursed Body"/>
    <s v=""/>
    <s v=""/>
    <s v=""/>
    <n v="0.5"/>
    <n v="2"/>
    <n v="1"/>
    <n v="1"/>
    <n v="1"/>
    <n v="0"/>
    <n v="1"/>
    <n v="1"/>
    <n v="2"/>
    <n v="1"/>
    <n v="1"/>
    <n v="1"/>
    <n v="0"/>
    <n v="0.5"/>
    <n v="1"/>
    <n v="1"/>
    <n v="1"/>
    <n v="1"/>
    <n v="75"/>
    <n v="6400"/>
    <n v="35"/>
    <n v="295"/>
    <n v="225"/>
    <n v="35"/>
    <n v="800000"/>
    <n v="0.6"/>
    <n v="44"/>
    <n v="50"/>
    <n v="50"/>
    <n v="353"/>
    <n v="63"/>
    <n v="33"/>
    <n v="45"/>
    <n v="2.2999999999999998"/>
    <x v="2"/>
    <x v="0"/>
  </r>
  <r>
    <x v="353"/>
    <s v="Juppetaジュペッタ"/>
    <x v="12"/>
    <x v="1"/>
    <x v="244"/>
    <s v="Insomnia"/>
    <s v="Frisk"/>
    <s v="Cursed Body"/>
    <s v=""/>
    <s v=""/>
    <s v=""/>
    <n v="0.5"/>
    <n v="2"/>
    <n v="1"/>
    <n v="1"/>
    <n v="1"/>
    <n v="0"/>
    <n v="1"/>
    <n v="1"/>
    <n v="2"/>
    <n v="1"/>
    <n v="1"/>
    <n v="1"/>
    <n v="0"/>
    <n v="0.5"/>
    <n v="1"/>
    <n v="1"/>
    <n v="1"/>
    <n v="1"/>
    <n v="165"/>
    <n v="6400"/>
    <n v="35"/>
    <n v="555"/>
    <n v="45"/>
    <n v="75"/>
    <n v="800000"/>
    <n v="1.1000000000000001"/>
    <n v="64"/>
    <n v="50"/>
    <n v="50"/>
    <n v="354"/>
    <n v="93"/>
    <n v="83"/>
    <n v="75"/>
    <n v="12.5"/>
    <x v="2"/>
    <x v="0"/>
  </r>
  <r>
    <x v="354"/>
    <s v="Yomawaruヨマワル"/>
    <x v="12"/>
    <x v="1"/>
    <x v="245"/>
    <s v="Levitate"/>
    <s v="Frisk"/>
    <s v=""/>
    <s v=""/>
    <s v=""/>
    <s v=""/>
    <n v="0.5"/>
    <n v="2"/>
    <n v="1"/>
    <n v="1"/>
    <n v="1"/>
    <n v="0"/>
    <n v="1"/>
    <n v="1"/>
    <n v="2"/>
    <n v="1"/>
    <n v="1"/>
    <n v="1"/>
    <n v="0"/>
    <n v="0.5"/>
    <n v="1"/>
    <n v="1"/>
    <n v="1"/>
    <n v="1"/>
    <n v="40"/>
    <n v="6400"/>
    <n v="35"/>
    <n v="295"/>
    <n v="190"/>
    <n v="90"/>
    <n v="800000"/>
    <n v="0.8"/>
    <n v="20"/>
    <n v="50"/>
    <n v="50"/>
    <n v="355"/>
    <n v="30"/>
    <n v="90"/>
    <n v="25"/>
    <n v="15"/>
    <x v="2"/>
    <x v="0"/>
  </r>
  <r>
    <x v="355"/>
    <s v="Samayouruサマヨール"/>
    <x v="12"/>
    <x v="1"/>
    <x v="246"/>
    <s v="Pressure"/>
    <s v="Frisk"/>
    <s v=""/>
    <s v=""/>
    <s v=""/>
    <s v=""/>
    <n v="0.5"/>
    <n v="2"/>
    <n v="1"/>
    <n v="1"/>
    <n v="1"/>
    <n v="0"/>
    <n v="1"/>
    <n v="1"/>
    <n v="2"/>
    <n v="1"/>
    <n v="1"/>
    <n v="1"/>
    <n v="0"/>
    <n v="0.5"/>
    <n v="1"/>
    <n v="1"/>
    <n v="1"/>
    <n v="1"/>
    <n v="70"/>
    <n v="6400"/>
    <n v="35"/>
    <n v="455"/>
    <n v="90"/>
    <n v="130"/>
    <n v="800000"/>
    <n v="1.6"/>
    <n v="40"/>
    <n v="50"/>
    <n v="50"/>
    <n v="356"/>
    <n v="60"/>
    <n v="130"/>
    <n v="25"/>
    <n v="30.6"/>
    <x v="2"/>
    <x v="0"/>
  </r>
  <r>
    <x v="356"/>
    <s v="Tropiusトロピウス"/>
    <x v="0"/>
    <x v="2"/>
    <x v="247"/>
    <s v="Chlorophyll"/>
    <s v="Solar Power"/>
    <s v="Harvest"/>
    <s v=""/>
    <s v=""/>
    <s v=""/>
    <n v="1"/>
    <n v="1"/>
    <n v="1"/>
    <n v="1"/>
    <n v="1"/>
    <n v="0.5"/>
    <n v="2"/>
    <n v="2"/>
    <n v="1"/>
    <n v="0.25"/>
    <n v="0"/>
    <n v="4"/>
    <n v="1"/>
    <n v="2"/>
    <n v="1"/>
    <n v="2"/>
    <n v="1"/>
    <n v="0.5"/>
    <n v="68"/>
    <n v="6400"/>
    <n v="70"/>
    <n v="460"/>
    <n v="200"/>
    <n v="83"/>
    <n v="1250000"/>
    <n v="2"/>
    <n v="99"/>
    <n v="50"/>
    <n v="50"/>
    <n v="357"/>
    <n v="72"/>
    <n v="87"/>
    <n v="51"/>
    <n v="100"/>
    <x v="2"/>
    <x v="0"/>
  </r>
  <r>
    <x v="357"/>
    <s v="Chireanチリーン"/>
    <x v="10"/>
    <x v="1"/>
    <x v="248"/>
    <s v="Levitate"/>
    <s v=""/>
    <s v=""/>
    <s v=""/>
    <s v=""/>
    <s v=""/>
    <n v="2"/>
    <n v="2"/>
    <n v="1"/>
    <n v="1"/>
    <n v="1"/>
    <n v="0.5"/>
    <n v="1"/>
    <n v="1"/>
    <n v="2"/>
    <n v="1"/>
    <n v="1"/>
    <n v="1"/>
    <n v="1"/>
    <n v="1"/>
    <n v="0.5"/>
    <n v="1"/>
    <n v="1"/>
    <n v="1"/>
    <n v="50"/>
    <n v="6400"/>
    <n v="70"/>
    <n v="455"/>
    <n v="45"/>
    <n v="80"/>
    <n v="800000"/>
    <n v="0.6"/>
    <n v="75"/>
    <n v="50"/>
    <n v="50"/>
    <n v="358"/>
    <n v="95"/>
    <n v="90"/>
    <n v="65"/>
    <n v="1"/>
    <x v="2"/>
    <x v="0"/>
  </r>
  <r>
    <x v="358"/>
    <s v="Absolアブソル"/>
    <x v="15"/>
    <x v="1"/>
    <x v="249"/>
    <s v="Pressure"/>
    <s v="Super Luck"/>
    <s v="Justified"/>
    <s v=""/>
    <s v=""/>
    <s v=""/>
    <n v="2"/>
    <n v="0.5"/>
    <n v="1"/>
    <n v="1"/>
    <n v="2"/>
    <n v="2"/>
    <n v="1"/>
    <n v="1"/>
    <n v="0.5"/>
    <n v="1"/>
    <n v="1"/>
    <n v="1"/>
    <n v="1"/>
    <n v="1"/>
    <n v="0"/>
    <n v="1"/>
    <n v="1"/>
    <n v="1"/>
    <n v="150"/>
    <n v="6400"/>
    <n v="35"/>
    <n v="565"/>
    <n v="30"/>
    <n v="60"/>
    <n v="1059860"/>
    <n v="1.2"/>
    <n v="65"/>
    <n v="50"/>
    <n v="50"/>
    <n v="359"/>
    <n v="115"/>
    <n v="60"/>
    <n v="115"/>
    <n v="47"/>
    <x v="2"/>
    <x v="0"/>
  </r>
  <r>
    <x v="359"/>
    <s v="Sohnanoソーナノ"/>
    <x v="10"/>
    <x v="1"/>
    <x v="250"/>
    <s v="Shadow Tag"/>
    <s v="Telepathy"/>
    <s v=""/>
    <s v=""/>
    <s v=""/>
    <s v=""/>
    <n v="2"/>
    <n v="2"/>
    <n v="1"/>
    <n v="1"/>
    <n v="1"/>
    <n v="0.5"/>
    <n v="1"/>
    <n v="1"/>
    <n v="2"/>
    <n v="1"/>
    <n v="1"/>
    <n v="1"/>
    <n v="1"/>
    <n v="1"/>
    <n v="0.5"/>
    <n v="1"/>
    <n v="1"/>
    <n v="1"/>
    <n v="23"/>
    <n v="5120"/>
    <n v="70"/>
    <n v="260"/>
    <n v="125"/>
    <n v="48"/>
    <n v="1000000"/>
    <n v="0.6"/>
    <n v="95"/>
    <n v="50"/>
    <n v="50"/>
    <n v="360"/>
    <n v="23"/>
    <n v="48"/>
    <n v="23"/>
    <n v="14"/>
    <x v="2"/>
    <x v="0"/>
  </r>
  <r>
    <x v="360"/>
    <s v="Yukiwarashiユキワラシ"/>
    <x v="13"/>
    <x v="1"/>
    <x v="251"/>
    <s v="Inner Focus"/>
    <s v="Ice Body"/>
    <s v="Moody"/>
    <s v=""/>
    <s v=""/>
    <s v=""/>
    <n v="1"/>
    <n v="1"/>
    <n v="1"/>
    <n v="1"/>
    <n v="1"/>
    <n v="2"/>
    <n v="2"/>
    <n v="1"/>
    <n v="1"/>
    <n v="1"/>
    <n v="1"/>
    <n v="0.5"/>
    <n v="1"/>
    <n v="1"/>
    <n v="1"/>
    <n v="2"/>
    <n v="2"/>
    <n v="1"/>
    <n v="50"/>
    <n v="5120"/>
    <n v="70"/>
    <n v="300"/>
    <n v="190"/>
    <n v="50"/>
    <n v="1000000"/>
    <n v="0.7"/>
    <n v="50"/>
    <n v="50"/>
    <n v="50"/>
    <n v="361"/>
    <n v="50"/>
    <n v="50"/>
    <n v="50"/>
    <n v="16.8"/>
    <x v="2"/>
    <x v="0"/>
  </r>
  <r>
    <x v="361"/>
    <s v="Onigohriオニゴーリ"/>
    <x v="13"/>
    <x v="1"/>
    <x v="252"/>
    <s v="Inner Focus"/>
    <s v="Ice Body"/>
    <s v="Moody"/>
    <s v=""/>
    <s v=""/>
    <s v=""/>
    <n v="1"/>
    <n v="1"/>
    <n v="1"/>
    <n v="1"/>
    <n v="1"/>
    <n v="2"/>
    <n v="2"/>
    <n v="1"/>
    <n v="1"/>
    <n v="1"/>
    <n v="1"/>
    <n v="0.5"/>
    <n v="1"/>
    <n v="1"/>
    <n v="1"/>
    <n v="2"/>
    <n v="2"/>
    <n v="1"/>
    <n v="120"/>
    <n v="5120"/>
    <n v="70"/>
    <n v="580"/>
    <n v="75"/>
    <n v="80"/>
    <n v="1000000"/>
    <n v="1.5"/>
    <n v="80"/>
    <n v="50"/>
    <n v="50"/>
    <n v="362"/>
    <n v="120"/>
    <n v="80"/>
    <n v="100"/>
    <n v="256.5"/>
    <x v="2"/>
    <x v="0"/>
  </r>
  <r>
    <x v="362"/>
    <s v="Tamazarashiタマザラシ"/>
    <x v="13"/>
    <x v="14"/>
    <x v="253"/>
    <s v="Thick Fat"/>
    <s v="Ice Body"/>
    <s v="Oblivious"/>
    <s v=""/>
    <s v=""/>
    <s v=""/>
    <n v="1"/>
    <n v="1"/>
    <n v="1"/>
    <n v="2"/>
    <n v="1"/>
    <n v="2"/>
    <n v="1"/>
    <n v="1"/>
    <n v="1"/>
    <n v="2"/>
    <n v="1"/>
    <n v="0.25"/>
    <n v="1"/>
    <n v="1"/>
    <n v="1"/>
    <n v="2"/>
    <n v="1"/>
    <n v="0.5"/>
    <n v="40"/>
    <n v="5120"/>
    <n v="70"/>
    <n v="290"/>
    <n v="255"/>
    <n v="50"/>
    <n v="1059860"/>
    <n v="0.8"/>
    <n v="70"/>
    <n v="50"/>
    <n v="50"/>
    <n v="363"/>
    <n v="55"/>
    <n v="50"/>
    <n v="25"/>
    <n v="39.5"/>
    <x v="2"/>
    <x v="0"/>
  </r>
  <r>
    <x v="363"/>
    <s v="Todogglerトドグラー"/>
    <x v="13"/>
    <x v="14"/>
    <x v="254"/>
    <s v="Thick Fat"/>
    <s v="Ice Body"/>
    <s v="Oblivious"/>
    <s v=""/>
    <s v=""/>
    <s v=""/>
    <n v="1"/>
    <n v="1"/>
    <n v="1"/>
    <n v="2"/>
    <n v="1"/>
    <n v="2"/>
    <n v="1"/>
    <n v="1"/>
    <n v="1"/>
    <n v="2"/>
    <n v="1"/>
    <n v="0.25"/>
    <n v="1"/>
    <n v="1"/>
    <n v="1"/>
    <n v="2"/>
    <n v="1"/>
    <n v="0.5"/>
    <n v="60"/>
    <n v="5120"/>
    <n v="70"/>
    <n v="410"/>
    <n v="120"/>
    <n v="70"/>
    <n v="1059860"/>
    <n v="1.1000000000000001"/>
    <n v="90"/>
    <n v="50"/>
    <n v="50"/>
    <n v="364"/>
    <n v="75"/>
    <n v="70"/>
    <n v="45"/>
    <n v="87.6"/>
    <x v="2"/>
    <x v="0"/>
  </r>
  <r>
    <x v="364"/>
    <s v="Todoserugaトドゼルガ"/>
    <x v="13"/>
    <x v="14"/>
    <x v="255"/>
    <s v="Thick Fat"/>
    <s v="Ice Body"/>
    <s v="Oblivious"/>
    <s v=""/>
    <s v=""/>
    <s v=""/>
    <n v="1"/>
    <n v="1"/>
    <n v="1"/>
    <n v="2"/>
    <n v="1"/>
    <n v="2"/>
    <n v="1"/>
    <n v="1"/>
    <n v="1"/>
    <n v="2"/>
    <n v="1"/>
    <n v="0.25"/>
    <n v="1"/>
    <n v="1"/>
    <n v="1"/>
    <n v="2"/>
    <n v="1"/>
    <n v="0.5"/>
    <n v="80"/>
    <n v="5120"/>
    <n v="70"/>
    <n v="530"/>
    <n v="45"/>
    <n v="90"/>
    <n v="1059860"/>
    <n v="1.4"/>
    <n v="110"/>
    <n v="50"/>
    <n v="50"/>
    <n v="365"/>
    <n v="95"/>
    <n v="90"/>
    <n v="65"/>
    <n v="150.6"/>
    <x v="2"/>
    <x v="0"/>
  </r>
  <r>
    <x v="365"/>
    <s v="Pearluluパールル"/>
    <x v="2"/>
    <x v="1"/>
    <x v="51"/>
    <s v="Shell Armor"/>
    <s v="Rattled"/>
    <s v=""/>
    <s v=""/>
    <s v=""/>
    <s v=""/>
    <n v="1"/>
    <n v="1"/>
    <n v="1"/>
    <n v="2"/>
    <n v="1"/>
    <n v="1"/>
    <n v="0.5"/>
    <n v="1"/>
    <n v="1"/>
    <n v="2"/>
    <n v="1"/>
    <n v="0.5"/>
    <n v="1"/>
    <n v="1"/>
    <n v="1"/>
    <n v="1"/>
    <n v="0.5"/>
    <n v="0.5"/>
    <n v="64"/>
    <n v="5120"/>
    <n v="70"/>
    <n v="345"/>
    <n v="255"/>
    <n v="85"/>
    <n v="600000"/>
    <n v="0.4"/>
    <n v="35"/>
    <n v="50"/>
    <n v="50"/>
    <n v="366"/>
    <n v="74"/>
    <n v="55"/>
    <n v="32"/>
    <n v="52.5"/>
    <x v="2"/>
    <x v="0"/>
  </r>
  <r>
    <x v="366"/>
    <s v="Huntailハンテール"/>
    <x v="2"/>
    <x v="1"/>
    <x v="256"/>
    <s v="Swift Swim"/>
    <s v="Water Veil"/>
    <s v=""/>
    <s v=""/>
    <s v=""/>
    <s v=""/>
    <n v="1"/>
    <n v="1"/>
    <n v="1"/>
    <n v="2"/>
    <n v="1"/>
    <n v="1"/>
    <n v="0.5"/>
    <n v="1"/>
    <n v="1"/>
    <n v="2"/>
    <n v="1"/>
    <n v="0.5"/>
    <n v="1"/>
    <n v="1"/>
    <n v="1"/>
    <n v="1"/>
    <n v="0.5"/>
    <n v="0.5"/>
    <n v="104"/>
    <n v="5120"/>
    <n v="70"/>
    <n v="485"/>
    <n v="60"/>
    <n v="105"/>
    <n v="600000"/>
    <n v="1.7"/>
    <n v="55"/>
    <n v="50"/>
    <n v="50"/>
    <n v="367"/>
    <n v="94"/>
    <n v="75"/>
    <n v="52"/>
    <n v="27"/>
    <x v="2"/>
    <x v="0"/>
  </r>
  <r>
    <x v="367"/>
    <s v="Sakurabyssサクラビス"/>
    <x v="2"/>
    <x v="1"/>
    <x v="257"/>
    <s v="Swift Swim"/>
    <s v="Hydration"/>
    <s v=""/>
    <s v=""/>
    <s v=""/>
    <s v=""/>
    <n v="1"/>
    <n v="1"/>
    <n v="1"/>
    <n v="2"/>
    <n v="1"/>
    <n v="1"/>
    <n v="0.5"/>
    <n v="1"/>
    <n v="1"/>
    <n v="2"/>
    <n v="1"/>
    <n v="0.5"/>
    <n v="1"/>
    <n v="1"/>
    <n v="1"/>
    <n v="1"/>
    <n v="0.5"/>
    <n v="0.5"/>
    <n v="84"/>
    <n v="5120"/>
    <n v="70"/>
    <n v="485"/>
    <n v="60"/>
    <n v="105"/>
    <n v="600000"/>
    <n v="1.8"/>
    <n v="55"/>
    <n v="50"/>
    <n v="50"/>
    <n v="368"/>
    <n v="114"/>
    <n v="75"/>
    <n v="52"/>
    <n v="22.6"/>
    <x v="2"/>
    <x v="0"/>
  </r>
  <r>
    <x v="368"/>
    <s v="Glanthジーランス"/>
    <x v="2"/>
    <x v="13"/>
    <x v="258"/>
    <s v="Swift Swim"/>
    <s v="Rock Head"/>
    <s v="Sturdy"/>
    <s v=""/>
    <s v=""/>
    <s v=""/>
    <n v="1"/>
    <n v="1"/>
    <n v="1"/>
    <n v="2"/>
    <n v="1"/>
    <n v="2"/>
    <n v="0.25"/>
    <n v="0.5"/>
    <n v="1"/>
    <n v="4"/>
    <n v="2"/>
    <n v="0.5"/>
    <n v="0.5"/>
    <n v="0.5"/>
    <n v="1"/>
    <n v="1"/>
    <n v="1"/>
    <n v="1"/>
    <n v="90"/>
    <n v="10240"/>
    <n v="70"/>
    <n v="485"/>
    <n v="25"/>
    <n v="130"/>
    <n v="1250000"/>
    <n v="1"/>
    <n v="100"/>
    <n v="88.1"/>
    <n v="11.900000000000006"/>
    <n v="369"/>
    <n v="45"/>
    <n v="65"/>
    <n v="55"/>
    <n v="23.4"/>
    <x v="2"/>
    <x v="0"/>
  </r>
  <r>
    <x v="369"/>
    <s v="Lovecusラブカス"/>
    <x v="2"/>
    <x v="1"/>
    <x v="259"/>
    <s v="Swift Swim"/>
    <s v="Hydration"/>
    <s v=""/>
    <s v=""/>
    <s v=""/>
    <s v=""/>
    <n v="1"/>
    <n v="1"/>
    <n v="1"/>
    <n v="2"/>
    <n v="1"/>
    <n v="1"/>
    <n v="0.5"/>
    <n v="1"/>
    <n v="1"/>
    <n v="2"/>
    <n v="1"/>
    <n v="0.5"/>
    <n v="1"/>
    <n v="1"/>
    <n v="1"/>
    <n v="1"/>
    <n v="0.5"/>
    <n v="0.5"/>
    <n v="30"/>
    <n v="5120"/>
    <n v="70"/>
    <n v="330"/>
    <n v="225"/>
    <n v="55"/>
    <n v="800000"/>
    <n v="0.6"/>
    <n v="43"/>
    <n v="24.6"/>
    <n v="75.400000000000006"/>
    <n v="370"/>
    <n v="40"/>
    <n v="65"/>
    <n v="97"/>
    <n v="8.6999999999999993"/>
    <x v="2"/>
    <x v="0"/>
  </r>
  <r>
    <x v="370"/>
    <s v="Tatsubayタツベイ"/>
    <x v="14"/>
    <x v="1"/>
    <x v="260"/>
    <s v="Rock Head"/>
    <s v="Sheer Force"/>
    <s v=""/>
    <s v=""/>
    <s v=""/>
    <s v=""/>
    <n v="1"/>
    <n v="1"/>
    <n v="2"/>
    <n v="0.5"/>
    <n v="2"/>
    <n v="1"/>
    <n v="0.5"/>
    <n v="1"/>
    <n v="1"/>
    <n v="0.5"/>
    <n v="1"/>
    <n v="2"/>
    <n v="1"/>
    <n v="1"/>
    <n v="1"/>
    <n v="1"/>
    <n v="1"/>
    <n v="0.5"/>
    <n v="75"/>
    <n v="10240"/>
    <n v="35"/>
    <n v="300"/>
    <n v="45"/>
    <n v="60"/>
    <n v="1250000"/>
    <n v="0.6"/>
    <n v="45"/>
    <n v="50"/>
    <n v="50"/>
    <n v="371"/>
    <n v="40"/>
    <n v="30"/>
    <n v="50"/>
    <n v="42.1"/>
    <x v="2"/>
    <x v="0"/>
  </r>
  <r>
    <x v="371"/>
    <s v="Komoruuコモルー"/>
    <x v="14"/>
    <x v="1"/>
    <x v="261"/>
    <s v="Rock Head"/>
    <s v="Overcoat"/>
    <s v=""/>
    <s v=""/>
    <s v=""/>
    <s v=""/>
    <n v="1"/>
    <n v="1"/>
    <n v="2"/>
    <n v="0.5"/>
    <n v="2"/>
    <n v="1"/>
    <n v="0.5"/>
    <n v="1"/>
    <n v="1"/>
    <n v="0.5"/>
    <n v="1"/>
    <n v="2"/>
    <n v="1"/>
    <n v="1"/>
    <n v="1"/>
    <n v="1"/>
    <n v="1"/>
    <n v="0.5"/>
    <n v="95"/>
    <n v="10240"/>
    <n v="35"/>
    <n v="420"/>
    <n v="45"/>
    <n v="100"/>
    <n v="1250000"/>
    <n v="1.1000000000000001"/>
    <n v="65"/>
    <n v="50"/>
    <n v="50"/>
    <n v="372"/>
    <n v="60"/>
    <n v="50"/>
    <n v="50"/>
    <n v="110.5"/>
    <x v="2"/>
    <x v="0"/>
  </r>
  <r>
    <x v="372"/>
    <s v="Bohmanderボーマンダ"/>
    <x v="14"/>
    <x v="2"/>
    <x v="70"/>
    <s v="Intimidate"/>
    <s v="Moxie"/>
    <s v=""/>
    <s v=""/>
    <s v=""/>
    <s v=""/>
    <n v="0.5"/>
    <n v="1"/>
    <n v="2"/>
    <n v="1"/>
    <n v="2"/>
    <n v="0.5"/>
    <n v="0.5"/>
    <n v="1"/>
    <n v="1"/>
    <n v="0.25"/>
    <n v="0"/>
    <n v="4"/>
    <n v="1"/>
    <n v="1"/>
    <n v="1"/>
    <n v="2"/>
    <n v="1"/>
    <n v="0.5"/>
    <n v="145"/>
    <n v="10240"/>
    <n v="35"/>
    <n v="700"/>
    <n v="45"/>
    <n v="130"/>
    <n v="1250000"/>
    <n v="1.5"/>
    <n v="95"/>
    <n v="50"/>
    <n v="50"/>
    <n v="373"/>
    <n v="120"/>
    <n v="90"/>
    <n v="120"/>
    <n v="102.6"/>
    <x v="2"/>
    <x v="0"/>
  </r>
  <r>
    <x v="373"/>
    <s v="Dumbberダンバル"/>
    <x v="16"/>
    <x v="10"/>
    <x v="262"/>
    <s v="Clear Body"/>
    <s v="Light Metal"/>
    <s v=""/>
    <s v=""/>
    <s v=""/>
    <s v=""/>
    <n v="1"/>
    <n v="2"/>
    <n v="0.5"/>
    <n v="1"/>
    <n v="0.5"/>
    <n v="1"/>
    <n v="2"/>
    <n v="0.5"/>
    <n v="2"/>
    <n v="0.5"/>
    <n v="2"/>
    <n v="0.5"/>
    <n v="0.5"/>
    <n v="0"/>
    <n v="0.25"/>
    <n v="0.5"/>
    <n v="0.5"/>
    <n v="1"/>
    <n v="55"/>
    <n v="10240"/>
    <n v="35"/>
    <n v="300"/>
    <n v="3"/>
    <n v="80"/>
    <n v="1250000"/>
    <n v="0.6"/>
    <n v="40"/>
    <s v=""/>
    <s v=""/>
    <n v="374"/>
    <n v="35"/>
    <n v="60"/>
    <n v="30"/>
    <n v="95.2"/>
    <x v="2"/>
    <x v="0"/>
  </r>
  <r>
    <x v="374"/>
    <s v="Metangメタング"/>
    <x v="16"/>
    <x v="10"/>
    <x v="263"/>
    <s v="Clear Body"/>
    <s v="Light Metal"/>
    <s v=""/>
    <s v=""/>
    <s v=""/>
    <s v=""/>
    <n v="1"/>
    <n v="2"/>
    <n v="0.5"/>
    <n v="1"/>
    <n v="0.5"/>
    <n v="1"/>
    <n v="2"/>
    <n v="0.5"/>
    <n v="2"/>
    <n v="0.5"/>
    <n v="2"/>
    <n v="0.5"/>
    <n v="0.5"/>
    <n v="0"/>
    <n v="0.25"/>
    <n v="0.5"/>
    <n v="0.5"/>
    <n v="1"/>
    <n v="75"/>
    <n v="10240"/>
    <n v="35"/>
    <n v="420"/>
    <n v="3"/>
    <n v="100"/>
    <n v="1250000"/>
    <n v="1.2"/>
    <n v="60"/>
    <s v=""/>
    <s v=""/>
    <n v="375"/>
    <n v="55"/>
    <n v="80"/>
    <n v="50"/>
    <n v="202.5"/>
    <x v="2"/>
    <x v="0"/>
  </r>
  <r>
    <x v="375"/>
    <s v="Metagrossメタグロス"/>
    <x v="16"/>
    <x v="10"/>
    <x v="264"/>
    <s v="Clear Body"/>
    <s v="Light Metal"/>
    <s v=""/>
    <s v=""/>
    <s v=""/>
    <s v=""/>
    <n v="1"/>
    <n v="2"/>
    <n v="0.5"/>
    <n v="1"/>
    <n v="0.5"/>
    <n v="1"/>
    <n v="2"/>
    <n v="0.5"/>
    <n v="2"/>
    <n v="0.5"/>
    <n v="2"/>
    <n v="0.5"/>
    <n v="0.5"/>
    <n v="0"/>
    <n v="0.25"/>
    <n v="0.5"/>
    <n v="0.5"/>
    <n v="1"/>
    <n v="145"/>
    <n v="10240"/>
    <n v="35"/>
    <n v="700"/>
    <n v="3"/>
    <n v="150"/>
    <n v="1250000"/>
    <n v="1.6"/>
    <n v="80"/>
    <s v=""/>
    <s v=""/>
    <n v="376"/>
    <n v="105"/>
    <n v="110"/>
    <n v="110"/>
    <n v="550"/>
    <x v="2"/>
    <x v="0"/>
  </r>
  <r>
    <x v="376"/>
    <s v="Regirockレジロック"/>
    <x v="11"/>
    <x v="1"/>
    <x v="265"/>
    <s v="Clear Body"/>
    <s v="Sturdy"/>
    <s v=""/>
    <s v=""/>
    <s v=""/>
    <s v=""/>
    <n v="1"/>
    <n v="1"/>
    <n v="1"/>
    <n v="1"/>
    <n v="1"/>
    <n v="2"/>
    <n v="0.5"/>
    <n v="0.5"/>
    <n v="1"/>
    <n v="2"/>
    <n v="2"/>
    <n v="1"/>
    <n v="0.5"/>
    <n v="0.5"/>
    <n v="1"/>
    <n v="1"/>
    <n v="2"/>
    <n v="2"/>
    <n v="100"/>
    <n v="20480"/>
    <n v="35"/>
    <n v="580"/>
    <n v="3"/>
    <n v="200"/>
    <n v="1250000"/>
    <n v="1.7"/>
    <n v="80"/>
    <s v=""/>
    <s v=""/>
    <n v="377"/>
    <n v="50"/>
    <n v="100"/>
    <n v="50"/>
    <n v="230"/>
    <x v="2"/>
    <x v="1"/>
  </r>
  <r>
    <x v="377"/>
    <s v="Regiceレジアイス"/>
    <x v="13"/>
    <x v="1"/>
    <x v="266"/>
    <s v="Clear Body"/>
    <s v="Ice Body"/>
    <s v=""/>
    <s v=""/>
    <s v=""/>
    <s v=""/>
    <n v="1"/>
    <n v="1"/>
    <n v="1"/>
    <n v="1"/>
    <n v="1"/>
    <n v="2"/>
    <n v="2"/>
    <n v="1"/>
    <n v="1"/>
    <n v="1"/>
    <n v="1"/>
    <n v="0.5"/>
    <n v="1"/>
    <n v="1"/>
    <n v="1"/>
    <n v="2"/>
    <n v="2"/>
    <n v="1"/>
    <n v="50"/>
    <n v="20480"/>
    <n v="35"/>
    <n v="580"/>
    <n v="3"/>
    <n v="100"/>
    <n v="1250000"/>
    <n v="1.8"/>
    <n v="80"/>
    <s v=""/>
    <s v=""/>
    <n v="378"/>
    <n v="100"/>
    <n v="200"/>
    <n v="50"/>
    <n v="175"/>
    <x v="2"/>
    <x v="1"/>
  </r>
  <r>
    <x v="378"/>
    <s v="Registeelレジスチル"/>
    <x v="16"/>
    <x v="1"/>
    <x v="267"/>
    <s v="Clear Body"/>
    <s v="Light Metal"/>
    <s v=""/>
    <s v=""/>
    <s v=""/>
    <s v=""/>
    <n v="0.5"/>
    <n v="1"/>
    <n v="0.5"/>
    <n v="1"/>
    <n v="0.5"/>
    <n v="2"/>
    <n v="2"/>
    <n v="0.5"/>
    <n v="1"/>
    <n v="0.5"/>
    <n v="2"/>
    <n v="0.5"/>
    <n v="0.5"/>
    <n v="0"/>
    <n v="0.5"/>
    <n v="0.5"/>
    <n v="0.5"/>
    <n v="1"/>
    <n v="75"/>
    <n v="20480"/>
    <n v="35"/>
    <n v="580"/>
    <n v="3"/>
    <n v="150"/>
    <n v="1250000"/>
    <n v="1.9"/>
    <n v="80"/>
    <s v=""/>
    <s v=""/>
    <n v="379"/>
    <n v="75"/>
    <n v="150"/>
    <n v="50"/>
    <n v="205"/>
    <x v="2"/>
    <x v="1"/>
  </r>
  <r>
    <x v="379"/>
    <s v="Latiasラティアス"/>
    <x v="14"/>
    <x v="10"/>
    <x v="268"/>
    <s v="Levitate"/>
    <s v=""/>
    <s v=""/>
    <s v=""/>
    <s v=""/>
    <s v=""/>
    <n v="2"/>
    <n v="2"/>
    <n v="2"/>
    <n v="0.5"/>
    <n v="2"/>
    <n v="0.5"/>
    <n v="0.5"/>
    <n v="1"/>
    <n v="2"/>
    <n v="0.5"/>
    <n v="1"/>
    <n v="2"/>
    <n v="1"/>
    <n v="1"/>
    <n v="0.5"/>
    <n v="1"/>
    <n v="1"/>
    <n v="0.5"/>
    <n v="100"/>
    <n v="30720"/>
    <n v="90"/>
    <n v="700"/>
    <n v="3"/>
    <n v="120"/>
    <n v="1250000"/>
    <n v="1.4"/>
    <n v="80"/>
    <n v="0"/>
    <n v="100"/>
    <n v="380"/>
    <n v="140"/>
    <n v="150"/>
    <n v="110"/>
    <n v="40"/>
    <x v="2"/>
    <x v="1"/>
  </r>
  <r>
    <x v="380"/>
    <s v="Latiosラティオス"/>
    <x v="14"/>
    <x v="10"/>
    <x v="268"/>
    <s v="Levitate"/>
    <s v=""/>
    <s v=""/>
    <s v=""/>
    <s v=""/>
    <s v=""/>
    <n v="2"/>
    <n v="2"/>
    <n v="2"/>
    <n v="0.5"/>
    <n v="2"/>
    <n v="0.5"/>
    <n v="0.5"/>
    <n v="1"/>
    <n v="2"/>
    <n v="0.5"/>
    <n v="1"/>
    <n v="2"/>
    <n v="1"/>
    <n v="1"/>
    <n v="0.5"/>
    <n v="1"/>
    <n v="1"/>
    <n v="0.5"/>
    <n v="130"/>
    <n v="30720"/>
    <n v="90"/>
    <n v="700"/>
    <n v="3"/>
    <n v="100"/>
    <n v="1250000"/>
    <n v="2"/>
    <n v="80"/>
    <n v="100"/>
    <n v="0"/>
    <n v="381"/>
    <n v="160"/>
    <n v="120"/>
    <n v="110"/>
    <n v="60"/>
    <x v="2"/>
    <x v="1"/>
  </r>
  <r>
    <x v="381"/>
    <s v="Kyogreカイオーガ"/>
    <x v="2"/>
    <x v="1"/>
    <x v="269"/>
    <s v="Drizzle"/>
    <s v=""/>
    <s v=""/>
    <s v=""/>
    <s v=""/>
    <s v=""/>
    <n v="1"/>
    <n v="1"/>
    <n v="1"/>
    <n v="2"/>
    <n v="1"/>
    <n v="1"/>
    <n v="0.5"/>
    <n v="1"/>
    <n v="1"/>
    <n v="2"/>
    <n v="1"/>
    <n v="0.5"/>
    <n v="1"/>
    <n v="1"/>
    <n v="1"/>
    <n v="1"/>
    <n v="0.5"/>
    <n v="0.5"/>
    <n v="150"/>
    <n v="30720"/>
    <n v="0"/>
    <n v="770"/>
    <n v="3"/>
    <n v="90"/>
    <n v="1250000"/>
    <n v="4.5"/>
    <n v="100"/>
    <s v=""/>
    <s v=""/>
    <n v="382"/>
    <n v="180"/>
    <n v="160"/>
    <n v="90"/>
    <n v="352"/>
    <x v="2"/>
    <x v="1"/>
  </r>
  <r>
    <x v="382"/>
    <s v="Groudonグラードン"/>
    <x v="7"/>
    <x v="1"/>
    <x v="270"/>
    <s v="Drought"/>
    <s v=""/>
    <s v=""/>
    <s v=""/>
    <s v=""/>
    <s v=""/>
    <n v="1"/>
    <n v="1"/>
    <n v="1"/>
    <n v="0"/>
    <n v="1"/>
    <n v="1"/>
    <n v="1"/>
    <n v="1"/>
    <n v="1"/>
    <n v="2"/>
    <n v="1"/>
    <n v="2"/>
    <n v="1"/>
    <n v="0.5"/>
    <n v="1"/>
    <n v="0.5"/>
    <n v="1"/>
    <n v="2"/>
    <n v="180"/>
    <n v="30720"/>
    <n v="0"/>
    <n v="770"/>
    <n v="3"/>
    <n v="160"/>
    <n v="1250000"/>
    <n v="3.5"/>
    <n v="100"/>
    <s v=""/>
    <s v=""/>
    <n v="383"/>
    <n v="150"/>
    <n v="90"/>
    <n v="90"/>
    <n v="950"/>
    <x v="2"/>
    <x v="1"/>
  </r>
  <r>
    <x v="383"/>
    <s v="Rayquazaレックウザ"/>
    <x v="14"/>
    <x v="2"/>
    <x v="271"/>
    <s v="Air Lock"/>
    <s v=""/>
    <s v=""/>
    <s v=""/>
    <s v=""/>
    <s v=""/>
    <n v="0.5"/>
    <n v="1"/>
    <n v="2"/>
    <n v="1"/>
    <n v="2"/>
    <n v="0.5"/>
    <n v="0.5"/>
    <n v="1"/>
    <n v="1"/>
    <n v="0.25"/>
    <n v="0"/>
    <n v="4"/>
    <n v="1"/>
    <n v="1"/>
    <n v="1"/>
    <n v="2"/>
    <n v="1"/>
    <n v="0.5"/>
    <n v="180"/>
    <n v="30720"/>
    <n v="0"/>
    <n v="780"/>
    <n v="45"/>
    <n v="100"/>
    <n v="1250000"/>
    <n v="7"/>
    <n v="105"/>
    <s v=""/>
    <s v=""/>
    <n v="384"/>
    <n v="180"/>
    <n v="100"/>
    <n v="115"/>
    <n v="206.5"/>
    <x v="2"/>
    <x v="1"/>
  </r>
  <r>
    <x v="384"/>
    <s v="Jirachiジラーチ"/>
    <x v="16"/>
    <x v="10"/>
    <x v="272"/>
    <s v="Serene Grace"/>
    <s v=""/>
    <s v=""/>
    <s v=""/>
    <s v=""/>
    <s v=""/>
    <n v="1"/>
    <n v="2"/>
    <n v="0.5"/>
    <n v="1"/>
    <n v="0.5"/>
    <n v="1"/>
    <n v="2"/>
    <n v="0.5"/>
    <n v="2"/>
    <n v="0.5"/>
    <n v="2"/>
    <n v="0.5"/>
    <n v="0.5"/>
    <n v="0"/>
    <n v="0.25"/>
    <n v="0.5"/>
    <n v="0.5"/>
    <n v="1"/>
    <n v="100"/>
    <n v="30720"/>
    <n v="100"/>
    <n v="600"/>
    <n v="3"/>
    <n v="100"/>
    <n v="1250000"/>
    <n v="0.3"/>
    <n v="100"/>
    <s v=""/>
    <s v=""/>
    <n v="385"/>
    <n v="100"/>
    <n v="100"/>
    <n v="100"/>
    <n v="1.1000000000000001"/>
    <x v="2"/>
    <x v="1"/>
  </r>
  <r>
    <x v="385"/>
    <s v="Deoxysデオキシス"/>
    <x v="10"/>
    <x v="1"/>
    <x v="273"/>
    <s v="Pressure"/>
    <s v=""/>
    <s v=""/>
    <s v=""/>
    <s v=""/>
    <s v=""/>
    <n v="2"/>
    <n v="2"/>
    <n v="1"/>
    <n v="1"/>
    <n v="1"/>
    <n v="0.5"/>
    <n v="1"/>
    <n v="1"/>
    <n v="2"/>
    <n v="1"/>
    <n v="1"/>
    <n v="1"/>
    <n v="1"/>
    <n v="1"/>
    <n v="0.5"/>
    <n v="1"/>
    <n v="1"/>
    <n v="1"/>
    <n v="95"/>
    <n v="30720"/>
    <n v="0"/>
    <n v="600"/>
    <n v="3"/>
    <n v="90"/>
    <n v="1250000"/>
    <n v="1.7"/>
    <n v="50"/>
    <s v=""/>
    <s v=""/>
    <n v="386"/>
    <n v="95"/>
    <n v="90"/>
    <n v="180"/>
    <n v="60.8"/>
    <x v="2"/>
    <x v="1"/>
  </r>
  <r>
    <x v="386"/>
    <s v="Naetleナエトル"/>
    <x v="0"/>
    <x v="1"/>
    <x v="274"/>
    <s v="Overgrow"/>
    <s v="Shell Armor"/>
    <s v=""/>
    <s v=""/>
    <s v=""/>
    <s v=""/>
    <n v="2"/>
    <n v="1"/>
    <n v="1"/>
    <n v="0.5"/>
    <n v="1"/>
    <n v="1"/>
    <n v="2"/>
    <n v="2"/>
    <n v="1"/>
    <n v="0.5"/>
    <n v="0.5"/>
    <n v="2"/>
    <n v="1"/>
    <n v="2"/>
    <n v="1"/>
    <n v="1"/>
    <n v="1"/>
    <n v="0.5"/>
    <n v="68"/>
    <n v="5120"/>
    <n v="70"/>
    <n v="318"/>
    <n v="45"/>
    <n v="64"/>
    <n v="1059860"/>
    <n v="0.4"/>
    <n v="55"/>
    <n v="88.1"/>
    <n v="11.900000000000006"/>
    <n v="387"/>
    <n v="45"/>
    <n v="55"/>
    <n v="31"/>
    <n v="10.199999999999999"/>
    <x v="3"/>
    <x v="0"/>
  </r>
  <r>
    <x v="387"/>
    <s v="Hayashigameハヤシガメ"/>
    <x v="0"/>
    <x v="1"/>
    <x v="275"/>
    <s v="Overgrow"/>
    <s v="Shell Armor"/>
    <s v=""/>
    <s v=""/>
    <s v=""/>
    <s v=""/>
    <n v="2"/>
    <n v="1"/>
    <n v="1"/>
    <n v="0.5"/>
    <n v="1"/>
    <n v="1"/>
    <n v="2"/>
    <n v="2"/>
    <n v="1"/>
    <n v="0.5"/>
    <n v="0.5"/>
    <n v="2"/>
    <n v="1"/>
    <n v="2"/>
    <n v="1"/>
    <n v="1"/>
    <n v="1"/>
    <n v="0.5"/>
    <n v="89"/>
    <n v="5120"/>
    <n v="70"/>
    <n v="405"/>
    <n v="45"/>
    <n v="85"/>
    <n v="1059860"/>
    <n v="1.1000000000000001"/>
    <n v="75"/>
    <n v="88.1"/>
    <n v="11.900000000000006"/>
    <n v="388"/>
    <n v="55"/>
    <n v="65"/>
    <n v="36"/>
    <n v="97"/>
    <x v="3"/>
    <x v="0"/>
  </r>
  <r>
    <x v="388"/>
    <s v="Dodaitoseドダイトス"/>
    <x v="0"/>
    <x v="6"/>
    <x v="270"/>
    <s v="Overgrow"/>
    <s v="Shell Armor"/>
    <s v=""/>
    <s v=""/>
    <s v=""/>
    <s v=""/>
    <n v="2"/>
    <n v="1"/>
    <n v="1"/>
    <n v="0"/>
    <n v="1"/>
    <n v="1"/>
    <n v="2"/>
    <n v="2"/>
    <n v="1"/>
    <n v="1"/>
    <n v="0.5"/>
    <n v="4"/>
    <n v="1"/>
    <n v="1"/>
    <n v="1"/>
    <n v="0.5"/>
    <n v="1"/>
    <n v="1"/>
    <n v="109"/>
    <n v="5120"/>
    <n v="70"/>
    <n v="525"/>
    <n v="45"/>
    <n v="105"/>
    <n v="1059860"/>
    <n v="2.2000000000000002"/>
    <n v="95"/>
    <n v="88.1"/>
    <n v="11.900000000000006"/>
    <n v="389"/>
    <n v="75"/>
    <n v="85"/>
    <n v="56"/>
    <n v="310"/>
    <x v="3"/>
    <x v="0"/>
  </r>
  <r>
    <x v="389"/>
    <s v="Hikozaruヒコザル"/>
    <x v="1"/>
    <x v="1"/>
    <x v="276"/>
    <s v="Blaze"/>
    <s v="Iron Fist"/>
    <s v=""/>
    <s v=""/>
    <s v=""/>
    <s v=""/>
    <n v="0.5"/>
    <n v="1"/>
    <n v="1"/>
    <n v="1"/>
    <n v="0.5"/>
    <n v="1"/>
    <n v="0.5"/>
    <n v="1"/>
    <n v="1"/>
    <n v="0.5"/>
    <n v="2"/>
    <n v="0.5"/>
    <n v="1"/>
    <n v="1"/>
    <n v="1"/>
    <n v="2"/>
    <n v="0.5"/>
    <n v="2"/>
    <n v="58"/>
    <n v="5120"/>
    <n v="70"/>
    <n v="309"/>
    <n v="45"/>
    <n v="44"/>
    <n v="1059860"/>
    <n v="0.5"/>
    <n v="44"/>
    <n v="88.1"/>
    <n v="11.900000000000006"/>
    <n v="390"/>
    <n v="58"/>
    <n v="44"/>
    <n v="61"/>
    <n v="6.2"/>
    <x v="3"/>
    <x v="0"/>
  </r>
  <r>
    <x v="390"/>
    <s v="Moukazaruモウカザル"/>
    <x v="1"/>
    <x v="9"/>
    <x v="277"/>
    <s v="Blaze"/>
    <s v="Iron Fist"/>
    <s v=""/>
    <s v=""/>
    <s v=""/>
    <s v=""/>
    <n v="0.25"/>
    <n v="0.5"/>
    <n v="1"/>
    <n v="1"/>
    <n v="1"/>
    <n v="1"/>
    <n v="0.5"/>
    <n v="2"/>
    <n v="1"/>
    <n v="0.5"/>
    <n v="2"/>
    <n v="0.5"/>
    <n v="1"/>
    <n v="1"/>
    <n v="2"/>
    <n v="1"/>
    <n v="0.5"/>
    <n v="2"/>
    <n v="78"/>
    <n v="5120"/>
    <n v="70"/>
    <n v="405"/>
    <n v="45"/>
    <n v="52"/>
    <n v="1059860"/>
    <n v="0.9"/>
    <n v="64"/>
    <n v="88.1"/>
    <n v="11.900000000000006"/>
    <n v="391"/>
    <n v="78"/>
    <n v="52"/>
    <n v="81"/>
    <n v="22"/>
    <x v="3"/>
    <x v="0"/>
  </r>
  <r>
    <x v="391"/>
    <s v="Goukazaruゴウカザル"/>
    <x v="1"/>
    <x v="9"/>
    <x v="2"/>
    <s v="Blaze"/>
    <s v="Iron Fist"/>
    <s v=""/>
    <s v=""/>
    <s v=""/>
    <s v=""/>
    <n v="0.25"/>
    <n v="0.5"/>
    <n v="1"/>
    <n v="1"/>
    <n v="1"/>
    <n v="1"/>
    <n v="0.5"/>
    <n v="2"/>
    <n v="1"/>
    <n v="0.5"/>
    <n v="2"/>
    <n v="0.5"/>
    <n v="1"/>
    <n v="1"/>
    <n v="2"/>
    <n v="1"/>
    <n v="0.5"/>
    <n v="2"/>
    <n v="104"/>
    <n v="5120"/>
    <n v="70"/>
    <n v="534"/>
    <n v="45"/>
    <n v="71"/>
    <n v="1059860"/>
    <n v="1.2"/>
    <n v="76"/>
    <n v="88.1"/>
    <n v="11.900000000000006"/>
    <n v="392"/>
    <n v="104"/>
    <n v="71"/>
    <n v="108"/>
    <n v="55"/>
    <x v="3"/>
    <x v="0"/>
  </r>
  <r>
    <x v="392"/>
    <s v="Pochamaポッチャマ"/>
    <x v="2"/>
    <x v="1"/>
    <x v="278"/>
    <s v="Torrent"/>
    <s v="Defiant"/>
    <s v=""/>
    <s v=""/>
    <s v=""/>
    <s v=""/>
    <n v="1"/>
    <n v="1"/>
    <n v="1"/>
    <n v="2"/>
    <n v="1"/>
    <n v="1"/>
    <n v="0.5"/>
    <n v="1"/>
    <n v="1"/>
    <n v="2"/>
    <n v="1"/>
    <n v="0.5"/>
    <n v="1"/>
    <n v="1"/>
    <n v="1"/>
    <n v="1"/>
    <n v="0.5"/>
    <n v="0.5"/>
    <n v="51"/>
    <n v="5120"/>
    <n v="70"/>
    <n v="314"/>
    <n v="45"/>
    <n v="53"/>
    <n v="1059860"/>
    <n v="0.4"/>
    <n v="53"/>
    <n v="88.1"/>
    <n v="11.900000000000006"/>
    <n v="393"/>
    <n v="61"/>
    <n v="56"/>
    <n v="40"/>
    <n v="5.2"/>
    <x v="3"/>
    <x v="0"/>
  </r>
  <r>
    <x v="393"/>
    <s v="Pottaishiポッタイシ"/>
    <x v="2"/>
    <x v="1"/>
    <x v="278"/>
    <s v="Torrent"/>
    <s v="Defiant"/>
    <s v=""/>
    <s v=""/>
    <s v=""/>
    <s v=""/>
    <n v="1"/>
    <n v="1"/>
    <n v="1"/>
    <n v="2"/>
    <n v="1"/>
    <n v="1"/>
    <n v="0.5"/>
    <n v="1"/>
    <n v="1"/>
    <n v="2"/>
    <n v="1"/>
    <n v="0.5"/>
    <n v="1"/>
    <n v="1"/>
    <n v="1"/>
    <n v="1"/>
    <n v="0.5"/>
    <n v="0.5"/>
    <n v="66"/>
    <n v="5120"/>
    <n v="70"/>
    <n v="405"/>
    <n v="45"/>
    <n v="68"/>
    <n v="1059860"/>
    <n v="0.8"/>
    <n v="64"/>
    <n v="88.1"/>
    <n v="11.900000000000006"/>
    <n v="394"/>
    <n v="81"/>
    <n v="76"/>
    <n v="50"/>
    <n v="23"/>
    <x v="3"/>
    <x v="0"/>
  </r>
  <r>
    <x v="394"/>
    <s v="Emperteエンペルト"/>
    <x v="2"/>
    <x v="11"/>
    <x v="279"/>
    <s v="Torrent"/>
    <s v="Defiant"/>
    <s v=""/>
    <s v=""/>
    <s v=""/>
    <s v=""/>
    <n v="0.5"/>
    <n v="1"/>
    <n v="0.5"/>
    <n v="2"/>
    <n v="0.5"/>
    <n v="2"/>
    <n v="1"/>
    <n v="0.5"/>
    <n v="1"/>
    <n v="1"/>
    <n v="2"/>
    <n v="0.25"/>
    <n v="0.5"/>
    <n v="0"/>
    <n v="0.5"/>
    <n v="0.5"/>
    <n v="0.25"/>
    <n v="0.5"/>
    <n v="86"/>
    <n v="5120"/>
    <n v="70"/>
    <n v="530"/>
    <n v="45"/>
    <n v="88"/>
    <n v="1059860"/>
    <n v="1.7"/>
    <n v="84"/>
    <n v="88.1"/>
    <n v="11.900000000000006"/>
    <n v="395"/>
    <n v="111"/>
    <n v="101"/>
    <n v="60"/>
    <n v="84.5"/>
    <x v="3"/>
    <x v="0"/>
  </r>
  <r>
    <x v="395"/>
    <s v="Mukkuruムックル"/>
    <x v="4"/>
    <x v="2"/>
    <x v="280"/>
    <s v="Keen Eye"/>
    <s v="Reckless"/>
    <s v=""/>
    <s v=""/>
    <s v=""/>
    <s v=""/>
    <n v="0.5"/>
    <n v="1"/>
    <n v="1"/>
    <n v="2"/>
    <n v="1"/>
    <n v="1"/>
    <n v="1"/>
    <n v="1"/>
    <n v="0"/>
    <n v="0.5"/>
    <n v="0"/>
    <n v="2"/>
    <n v="1"/>
    <n v="1"/>
    <n v="1"/>
    <n v="2"/>
    <n v="1"/>
    <n v="1"/>
    <n v="55"/>
    <n v="3840"/>
    <n v="70"/>
    <n v="245"/>
    <n v="255"/>
    <n v="30"/>
    <n v="1059860"/>
    <n v="0.3"/>
    <n v="40"/>
    <n v="50"/>
    <n v="50"/>
    <n v="396"/>
    <n v="30"/>
    <n v="30"/>
    <n v="60"/>
    <n v="2"/>
    <x v="3"/>
    <x v="0"/>
  </r>
  <r>
    <x v="396"/>
    <s v="Mukubirdムクバード"/>
    <x v="4"/>
    <x v="2"/>
    <x v="280"/>
    <s v="Intimidate"/>
    <s v="Reckless"/>
    <s v=""/>
    <s v=""/>
    <s v=""/>
    <s v=""/>
    <n v="0.5"/>
    <n v="1"/>
    <n v="1"/>
    <n v="2"/>
    <n v="1"/>
    <n v="1"/>
    <n v="1"/>
    <n v="1"/>
    <n v="0"/>
    <n v="0.5"/>
    <n v="0"/>
    <n v="2"/>
    <n v="1"/>
    <n v="1"/>
    <n v="1"/>
    <n v="2"/>
    <n v="1"/>
    <n v="1"/>
    <n v="75"/>
    <n v="3840"/>
    <n v="70"/>
    <n v="340"/>
    <n v="120"/>
    <n v="50"/>
    <n v="1059860"/>
    <n v="0.6"/>
    <n v="55"/>
    <n v="50"/>
    <n v="50"/>
    <n v="397"/>
    <n v="40"/>
    <n v="40"/>
    <n v="80"/>
    <n v="15.5"/>
    <x v="3"/>
    <x v="0"/>
  </r>
  <r>
    <x v="397"/>
    <s v="Mukuhawkムクホーク"/>
    <x v="4"/>
    <x v="2"/>
    <x v="281"/>
    <s v="Intimidate"/>
    <s v="Reckless"/>
    <s v=""/>
    <s v=""/>
    <s v=""/>
    <s v=""/>
    <n v="0.5"/>
    <n v="1"/>
    <n v="1"/>
    <n v="2"/>
    <n v="1"/>
    <n v="1"/>
    <n v="1"/>
    <n v="1"/>
    <n v="0"/>
    <n v="0.5"/>
    <n v="0"/>
    <n v="2"/>
    <n v="1"/>
    <n v="1"/>
    <n v="1"/>
    <n v="2"/>
    <n v="1"/>
    <n v="1"/>
    <n v="120"/>
    <n v="3840"/>
    <n v="70"/>
    <n v="485"/>
    <n v="45"/>
    <n v="70"/>
    <n v="1059860"/>
    <n v="1.2"/>
    <n v="85"/>
    <n v="50"/>
    <n v="50"/>
    <n v="398"/>
    <n v="50"/>
    <n v="60"/>
    <n v="100"/>
    <n v="24.9"/>
    <x v="3"/>
    <x v="0"/>
  </r>
  <r>
    <x v="398"/>
    <s v="Bippaビッパ"/>
    <x v="4"/>
    <x v="1"/>
    <x v="282"/>
    <s v="Simple"/>
    <s v="Unaware"/>
    <s v="Moody"/>
    <s v=""/>
    <s v=""/>
    <s v=""/>
    <n v="1"/>
    <n v="1"/>
    <n v="1"/>
    <n v="1"/>
    <n v="1"/>
    <n v="2"/>
    <n v="1"/>
    <n v="1"/>
    <n v="0"/>
    <n v="1"/>
    <n v="1"/>
    <n v="1"/>
    <n v="1"/>
    <n v="1"/>
    <n v="1"/>
    <n v="1"/>
    <n v="1"/>
    <n v="1"/>
    <n v="45"/>
    <n v="3840"/>
    <n v="70"/>
    <n v="250"/>
    <n v="255"/>
    <n v="40"/>
    <n v="1000000"/>
    <n v="0.5"/>
    <n v="59"/>
    <n v="50"/>
    <n v="50"/>
    <n v="399"/>
    <n v="35"/>
    <n v="40"/>
    <n v="31"/>
    <n v="20"/>
    <x v="3"/>
    <x v="0"/>
  </r>
  <r>
    <x v="399"/>
    <s v="Beadaruビーダル"/>
    <x v="4"/>
    <x v="14"/>
    <x v="283"/>
    <s v="Simple"/>
    <s v="Unaware"/>
    <s v="Moody"/>
    <s v=""/>
    <s v=""/>
    <s v=""/>
    <n v="1"/>
    <n v="1"/>
    <n v="1"/>
    <n v="2"/>
    <n v="1"/>
    <n v="2"/>
    <n v="0.5"/>
    <n v="1"/>
    <n v="0"/>
    <n v="2"/>
    <n v="1"/>
    <n v="0.5"/>
    <n v="1"/>
    <n v="1"/>
    <n v="1"/>
    <n v="1"/>
    <n v="0.5"/>
    <n v="0.5"/>
    <n v="85"/>
    <n v="3840"/>
    <n v="70"/>
    <n v="410"/>
    <n v="127"/>
    <n v="60"/>
    <n v="1000000"/>
    <n v="1"/>
    <n v="79"/>
    <n v="50"/>
    <n v="50"/>
    <n v="400"/>
    <n v="55"/>
    <n v="60"/>
    <n v="71"/>
    <n v="31.5"/>
    <x v="3"/>
    <x v="0"/>
  </r>
  <r>
    <x v="400"/>
    <s v="Korobohshiコロボーシ"/>
    <x v="3"/>
    <x v="1"/>
    <x v="284"/>
    <s v="Shed Skin"/>
    <s v="Run Away"/>
    <s v=""/>
    <s v=""/>
    <s v=""/>
    <s v=""/>
    <n v="1"/>
    <n v="1"/>
    <n v="1"/>
    <n v="1"/>
    <n v="1"/>
    <n v="0.5"/>
    <n v="2"/>
    <n v="2"/>
    <n v="1"/>
    <n v="0.5"/>
    <n v="0.5"/>
    <n v="1"/>
    <n v="1"/>
    <n v="1"/>
    <n v="1"/>
    <n v="2"/>
    <n v="1"/>
    <n v="1"/>
    <n v="25"/>
    <n v="3840"/>
    <n v="70"/>
    <n v="194"/>
    <n v="255"/>
    <n v="41"/>
    <n v="1059860"/>
    <n v="0.3"/>
    <n v="37"/>
    <n v="50"/>
    <n v="50"/>
    <n v="401"/>
    <n v="25"/>
    <n v="41"/>
    <n v="25"/>
    <n v="2.2000000000000002"/>
    <x v="3"/>
    <x v="0"/>
  </r>
  <r>
    <x v="401"/>
    <s v="Korotockコロトック"/>
    <x v="3"/>
    <x v="1"/>
    <x v="284"/>
    <s v="Swarm"/>
    <s v="Technician"/>
    <s v=""/>
    <s v=""/>
    <s v=""/>
    <s v=""/>
    <n v="1"/>
    <n v="1"/>
    <n v="1"/>
    <n v="1"/>
    <n v="1"/>
    <n v="0.5"/>
    <n v="2"/>
    <n v="2"/>
    <n v="1"/>
    <n v="0.5"/>
    <n v="0.5"/>
    <n v="1"/>
    <n v="1"/>
    <n v="1"/>
    <n v="1"/>
    <n v="2"/>
    <n v="1"/>
    <n v="1"/>
    <n v="85"/>
    <n v="3840"/>
    <n v="70"/>
    <n v="384"/>
    <n v="45"/>
    <n v="51"/>
    <n v="1059860"/>
    <n v="1"/>
    <n v="77"/>
    <n v="50"/>
    <n v="50"/>
    <n v="402"/>
    <n v="55"/>
    <n v="51"/>
    <n v="65"/>
    <n v="25.5"/>
    <x v="3"/>
    <x v="0"/>
  </r>
  <r>
    <x v="402"/>
    <s v="Kolinkコリンク"/>
    <x v="6"/>
    <x v="1"/>
    <x v="285"/>
    <s v="Rivalry"/>
    <s v="Intimidate"/>
    <s v="Guts"/>
    <s v=""/>
    <s v=""/>
    <s v=""/>
    <n v="1"/>
    <n v="1"/>
    <n v="1"/>
    <n v="0.5"/>
    <n v="1"/>
    <n v="1"/>
    <n v="1"/>
    <n v="0.5"/>
    <n v="1"/>
    <n v="1"/>
    <n v="2"/>
    <n v="1"/>
    <n v="1"/>
    <n v="1"/>
    <n v="1"/>
    <n v="1"/>
    <n v="0.5"/>
    <n v="1"/>
    <n v="65"/>
    <n v="5120"/>
    <n v="70"/>
    <n v="263"/>
    <n v="235"/>
    <n v="34"/>
    <n v="1059860"/>
    <n v="0.5"/>
    <n v="45"/>
    <n v="50"/>
    <n v="50"/>
    <n v="403"/>
    <n v="40"/>
    <n v="34"/>
    <n v="45"/>
    <n v="9.5"/>
    <x v="3"/>
    <x v="0"/>
  </r>
  <r>
    <x v="403"/>
    <s v="Luxioルクシオ"/>
    <x v="6"/>
    <x v="1"/>
    <x v="286"/>
    <s v="Rivalry"/>
    <s v="Intimidate"/>
    <s v="Guts"/>
    <s v=""/>
    <s v=""/>
    <s v=""/>
    <n v="1"/>
    <n v="1"/>
    <n v="1"/>
    <n v="0.5"/>
    <n v="1"/>
    <n v="1"/>
    <n v="1"/>
    <n v="0.5"/>
    <n v="1"/>
    <n v="1"/>
    <n v="2"/>
    <n v="1"/>
    <n v="1"/>
    <n v="1"/>
    <n v="1"/>
    <n v="1"/>
    <n v="0.5"/>
    <n v="1"/>
    <n v="85"/>
    <n v="5120"/>
    <n v="100"/>
    <n v="363"/>
    <n v="120"/>
    <n v="49"/>
    <n v="1059860"/>
    <n v="0.9"/>
    <n v="60"/>
    <n v="50"/>
    <n v="50"/>
    <n v="404"/>
    <n v="60"/>
    <n v="49"/>
    <n v="60"/>
    <n v="30.5"/>
    <x v="3"/>
    <x v="0"/>
  </r>
  <r>
    <x v="404"/>
    <s v="Rentorarレントラー"/>
    <x v="6"/>
    <x v="1"/>
    <x v="287"/>
    <s v="Rivalry"/>
    <s v="Intimidate"/>
    <s v="Guts"/>
    <s v=""/>
    <s v=""/>
    <s v=""/>
    <n v="1"/>
    <n v="1"/>
    <n v="1"/>
    <n v="0.5"/>
    <n v="1"/>
    <n v="1"/>
    <n v="1"/>
    <n v="0.5"/>
    <n v="1"/>
    <n v="1"/>
    <n v="2"/>
    <n v="1"/>
    <n v="1"/>
    <n v="1"/>
    <n v="1"/>
    <n v="1"/>
    <n v="0.5"/>
    <n v="1"/>
    <n v="120"/>
    <n v="5120"/>
    <n v="70"/>
    <n v="523"/>
    <n v="45"/>
    <n v="79"/>
    <n v="1059860"/>
    <n v="1.4"/>
    <n v="80"/>
    <n v="50"/>
    <n v="50"/>
    <n v="405"/>
    <n v="95"/>
    <n v="79"/>
    <n v="70"/>
    <n v="42"/>
    <x v="3"/>
    <x v="0"/>
  </r>
  <r>
    <x v="405"/>
    <s v="Subomieスボミー"/>
    <x v="0"/>
    <x v="0"/>
    <x v="288"/>
    <s v="Natural Cure"/>
    <s v="Poison Point"/>
    <s v="Leaf Guard"/>
    <s v=""/>
    <s v=""/>
    <s v=""/>
    <n v="1"/>
    <n v="1"/>
    <n v="1"/>
    <n v="0.5"/>
    <n v="0.5"/>
    <n v="0.5"/>
    <n v="2"/>
    <n v="2"/>
    <n v="1"/>
    <n v="0.25"/>
    <n v="1"/>
    <n v="2"/>
    <n v="1"/>
    <n v="1"/>
    <n v="2"/>
    <n v="1"/>
    <n v="1"/>
    <n v="0.5"/>
    <n v="30"/>
    <n v="5120"/>
    <n v="70"/>
    <n v="280"/>
    <n v="255"/>
    <n v="35"/>
    <n v="1059860"/>
    <n v="0.2"/>
    <n v="40"/>
    <n v="50"/>
    <n v="50"/>
    <n v="406"/>
    <n v="50"/>
    <n v="70"/>
    <n v="55"/>
    <n v="1.2"/>
    <x v="3"/>
    <x v="0"/>
  </r>
  <r>
    <x v="406"/>
    <s v="Roseradeロズレイド"/>
    <x v="0"/>
    <x v="0"/>
    <x v="289"/>
    <s v="Natural Cure"/>
    <s v="Poison Point"/>
    <s v="Technician"/>
    <s v=""/>
    <s v=""/>
    <s v=""/>
    <n v="1"/>
    <n v="1"/>
    <n v="1"/>
    <n v="0.5"/>
    <n v="0.5"/>
    <n v="0.5"/>
    <n v="2"/>
    <n v="2"/>
    <n v="1"/>
    <n v="0.25"/>
    <n v="1"/>
    <n v="2"/>
    <n v="1"/>
    <n v="1"/>
    <n v="2"/>
    <n v="1"/>
    <n v="1"/>
    <n v="0.5"/>
    <n v="70"/>
    <n v="5120"/>
    <n v="70"/>
    <n v="515"/>
    <n v="75"/>
    <n v="65"/>
    <n v="1059860"/>
    <n v="0.9"/>
    <n v="60"/>
    <n v="50"/>
    <n v="50"/>
    <n v="407"/>
    <n v="125"/>
    <n v="105"/>
    <n v="90"/>
    <n v="14.5"/>
    <x v="3"/>
    <x v="0"/>
  </r>
  <r>
    <x v="407"/>
    <s v="Zugaidosズガイドス"/>
    <x v="11"/>
    <x v="1"/>
    <x v="290"/>
    <s v="Mold Breaker"/>
    <s v="Sheer Force"/>
    <s v=""/>
    <s v=""/>
    <s v=""/>
    <s v=""/>
    <n v="1"/>
    <n v="1"/>
    <n v="1"/>
    <n v="1"/>
    <n v="1"/>
    <n v="2"/>
    <n v="0.5"/>
    <n v="0.5"/>
    <n v="1"/>
    <n v="2"/>
    <n v="2"/>
    <n v="1"/>
    <n v="0.5"/>
    <n v="0.5"/>
    <n v="1"/>
    <n v="1"/>
    <n v="2"/>
    <n v="2"/>
    <n v="125"/>
    <n v="7680"/>
    <n v="70"/>
    <n v="350"/>
    <n v="45"/>
    <n v="40"/>
    <n v="600000"/>
    <n v="0.9"/>
    <n v="67"/>
    <n v="88.1"/>
    <n v="11.900000000000006"/>
    <n v="408"/>
    <n v="30"/>
    <n v="30"/>
    <n v="58"/>
    <n v="31.5"/>
    <x v="3"/>
    <x v="0"/>
  </r>
  <r>
    <x v="408"/>
    <s v="Rampaldラムパルド"/>
    <x v="11"/>
    <x v="1"/>
    <x v="290"/>
    <s v="Mold Breaker"/>
    <s v="Sheer Force"/>
    <s v=""/>
    <s v=""/>
    <s v=""/>
    <s v=""/>
    <n v="1"/>
    <n v="1"/>
    <n v="1"/>
    <n v="1"/>
    <n v="1"/>
    <n v="2"/>
    <n v="0.5"/>
    <n v="0.5"/>
    <n v="1"/>
    <n v="2"/>
    <n v="2"/>
    <n v="1"/>
    <n v="0.5"/>
    <n v="0.5"/>
    <n v="1"/>
    <n v="1"/>
    <n v="2"/>
    <n v="2"/>
    <n v="165"/>
    <n v="7680"/>
    <n v="70"/>
    <n v="495"/>
    <n v="45"/>
    <n v="60"/>
    <n v="600000"/>
    <n v="1.6"/>
    <n v="97"/>
    <n v="88.1"/>
    <n v="11.900000000000006"/>
    <n v="409"/>
    <n v="65"/>
    <n v="50"/>
    <n v="58"/>
    <n v="102.5"/>
    <x v="3"/>
    <x v="0"/>
  </r>
  <r>
    <x v="409"/>
    <s v="Tatetopsタテトプス"/>
    <x v="11"/>
    <x v="11"/>
    <x v="291"/>
    <s v="Sturdy"/>
    <s v="Soundproof"/>
    <s v=""/>
    <s v=""/>
    <s v=""/>
    <s v=""/>
    <n v="0.5"/>
    <n v="1"/>
    <n v="0.5"/>
    <n v="1"/>
    <n v="0.5"/>
    <n v="4"/>
    <n v="1"/>
    <n v="0.25"/>
    <n v="1"/>
    <n v="1"/>
    <n v="4"/>
    <n v="0.5"/>
    <n v="0.25"/>
    <n v="0"/>
    <n v="0.5"/>
    <n v="0.5"/>
    <n v="1"/>
    <n v="2"/>
    <n v="42"/>
    <n v="7680"/>
    <n v="70"/>
    <n v="350"/>
    <n v="45"/>
    <n v="118"/>
    <n v="600000"/>
    <n v="0.5"/>
    <n v="30"/>
    <n v="88.1"/>
    <n v="11.900000000000006"/>
    <n v="410"/>
    <n v="42"/>
    <n v="88"/>
    <n v="30"/>
    <n v="57"/>
    <x v="3"/>
    <x v="0"/>
  </r>
  <r>
    <x v="410"/>
    <s v="Toridepsトリデプス"/>
    <x v="11"/>
    <x v="11"/>
    <x v="291"/>
    <s v="Sturdy"/>
    <s v="Soundproof"/>
    <s v=""/>
    <s v=""/>
    <s v=""/>
    <s v=""/>
    <n v="0.5"/>
    <n v="1"/>
    <n v="0.5"/>
    <n v="1"/>
    <n v="0.5"/>
    <n v="4"/>
    <n v="1"/>
    <n v="0.25"/>
    <n v="1"/>
    <n v="1"/>
    <n v="4"/>
    <n v="0.5"/>
    <n v="0.25"/>
    <n v="0"/>
    <n v="0.5"/>
    <n v="0.5"/>
    <n v="1"/>
    <n v="2"/>
    <n v="52"/>
    <n v="7680"/>
    <n v="70"/>
    <n v="495"/>
    <n v="45"/>
    <n v="168"/>
    <n v="600000"/>
    <n v="1.3"/>
    <n v="60"/>
    <n v="88.1"/>
    <n v="11.900000000000006"/>
    <n v="411"/>
    <n v="47"/>
    <n v="138"/>
    <n v="30"/>
    <n v="149.5"/>
    <x v="3"/>
    <x v="0"/>
  </r>
  <r>
    <x v="411"/>
    <s v="Minomucchiミノムッチ"/>
    <x v="3"/>
    <x v="1"/>
    <x v="131"/>
    <s v="Shed Skin"/>
    <s v="Overcoat"/>
    <s v=""/>
    <s v=""/>
    <s v=""/>
    <s v=""/>
    <n v="1"/>
    <n v="1"/>
    <n v="1"/>
    <n v="1"/>
    <n v="1"/>
    <n v="0.5"/>
    <n v="2"/>
    <n v="2"/>
    <n v="1"/>
    <n v="0.5"/>
    <n v="0.5"/>
    <n v="1"/>
    <n v="1"/>
    <n v="1"/>
    <n v="1"/>
    <n v="2"/>
    <n v="1"/>
    <n v="1"/>
    <n v="29"/>
    <n v="3840"/>
    <n v="70"/>
    <n v="224"/>
    <n v="120"/>
    <n v="45"/>
    <n v="1000000"/>
    <n v="0.2"/>
    <n v="40"/>
    <n v="50"/>
    <n v="50"/>
    <n v="412"/>
    <n v="29"/>
    <n v="45"/>
    <n v="36"/>
    <n v="3.4"/>
    <x v="3"/>
    <x v="0"/>
  </r>
  <r>
    <x v="412"/>
    <s v="Minomadam (kusaki No Mino)ミノマダム"/>
    <x v="3"/>
    <x v="8"/>
    <x v="131"/>
    <s v="Anticipation"/>
    <s v="Overcoat"/>
    <s v=""/>
    <s v=""/>
    <s v=""/>
    <s v=""/>
    <n v="2"/>
    <n v="1"/>
    <n v="1"/>
    <n v="0.5"/>
    <n v="1"/>
    <n v="0.5"/>
    <n v="4"/>
    <n v="4"/>
    <n v="1"/>
    <n v="0.25"/>
    <n v="0.25"/>
    <n v="2"/>
    <n v="1"/>
    <n v="2"/>
    <n v="1"/>
    <n v="2"/>
    <n v="1"/>
    <n v="0.5"/>
    <n v="69"/>
    <n v="3840"/>
    <n v="70"/>
    <n v="424"/>
    <n v="45"/>
    <n v="95"/>
    <n v="1000000"/>
    <n v="0.5"/>
    <n v="60"/>
    <n v="0"/>
    <n v="100"/>
    <n v="413"/>
    <n v="69"/>
    <n v="95"/>
    <n v="36"/>
    <n v="6.5"/>
    <x v="3"/>
    <x v="0"/>
  </r>
  <r>
    <x v="413"/>
    <s v="Gamaleガーメイル"/>
    <x v="3"/>
    <x v="2"/>
    <x v="292"/>
    <s v="Swarm"/>
    <s v="Tinted Lens"/>
    <s v=""/>
    <s v=""/>
    <s v=""/>
    <s v=""/>
    <n v="0.5"/>
    <n v="1"/>
    <n v="1"/>
    <n v="2"/>
    <n v="1"/>
    <n v="0.25"/>
    <n v="2"/>
    <n v="2"/>
    <n v="1"/>
    <n v="0.25"/>
    <n v="0"/>
    <n v="2"/>
    <n v="1"/>
    <n v="1"/>
    <n v="1"/>
    <n v="4"/>
    <n v="1"/>
    <n v="1"/>
    <n v="94"/>
    <n v="3840"/>
    <n v="70"/>
    <n v="424"/>
    <n v="45"/>
    <n v="50"/>
    <n v="1000000"/>
    <n v="0.9"/>
    <n v="70"/>
    <n v="100"/>
    <n v="0"/>
    <n v="414"/>
    <n v="94"/>
    <n v="50"/>
    <n v="66"/>
    <n v="23.3"/>
    <x v="3"/>
    <x v="0"/>
  </r>
  <r>
    <x v="414"/>
    <s v="Mitsuhoneyミツハニー"/>
    <x v="3"/>
    <x v="2"/>
    <x v="293"/>
    <s v="Honey Gather"/>
    <s v="Hustle"/>
    <s v=""/>
    <s v=""/>
    <s v=""/>
    <s v=""/>
    <n v="0.5"/>
    <n v="1"/>
    <n v="1"/>
    <n v="2"/>
    <n v="1"/>
    <n v="0.25"/>
    <n v="2"/>
    <n v="2"/>
    <n v="1"/>
    <n v="0.25"/>
    <n v="0"/>
    <n v="2"/>
    <n v="1"/>
    <n v="1"/>
    <n v="1"/>
    <n v="4"/>
    <n v="1"/>
    <n v="1"/>
    <n v="30"/>
    <n v="3840"/>
    <n v="70"/>
    <n v="244"/>
    <n v="120"/>
    <n v="42"/>
    <n v="1059860"/>
    <n v="0.3"/>
    <n v="30"/>
    <n v="88.1"/>
    <n v="11.900000000000006"/>
    <n v="415"/>
    <n v="30"/>
    <n v="42"/>
    <n v="70"/>
    <n v="5.5"/>
    <x v="3"/>
    <x v="0"/>
  </r>
  <r>
    <x v="415"/>
    <s v="Beequenビークイン"/>
    <x v="3"/>
    <x v="2"/>
    <x v="294"/>
    <s v="Pressure"/>
    <s v="Unnerve"/>
    <s v=""/>
    <s v=""/>
    <s v=""/>
    <s v=""/>
    <n v="0.5"/>
    <n v="1"/>
    <n v="1"/>
    <n v="2"/>
    <n v="1"/>
    <n v="0.25"/>
    <n v="2"/>
    <n v="2"/>
    <n v="1"/>
    <n v="0.25"/>
    <n v="0"/>
    <n v="2"/>
    <n v="1"/>
    <n v="1"/>
    <n v="1"/>
    <n v="4"/>
    <n v="1"/>
    <n v="1"/>
    <n v="80"/>
    <n v="3840"/>
    <n v="70"/>
    <n v="474"/>
    <n v="45"/>
    <n v="102"/>
    <n v="1059860"/>
    <n v="1.2"/>
    <n v="70"/>
    <n v="0"/>
    <n v="100"/>
    <n v="416"/>
    <n v="80"/>
    <n v="102"/>
    <n v="40"/>
    <n v="38.5"/>
    <x v="3"/>
    <x v="0"/>
  </r>
  <r>
    <x v="416"/>
    <s v="Pachirisuパチリス"/>
    <x v="6"/>
    <x v="1"/>
    <x v="295"/>
    <s v="Run Away"/>
    <s v="Pickup"/>
    <s v="Volt Absorb"/>
    <s v=""/>
    <s v=""/>
    <s v=""/>
    <n v="1"/>
    <n v="1"/>
    <n v="1"/>
    <n v="0.5"/>
    <n v="1"/>
    <n v="1"/>
    <n v="1"/>
    <n v="0.5"/>
    <n v="1"/>
    <n v="1"/>
    <n v="2"/>
    <n v="1"/>
    <n v="1"/>
    <n v="1"/>
    <n v="1"/>
    <n v="1"/>
    <n v="0.5"/>
    <n v="1"/>
    <n v="45"/>
    <n v="2560"/>
    <n v="100"/>
    <n v="405"/>
    <n v="200"/>
    <n v="70"/>
    <n v="1000000"/>
    <n v="0.4"/>
    <n v="60"/>
    <n v="50"/>
    <n v="50"/>
    <n v="417"/>
    <n v="45"/>
    <n v="90"/>
    <n v="95"/>
    <n v="3.9"/>
    <x v="3"/>
    <x v="0"/>
  </r>
  <r>
    <x v="417"/>
    <s v="Buoyselブイゼル"/>
    <x v="2"/>
    <x v="1"/>
    <x v="296"/>
    <s v="Swift Swim"/>
    <s v="Water Veil"/>
    <s v=""/>
    <s v=""/>
    <s v=""/>
    <s v=""/>
    <n v="1"/>
    <n v="1"/>
    <n v="1"/>
    <n v="2"/>
    <n v="1"/>
    <n v="1"/>
    <n v="0.5"/>
    <n v="1"/>
    <n v="1"/>
    <n v="2"/>
    <n v="1"/>
    <n v="0.5"/>
    <n v="1"/>
    <n v="1"/>
    <n v="1"/>
    <n v="1"/>
    <n v="0.5"/>
    <n v="0.5"/>
    <n v="65"/>
    <n v="5120"/>
    <n v="70"/>
    <n v="330"/>
    <n v="190"/>
    <n v="35"/>
    <n v="1000000"/>
    <n v="0.7"/>
    <n v="55"/>
    <n v="50"/>
    <n v="50"/>
    <n v="418"/>
    <n v="60"/>
    <n v="30"/>
    <n v="85"/>
    <n v="29.5"/>
    <x v="3"/>
    <x v="0"/>
  </r>
  <r>
    <x v="418"/>
    <s v="Floazelフローゼル"/>
    <x v="2"/>
    <x v="1"/>
    <x v="296"/>
    <s v="Swift Swim"/>
    <s v="Water Veil"/>
    <s v=""/>
    <s v=""/>
    <s v=""/>
    <s v=""/>
    <n v="1"/>
    <n v="1"/>
    <n v="1"/>
    <n v="2"/>
    <n v="1"/>
    <n v="1"/>
    <n v="0.5"/>
    <n v="1"/>
    <n v="1"/>
    <n v="2"/>
    <n v="1"/>
    <n v="0.5"/>
    <n v="1"/>
    <n v="1"/>
    <n v="1"/>
    <n v="1"/>
    <n v="0.5"/>
    <n v="0.5"/>
    <n v="105"/>
    <n v="5120"/>
    <n v="70"/>
    <n v="495"/>
    <n v="75"/>
    <n v="55"/>
    <n v="1000000"/>
    <n v="1.1000000000000001"/>
    <n v="85"/>
    <n v="50"/>
    <n v="50"/>
    <n v="419"/>
    <n v="85"/>
    <n v="50"/>
    <n v="115"/>
    <n v="33.5"/>
    <x v="3"/>
    <x v="0"/>
  </r>
  <r>
    <x v="419"/>
    <s v="Cherinboチェリンボ"/>
    <x v="0"/>
    <x v="1"/>
    <x v="297"/>
    <s v="Chlorophyll"/>
    <s v=""/>
    <s v=""/>
    <s v=""/>
    <s v=""/>
    <s v=""/>
    <n v="2"/>
    <n v="1"/>
    <n v="1"/>
    <n v="0.5"/>
    <n v="1"/>
    <n v="1"/>
    <n v="2"/>
    <n v="2"/>
    <n v="1"/>
    <n v="0.5"/>
    <n v="0.5"/>
    <n v="2"/>
    <n v="1"/>
    <n v="2"/>
    <n v="1"/>
    <n v="1"/>
    <n v="1"/>
    <n v="0.5"/>
    <n v="35"/>
    <n v="5120"/>
    <n v="70"/>
    <n v="275"/>
    <n v="190"/>
    <n v="45"/>
    <n v="1000000"/>
    <n v="0.4"/>
    <n v="45"/>
    <n v="50"/>
    <n v="50"/>
    <n v="420"/>
    <n v="62"/>
    <n v="53"/>
    <n v="35"/>
    <n v="3.3"/>
    <x v="3"/>
    <x v="0"/>
  </r>
  <r>
    <x v="420"/>
    <s v="Cherrimチェリム"/>
    <x v="0"/>
    <x v="1"/>
    <x v="298"/>
    <s v="Flower Gift"/>
    <s v=""/>
    <s v=""/>
    <s v=""/>
    <s v=""/>
    <s v=""/>
    <n v="2"/>
    <n v="1"/>
    <n v="1"/>
    <n v="0.5"/>
    <n v="1"/>
    <n v="1"/>
    <n v="2"/>
    <n v="2"/>
    <n v="1"/>
    <n v="0.5"/>
    <n v="0.5"/>
    <n v="2"/>
    <n v="1"/>
    <n v="2"/>
    <n v="1"/>
    <n v="1"/>
    <n v="1"/>
    <n v="0.5"/>
    <n v="60"/>
    <n v="5120"/>
    <n v="70"/>
    <n v="450"/>
    <n v="75"/>
    <n v="70"/>
    <n v="1000000"/>
    <n v="0.5"/>
    <n v="70"/>
    <n v="50"/>
    <n v="50"/>
    <n v="421"/>
    <n v="87"/>
    <n v="78"/>
    <n v="85"/>
    <n v="9.3000000000000007"/>
    <x v="3"/>
    <x v="0"/>
  </r>
  <r>
    <x v="421"/>
    <s v="Karanakushiカラナクシ"/>
    <x v="2"/>
    <x v="1"/>
    <x v="299"/>
    <s v="Sticky Hold"/>
    <s v="Storm Drain"/>
    <s v="Sand Force"/>
    <s v=""/>
    <s v=""/>
    <s v=""/>
    <n v="1"/>
    <n v="1"/>
    <n v="1"/>
    <n v="2"/>
    <n v="1"/>
    <n v="1"/>
    <n v="0.5"/>
    <n v="1"/>
    <n v="1"/>
    <n v="2"/>
    <n v="1"/>
    <n v="0.5"/>
    <n v="1"/>
    <n v="1"/>
    <n v="1"/>
    <n v="1"/>
    <n v="0.5"/>
    <n v="0.5"/>
    <n v="48"/>
    <n v="5120"/>
    <n v="70"/>
    <n v="325"/>
    <n v="190"/>
    <n v="48"/>
    <n v="1000000"/>
    <n v="0.3"/>
    <n v="76"/>
    <n v="50"/>
    <n v="50"/>
    <n v="422"/>
    <n v="57"/>
    <n v="62"/>
    <n v="34"/>
    <n v="6.3"/>
    <x v="3"/>
    <x v="0"/>
  </r>
  <r>
    <x v="422"/>
    <s v="Tritodonトリトドン"/>
    <x v="2"/>
    <x v="6"/>
    <x v="299"/>
    <s v="Sticky Hold"/>
    <s v="Storm Drain"/>
    <s v="Sand Force"/>
    <s v=""/>
    <s v=""/>
    <s v=""/>
    <n v="1"/>
    <n v="1"/>
    <n v="1"/>
    <n v="0"/>
    <n v="1"/>
    <n v="1"/>
    <n v="0.5"/>
    <n v="1"/>
    <n v="1"/>
    <n v="4"/>
    <n v="1"/>
    <n v="1"/>
    <n v="1"/>
    <n v="0.5"/>
    <n v="1"/>
    <n v="0.5"/>
    <n v="0.5"/>
    <n v="1"/>
    <n v="83"/>
    <n v="5120"/>
    <n v="70"/>
    <n v="475"/>
    <n v="75"/>
    <n v="68"/>
    <n v="1000000"/>
    <n v="0.9"/>
    <n v="111"/>
    <n v="50"/>
    <n v="50"/>
    <n v="423"/>
    <n v="92"/>
    <n v="82"/>
    <n v="39"/>
    <n v="29.9"/>
    <x v="3"/>
    <x v="0"/>
  </r>
  <r>
    <x v="423"/>
    <s v="Etebothエテボース"/>
    <x v="4"/>
    <x v="1"/>
    <x v="120"/>
    <s v="Technician"/>
    <s v="Pickup"/>
    <s v="Skill Link"/>
    <s v=""/>
    <s v=""/>
    <s v=""/>
    <n v="1"/>
    <n v="1"/>
    <n v="1"/>
    <n v="1"/>
    <n v="1"/>
    <n v="2"/>
    <n v="1"/>
    <n v="1"/>
    <n v="0"/>
    <n v="1"/>
    <n v="1"/>
    <n v="1"/>
    <n v="1"/>
    <n v="1"/>
    <n v="1"/>
    <n v="1"/>
    <n v="1"/>
    <n v="1"/>
    <n v="100"/>
    <n v="5120"/>
    <n v="100"/>
    <n v="482"/>
    <n v="45"/>
    <n v="66"/>
    <n v="800000"/>
    <n v="1.2"/>
    <n v="75"/>
    <n v="50"/>
    <n v="50"/>
    <n v="424"/>
    <n v="60"/>
    <n v="66"/>
    <n v="115"/>
    <n v="20.3"/>
    <x v="3"/>
    <x v="0"/>
  </r>
  <r>
    <x v="424"/>
    <s v="Fuwanteフワンテ"/>
    <x v="12"/>
    <x v="2"/>
    <x v="21"/>
    <s v="Aftermath"/>
    <s v="Unburden"/>
    <s v="Flare Boost"/>
    <s v=""/>
    <s v=""/>
    <s v=""/>
    <n v="0.25"/>
    <n v="2"/>
    <n v="1"/>
    <n v="2"/>
    <n v="1"/>
    <n v="0"/>
    <n v="1"/>
    <n v="1"/>
    <n v="2"/>
    <n v="0.5"/>
    <n v="0"/>
    <n v="2"/>
    <n v="0"/>
    <n v="0.5"/>
    <n v="1"/>
    <n v="2"/>
    <n v="1"/>
    <n v="1"/>
    <n v="50"/>
    <n v="7680"/>
    <n v="70"/>
    <n v="348"/>
    <n v="125"/>
    <n v="34"/>
    <n v="1640000"/>
    <n v="0.4"/>
    <n v="90"/>
    <n v="50"/>
    <n v="50"/>
    <n v="425"/>
    <n v="60"/>
    <n v="44"/>
    <n v="70"/>
    <n v="1.2"/>
    <x v="3"/>
    <x v="0"/>
  </r>
  <r>
    <x v="425"/>
    <s v="Fuwarideフワライド"/>
    <x v="12"/>
    <x v="2"/>
    <x v="300"/>
    <s v="Aftermath"/>
    <s v="Unburden"/>
    <s v="Flare Boost"/>
    <s v=""/>
    <s v=""/>
    <s v=""/>
    <n v="0.25"/>
    <n v="2"/>
    <n v="1"/>
    <n v="2"/>
    <n v="1"/>
    <n v="0"/>
    <n v="1"/>
    <n v="1"/>
    <n v="2"/>
    <n v="0.5"/>
    <n v="0"/>
    <n v="2"/>
    <n v="0"/>
    <n v="0.5"/>
    <n v="1"/>
    <n v="2"/>
    <n v="1"/>
    <n v="1"/>
    <n v="80"/>
    <n v="7680"/>
    <n v="70"/>
    <n v="498"/>
    <n v="60"/>
    <n v="44"/>
    <n v="1640000"/>
    <n v="1.2"/>
    <n v="150"/>
    <n v="50"/>
    <n v="50"/>
    <n v="426"/>
    <n v="90"/>
    <n v="54"/>
    <n v="80"/>
    <n v="15"/>
    <x v="3"/>
    <x v="0"/>
  </r>
  <r>
    <x v="426"/>
    <s v="Mimirolミミロル"/>
    <x v="4"/>
    <x v="1"/>
    <x v="301"/>
    <s v="Run Away"/>
    <s v="Klutz"/>
    <s v="Limber"/>
    <s v=""/>
    <s v=""/>
    <s v=""/>
    <n v="1"/>
    <n v="1"/>
    <n v="1"/>
    <n v="1"/>
    <n v="1"/>
    <n v="2"/>
    <n v="1"/>
    <n v="1"/>
    <n v="0"/>
    <n v="1"/>
    <n v="1"/>
    <n v="1"/>
    <n v="1"/>
    <n v="1"/>
    <n v="1"/>
    <n v="1"/>
    <n v="1"/>
    <n v="1"/>
    <n v="66"/>
    <n v="5120"/>
    <n v="0"/>
    <n v="350"/>
    <n v="190"/>
    <n v="44"/>
    <n v="1000000"/>
    <n v="0.4"/>
    <n v="55"/>
    <n v="50"/>
    <n v="50"/>
    <n v="427"/>
    <n v="44"/>
    <n v="56"/>
    <n v="85"/>
    <n v="5.5"/>
    <x v="3"/>
    <x v="0"/>
  </r>
  <r>
    <x v="427"/>
    <s v="Mimilopミミロップ"/>
    <x v="4"/>
    <x v="1"/>
    <x v="301"/>
    <s v="Cute Charm"/>
    <s v="Klutz"/>
    <s v="Limber"/>
    <s v=""/>
    <s v=""/>
    <s v=""/>
    <n v="1"/>
    <n v="1"/>
    <n v="1"/>
    <n v="1"/>
    <n v="1"/>
    <n v="2"/>
    <n v="1"/>
    <n v="1"/>
    <n v="0"/>
    <n v="1"/>
    <n v="1"/>
    <n v="1"/>
    <n v="1"/>
    <n v="1"/>
    <n v="1"/>
    <n v="1"/>
    <n v="1"/>
    <n v="1"/>
    <n v="136"/>
    <n v="5120"/>
    <n v="140"/>
    <n v="580"/>
    <n v="60"/>
    <n v="94"/>
    <n v="1000000"/>
    <n v="1.2"/>
    <n v="65"/>
    <n v="50"/>
    <n v="50"/>
    <n v="428"/>
    <n v="54"/>
    <n v="96"/>
    <n v="135"/>
    <n v="33.299999999999997"/>
    <x v="3"/>
    <x v="0"/>
  </r>
  <r>
    <x v="428"/>
    <s v="Mumargiムウマージ"/>
    <x v="12"/>
    <x v="1"/>
    <x v="302"/>
    <s v="Levitate"/>
    <s v=""/>
    <s v=""/>
    <s v=""/>
    <s v=""/>
    <s v=""/>
    <n v="0.5"/>
    <n v="2"/>
    <n v="1"/>
    <n v="1"/>
    <n v="1"/>
    <n v="0"/>
    <n v="1"/>
    <n v="1"/>
    <n v="2"/>
    <n v="1"/>
    <n v="1"/>
    <n v="1"/>
    <n v="0"/>
    <n v="0.5"/>
    <n v="1"/>
    <n v="1"/>
    <n v="1"/>
    <n v="1"/>
    <n v="60"/>
    <n v="6400"/>
    <n v="35"/>
    <n v="495"/>
    <n v="45"/>
    <n v="60"/>
    <n v="800000"/>
    <n v="0.9"/>
    <n v="60"/>
    <n v="50"/>
    <n v="50"/>
    <n v="429"/>
    <n v="105"/>
    <n v="105"/>
    <n v="105"/>
    <n v="4.4000000000000004"/>
    <x v="3"/>
    <x v="0"/>
  </r>
  <r>
    <x v="429"/>
    <s v="Dongkarasuドンカラス"/>
    <x v="15"/>
    <x v="2"/>
    <x v="303"/>
    <s v="Insomnia"/>
    <s v="Super Luck"/>
    <s v="Moxie"/>
    <s v=""/>
    <s v=""/>
    <s v=""/>
    <n v="1"/>
    <n v="0.5"/>
    <n v="1"/>
    <n v="2"/>
    <n v="2"/>
    <n v="1"/>
    <n v="1"/>
    <n v="1"/>
    <n v="0.5"/>
    <n v="0.5"/>
    <n v="0"/>
    <n v="2"/>
    <n v="1"/>
    <n v="1"/>
    <n v="0"/>
    <n v="2"/>
    <n v="1"/>
    <n v="1"/>
    <n v="125"/>
    <n v="5120"/>
    <n v="35"/>
    <n v="505"/>
    <n v="30"/>
    <n v="52"/>
    <n v="1059860"/>
    <n v="0.9"/>
    <n v="100"/>
    <n v="50"/>
    <n v="50"/>
    <n v="430"/>
    <n v="105"/>
    <n v="52"/>
    <n v="71"/>
    <n v="27.3"/>
    <x v="3"/>
    <x v="0"/>
  </r>
  <r>
    <x v="430"/>
    <s v="Nyarmarニャルマー"/>
    <x v="4"/>
    <x v="1"/>
    <x v="304"/>
    <s v="Limber"/>
    <s v="Own Tempo"/>
    <s v="Keen Eye"/>
    <s v=""/>
    <s v=""/>
    <s v=""/>
    <n v="1"/>
    <n v="1"/>
    <n v="1"/>
    <n v="1"/>
    <n v="1"/>
    <n v="2"/>
    <n v="1"/>
    <n v="1"/>
    <n v="0"/>
    <n v="1"/>
    <n v="1"/>
    <n v="1"/>
    <n v="1"/>
    <n v="1"/>
    <n v="1"/>
    <n v="1"/>
    <n v="1"/>
    <n v="1"/>
    <n v="55"/>
    <n v="5120"/>
    <n v="70"/>
    <n v="310"/>
    <n v="190"/>
    <n v="42"/>
    <n v="800000"/>
    <n v="0.5"/>
    <n v="49"/>
    <n v="24.6"/>
    <n v="75.400000000000006"/>
    <n v="431"/>
    <n v="42"/>
    <n v="37"/>
    <n v="85"/>
    <n v="3.9"/>
    <x v="3"/>
    <x v="0"/>
  </r>
  <r>
    <x v="431"/>
    <s v="Bunyattoブニャット"/>
    <x v="4"/>
    <x v="1"/>
    <x v="305"/>
    <s v="Thick Fat"/>
    <s v="Own Tempo"/>
    <s v="Defiant"/>
    <s v=""/>
    <s v=""/>
    <s v=""/>
    <n v="1"/>
    <n v="1"/>
    <n v="1"/>
    <n v="1"/>
    <n v="1"/>
    <n v="2"/>
    <n v="1"/>
    <n v="1"/>
    <n v="0"/>
    <n v="1"/>
    <n v="1"/>
    <n v="1"/>
    <n v="1"/>
    <n v="1"/>
    <n v="1"/>
    <n v="1"/>
    <n v="1"/>
    <n v="1"/>
    <n v="82"/>
    <n v="5120"/>
    <n v="70"/>
    <n v="452"/>
    <n v="75"/>
    <n v="64"/>
    <n v="800000"/>
    <n v="1"/>
    <n v="71"/>
    <n v="24.6"/>
    <n v="75.400000000000006"/>
    <n v="432"/>
    <n v="64"/>
    <n v="59"/>
    <n v="112"/>
    <n v="43.8"/>
    <x v="3"/>
    <x v="0"/>
  </r>
  <r>
    <x v="432"/>
    <s v="Lisyanリーシャン"/>
    <x v="10"/>
    <x v="1"/>
    <x v="306"/>
    <s v="Levitate"/>
    <s v=""/>
    <s v=""/>
    <s v=""/>
    <s v=""/>
    <s v=""/>
    <n v="2"/>
    <n v="2"/>
    <n v="1"/>
    <n v="1"/>
    <n v="1"/>
    <n v="0.5"/>
    <n v="1"/>
    <n v="1"/>
    <n v="2"/>
    <n v="1"/>
    <n v="1"/>
    <n v="1"/>
    <n v="1"/>
    <n v="1"/>
    <n v="0.5"/>
    <n v="1"/>
    <n v="1"/>
    <n v="1"/>
    <n v="30"/>
    <n v="6400"/>
    <n v="70"/>
    <n v="285"/>
    <n v="120"/>
    <n v="50"/>
    <n v="800000"/>
    <n v="0.2"/>
    <n v="45"/>
    <n v="50"/>
    <n v="50"/>
    <n v="433"/>
    <n v="65"/>
    <n v="50"/>
    <n v="45"/>
    <n v="0.6"/>
    <x v="3"/>
    <x v="0"/>
  </r>
  <r>
    <x v="433"/>
    <s v="Skunpuuスカンプー"/>
    <x v="5"/>
    <x v="3"/>
    <x v="307"/>
    <s v="Stench"/>
    <s v="Aftermath"/>
    <s v="Keen Eye"/>
    <s v=""/>
    <s v=""/>
    <s v=""/>
    <n v="1"/>
    <n v="0.5"/>
    <n v="1"/>
    <n v="1"/>
    <n v="1"/>
    <n v="1"/>
    <n v="1"/>
    <n v="1"/>
    <n v="0.5"/>
    <n v="0.5"/>
    <n v="2"/>
    <n v="1"/>
    <n v="1"/>
    <n v="0.5"/>
    <n v="0"/>
    <n v="1"/>
    <n v="1"/>
    <n v="1"/>
    <n v="63"/>
    <n v="5120"/>
    <n v="70"/>
    <n v="329"/>
    <n v="225"/>
    <n v="47"/>
    <n v="1000000"/>
    <n v="0.4"/>
    <n v="63"/>
    <n v="50"/>
    <n v="50"/>
    <n v="434"/>
    <n v="41"/>
    <n v="41"/>
    <n v="74"/>
    <n v="19.2"/>
    <x v="3"/>
    <x v="0"/>
  </r>
  <r>
    <x v="434"/>
    <s v="Skutankスカタンク"/>
    <x v="5"/>
    <x v="3"/>
    <x v="307"/>
    <s v="Stench"/>
    <s v="Aftermath"/>
    <s v="Keen Eye"/>
    <s v=""/>
    <s v=""/>
    <s v=""/>
    <n v="1"/>
    <n v="0.5"/>
    <n v="1"/>
    <n v="1"/>
    <n v="1"/>
    <n v="1"/>
    <n v="1"/>
    <n v="1"/>
    <n v="0.5"/>
    <n v="0.5"/>
    <n v="2"/>
    <n v="1"/>
    <n v="1"/>
    <n v="0.5"/>
    <n v="0"/>
    <n v="1"/>
    <n v="1"/>
    <n v="1"/>
    <n v="93"/>
    <n v="5120"/>
    <n v="70"/>
    <n v="479"/>
    <n v="60"/>
    <n v="67"/>
    <n v="1000000"/>
    <n v="1"/>
    <n v="103"/>
    <n v="50"/>
    <n v="50"/>
    <n v="435"/>
    <n v="71"/>
    <n v="61"/>
    <n v="84"/>
    <n v="38"/>
    <x v="3"/>
    <x v="0"/>
  </r>
  <r>
    <x v="435"/>
    <s v="Dohmirrorドーミラー"/>
    <x v="16"/>
    <x v="10"/>
    <x v="308"/>
    <s v="Levitate"/>
    <s v="Heatproof"/>
    <s v="Heavy Metal"/>
    <s v=""/>
    <s v=""/>
    <s v=""/>
    <n v="1"/>
    <n v="2"/>
    <n v="0.5"/>
    <n v="1"/>
    <n v="0.5"/>
    <n v="1"/>
    <n v="2"/>
    <n v="0.5"/>
    <n v="2"/>
    <n v="0.5"/>
    <n v="2"/>
    <n v="0.5"/>
    <n v="0.5"/>
    <n v="0"/>
    <n v="0.25"/>
    <n v="0.5"/>
    <n v="0.5"/>
    <n v="1"/>
    <n v="24"/>
    <n v="5120"/>
    <n v="70"/>
    <n v="300"/>
    <n v="255"/>
    <n v="86"/>
    <n v="1000000"/>
    <n v="0.5"/>
    <n v="57"/>
    <s v=""/>
    <s v=""/>
    <n v="436"/>
    <n v="24"/>
    <n v="86"/>
    <n v="23"/>
    <n v="60.5"/>
    <x v="3"/>
    <x v="0"/>
  </r>
  <r>
    <x v="436"/>
    <s v="Dohtakunドータクン"/>
    <x v="16"/>
    <x v="10"/>
    <x v="309"/>
    <s v="Levitate"/>
    <s v="Heatproof"/>
    <s v="Heavy Metal"/>
    <s v=""/>
    <s v=""/>
    <s v=""/>
    <n v="1"/>
    <n v="2"/>
    <n v="0.5"/>
    <n v="1"/>
    <n v="0.5"/>
    <n v="1"/>
    <n v="2"/>
    <n v="0.5"/>
    <n v="2"/>
    <n v="0.5"/>
    <n v="2"/>
    <n v="0.5"/>
    <n v="0.5"/>
    <n v="0"/>
    <n v="0.25"/>
    <n v="0.5"/>
    <n v="0.5"/>
    <n v="1"/>
    <n v="89"/>
    <n v="5120"/>
    <n v="70"/>
    <n v="500"/>
    <n v="90"/>
    <n v="116"/>
    <n v="1000000"/>
    <n v="1.3"/>
    <n v="67"/>
    <s v=""/>
    <s v=""/>
    <n v="437"/>
    <n v="79"/>
    <n v="116"/>
    <n v="33"/>
    <n v="187"/>
    <x v="3"/>
    <x v="0"/>
  </r>
  <r>
    <x v="437"/>
    <s v="Usohachiウソハチ"/>
    <x v="11"/>
    <x v="1"/>
    <x v="310"/>
    <s v="Sturdy"/>
    <s v="Rock Head"/>
    <s v="Rattled"/>
    <s v=""/>
    <s v=""/>
    <s v=""/>
    <n v="1"/>
    <n v="1"/>
    <n v="1"/>
    <n v="1"/>
    <n v="1"/>
    <n v="2"/>
    <n v="0.5"/>
    <n v="0.5"/>
    <n v="1"/>
    <n v="2"/>
    <n v="2"/>
    <n v="1"/>
    <n v="0.5"/>
    <n v="0.5"/>
    <n v="1"/>
    <n v="1"/>
    <n v="2"/>
    <n v="2"/>
    <n v="80"/>
    <n v="5120"/>
    <n v="70"/>
    <n v="290"/>
    <n v="255"/>
    <n v="95"/>
    <n v="1000000"/>
    <n v="0.5"/>
    <n v="50"/>
    <n v="50"/>
    <n v="50"/>
    <n v="438"/>
    <n v="10"/>
    <n v="45"/>
    <n v="10"/>
    <n v="15"/>
    <x v="3"/>
    <x v="0"/>
  </r>
  <r>
    <x v="438"/>
    <s v="Maneneマネネ"/>
    <x v="10"/>
    <x v="7"/>
    <x v="311"/>
    <s v="Soundproof"/>
    <s v="Filter"/>
    <s v="Technician"/>
    <s v=""/>
    <s v=""/>
    <s v=""/>
    <n v="1"/>
    <n v="1"/>
    <n v="0"/>
    <n v="1"/>
    <n v="1"/>
    <n v="0.25"/>
    <n v="1"/>
    <n v="1"/>
    <n v="2"/>
    <n v="1"/>
    <n v="1"/>
    <n v="1"/>
    <n v="1"/>
    <n v="2"/>
    <n v="0.5"/>
    <n v="1"/>
    <n v="2"/>
    <n v="1"/>
    <n v="25"/>
    <n v="6400"/>
    <n v="70"/>
    <n v="310"/>
    <n v="145"/>
    <n v="45"/>
    <n v="1000000"/>
    <n v="0.6"/>
    <n v="20"/>
    <n v="50"/>
    <n v="50"/>
    <n v="439"/>
    <n v="70"/>
    <n v="90"/>
    <n v="60"/>
    <n v="13"/>
    <x v="3"/>
    <x v="0"/>
  </r>
  <r>
    <x v="439"/>
    <s v="Pinpukuピンプク"/>
    <x v="4"/>
    <x v="1"/>
    <x v="312"/>
    <s v="Natural Cure"/>
    <s v="Serene Grace"/>
    <s v="Friend Guard"/>
    <s v=""/>
    <s v=""/>
    <s v=""/>
    <n v="1"/>
    <n v="1"/>
    <n v="1"/>
    <n v="1"/>
    <n v="1"/>
    <n v="2"/>
    <n v="1"/>
    <n v="1"/>
    <n v="0"/>
    <n v="1"/>
    <n v="1"/>
    <n v="1"/>
    <n v="1"/>
    <n v="1"/>
    <n v="1"/>
    <n v="1"/>
    <n v="1"/>
    <n v="1"/>
    <n v="5"/>
    <n v="10240"/>
    <n v="140"/>
    <n v="220"/>
    <n v="130"/>
    <n v="5"/>
    <n v="800000"/>
    <n v="0.6"/>
    <n v="100"/>
    <n v="0"/>
    <n v="100"/>
    <n v="440"/>
    <n v="15"/>
    <n v="65"/>
    <n v="30"/>
    <n v="24.4"/>
    <x v="3"/>
    <x v="0"/>
  </r>
  <r>
    <x v="440"/>
    <s v="Perapペラップ"/>
    <x v="4"/>
    <x v="2"/>
    <x v="313"/>
    <s v="Keen Eye"/>
    <s v="Tangled Feet"/>
    <s v="Big Pecks"/>
    <s v=""/>
    <s v=""/>
    <s v=""/>
    <n v="0.5"/>
    <n v="1"/>
    <n v="1"/>
    <n v="2"/>
    <n v="1"/>
    <n v="1"/>
    <n v="1"/>
    <n v="1"/>
    <n v="0"/>
    <n v="0.5"/>
    <n v="0"/>
    <n v="2"/>
    <n v="1"/>
    <n v="1"/>
    <n v="1"/>
    <n v="2"/>
    <n v="1"/>
    <n v="1"/>
    <n v="65"/>
    <n v="5120"/>
    <n v="35"/>
    <n v="411"/>
    <n v="30"/>
    <n v="45"/>
    <n v="1059860"/>
    <n v="0.5"/>
    <n v="76"/>
    <n v="50"/>
    <n v="50"/>
    <n v="441"/>
    <n v="92"/>
    <n v="42"/>
    <n v="91"/>
    <n v="1.9"/>
    <x v="3"/>
    <x v="0"/>
  </r>
  <r>
    <x v="441"/>
    <s v="Mikarugeミカルゲ"/>
    <x v="12"/>
    <x v="3"/>
    <x v="314"/>
    <s v="Pressure"/>
    <s v="Infiltrator"/>
    <s v=""/>
    <s v=""/>
    <s v=""/>
    <s v=""/>
    <n v="1"/>
    <n v="1"/>
    <n v="1"/>
    <n v="1"/>
    <n v="2"/>
    <n v="0"/>
    <n v="1"/>
    <n v="1"/>
    <n v="1"/>
    <n v="1"/>
    <n v="1"/>
    <n v="1"/>
    <n v="0"/>
    <n v="0.5"/>
    <n v="0"/>
    <n v="1"/>
    <n v="1"/>
    <n v="1"/>
    <n v="92"/>
    <n v="7680"/>
    <n v="70"/>
    <n v="485"/>
    <n v="100"/>
    <n v="108"/>
    <n v="1000000"/>
    <n v="1"/>
    <n v="50"/>
    <n v="50"/>
    <n v="50"/>
    <n v="442"/>
    <n v="92"/>
    <n v="108"/>
    <n v="35"/>
    <n v="108"/>
    <x v="3"/>
    <x v="0"/>
  </r>
  <r>
    <x v="442"/>
    <s v="Fukamaruフカマル"/>
    <x v="14"/>
    <x v="6"/>
    <x v="315"/>
    <s v="Sand Veil"/>
    <s v="Rough Skin"/>
    <s v=""/>
    <s v=""/>
    <s v=""/>
    <s v=""/>
    <n v="1"/>
    <n v="1"/>
    <n v="2"/>
    <n v="0"/>
    <n v="2"/>
    <n v="1"/>
    <n v="0.5"/>
    <n v="1"/>
    <n v="1"/>
    <n v="1"/>
    <n v="1"/>
    <n v="4"/>
    <n v="1"/>
    <n v="0.5"/>
    <n v="1"/>
    <n v="0.5"/>
    <n v="1"/>
    <n v="1"/>
    <n v="70"/>
    <n v="10240"/>
    <n v="70"/>
    <n v="300"/>
    <n v="45"/>
    <n v="45"/>
    <n v="1250000"/>
    <n v="0.7"/>
    <n v="58"/>
    <n v="50"/>
    <n v="50"/>
    <n v="443"/>
    <n v="40"/>
    <n v="45"/>
    <n v="42"/>
    <n v="20.5"/>
    <x v="3"/>
    <x v="0"/>
  </r>
  <r>
    <x v="443"/>
    <s v="Gabiteガバイト"/>
    <x v="14"/>
    <x v="6"/>
    <x v="316"/>
    <s v="Sand Veil"/>
    <s v="Rough Skin"/>
    <s v=""/>
    <s v=""/>
    <s v=""/>
    <s v=""/>
    <n v="1"/>
    <n v="1"/>
    <n v="2"/>
    <n v="0"/>
    <n v="2"/>
    <n v="1"/>
    <n v="0.5"/>
    <n v="1"/>
    <n v="1"/>
    <n v="1"/>
    <n v="1"/>
    <n v="4"/>
    <n v="1"/>
    <n v="0.5"/>
    <n v="1"/>
    <n v="0.5"/>
    <n v="1"/>
    <n v="1"/>
    <n v="90"/>
    <n v="10240"/>
    <n v="70"/>
    <n v="410"/>
    <n v="45"/>
    <n v="65"/>
    <n v="1250000"/>
    <n v="1.4"/>
    <n v="68"/>
    <n v="50"/>
    <n v="50"/>
    <n v="444"/>
    <n v="50"/>
    <n v="55"/>
    <n v="82"/>
    <n v="56"/>
    <x v="3"/>
    <x v="0"/>
  </r>
  <r>
    <x v="444"/>
    <s v="Gaburiasガブリアス"/>
    <x v="14"/>
    <x v="6"/>
    <x v="317"/>
    <s v="Sand Veil"/>
    <s v="Rough Skin"/>
    <s v=""/>
    <s v=""/>
    <s v=""/>
    <s v=""/>
    <n v="1"/>
    <n v="1"/>
    <n v="2"/>
    <n v="0"/>
    <n v="2"/>
    <n v="1"/>
    <n v="0.5"/>
    <n v="1"/>
    <n v="1"/>
    <n v="1"/>
    <n v="1"/>
    <n v="4"/>
    <n v="1"/>
    <n v="0.5"/>
    <n v="1"/>
    <n v="0.5"/>
    <n v="1"/>
    <n v="1"/>
    <n v="170"/>
    <n v="10240"/>
    <n v="70"/>
    <n v="700"/>
    <n v="45"/>
    <n v="115"/>
    <n v="1250000"/>
    <n v="1.9"/>
    <n v="108"/>
    <n v="50"/>
    <n v="50"/>
    <n v="445"/>
    <n v="120"/>
    <n v="95"/>
    <n v="92"/>
    <n v="95"/>
    <x v="3"/>
    <x v="0"/>
  </r>
  <r>
    <x v="445"/>
    <s v="Gonbeゴンベ"/>
    <x v="4"/>
    <x v="1"/>
    <x v="318"/>
    <s v="Pickup"/>
    <s v="Thick Fat"/>
    <s v="Gluttony"/>
    <s v=""/>
    <s v=""/>
    <s v=""/>
    <n v="1"/>
    <n v="1"/>
    <n v="1"/>
    <n v="1"/>
    <n v="1"/>
    <n v="2"/>
    <n v="1"/>
    <n v="1"/>
    <n v="0"/>
    <n v="1"/>
    <n v="1"/>
    <n v="1"/>
    <n v="1"/>
    <n v="1"/>
    <n v="1"/>
    <n v="1"/>
    <n v="1"/>
    <n v="1"/>
    <n v="85"/>
    <n v="10240"/>
    <n v="70"/>
    <n v="390"/>
    <n v="50"/>
    <n v="40"/>
    <n v="1250000"/>
    <n v="0.6"/>
    <n v="135"/>
    <n v="88.1"/>
    <n v="11.900000000000006"/>
    <n v="446"/>
    <n v="40"/>
    <n v="85"/>
    <n v="5"/>
    <n v="105"/>
    <x v="3"/>
    <x v="0"/>
  </r>
  <r>
    <x v="446"/>
    <s v="Rioluリオル"/>
    <x v="9"/>
    <x v="1"/>
    <x v="319"/>
    <s v="Steadfast"/>
    <s v="Inner Focus"/>
    <s v="Prankster"/>
    <s v=""/>
    <s v=""/>
    <s v=""/>
    <n v="0.5"/>
    <n v="0.5"/>
    <n v="1"/>
    <n v="1"/>
    <n v="2"/>
    <n v="1"/>
    <n v="1"/>
    <n v="2"/>
    <n v="1"/>
    <n v="1"/>
    <n v="1"/>
    <n v="1"/>
    <n v="1"/>
    <n v="1"/>
    <n v="2"/>
    <n v="0.5"/>
    <n v="1"/>
    <n v="1"/>
    <n v="70"/>
    <n v="6400"/>
    <n v="70"/>
    <n v="285"/>
    <n v="75"/>
    <n v="40"/>
    <n v="1059860"/>
    <n v="0.7"/>
    <n v="40"/>
    <n v="88.1"/>
    <n v="11.900000000000006"/>
    <n v="447"/>
    <n v="35"/>
    <n v="40"/>
    <n v="60"/>
    <n v="20.2"/>
    <x v="3"/>
    <x v="0"/>
  </r>
  <r>
    <x v="447"/>
    <s v="Lucarioルカリオ"/>
    <x v="9"/>
    <x v="11"/>
    <x v="320"/>
    <s v="Steadfast"/>
    <s v="Inner Focus"/>
    <s v="Justified"/>
    <s v=""/>
    <s v=""/>
    <s v=""/>
    <n v="0.25"/>
    <n v="0.5"/>
    <n v="0.5"/>
    <n v="1"/>
    <n v="1"/>
    <n v="2"/>
    <n v="2"/>
    <n v="1"/>
    <n v="1"/>
    <n v="0.5"/>
    <n v="2"/>
    <n v="0.5"/>
    <n v="0.5"/>
    <n v="0"/>
    <n v="1"/>
    <n v="0.25"/>
    <n v="0.5"/>
    <n v="1"/>
    <n v="145"/>
    <n v="6400"/>
    <n v="70"/>
    <n v="625"/>
    <n v="45"/>
    <n v="88"/>
    <n v="1059860"/>
    <n v="1.2"/>
    <n v="70"/>
    <n v="88.1"/>
    <n v="11.900000000000006"/>
    <n v="448"/>
    <n v="140"/>
    <n v="70"/>
    <n v="112"/>
    <n v="54"/>
    <x v="3"/>
    <x v="0"/>
  </r>
  <r>
    <x v="448"/>
    <s v="Hippopotasヒポポタス"/>
    <x v="7"/>
    <x v="1"/>
    <x v="321"/>
    <s v="Sand Stream"/>
    <s v="Sand Force"/>
    <s v=""/>
    <s v=""/>
    <s v=""/>
    <s v=""/>
    <n v="1"/>
    <n v="1"/>
    <n v="1"/>
    <n v="0"/>
    <n v="1"/>
    <n v="1"/>
    <n v="1"/>
    <n v="1"/>
    <n v="1"/>
    <n v="2"/>
    <n v="1"/>
    <n v="2"/>
    <n v="1"/>
    <n v="0.5"/>
    <n v="1"/>
    <n v="0.5"/>
    <n v="1"/>
    <n v="2"/>
    <n v="72"/>
    <n v="7680"/>
    <n v="70"/>
    <n v="330"/>
    <n v="140"/>
    <n v="78"/>
    <n v="1250000"/>
    <n v="0.8"/>
    <n v="68"/>
    <n v="50"/>
    <n v="50"/>
    <n v="449"/>
    <n v="38"/>
    <n v="42"/>
    <n v="32"/>
    <n v="49.5"/>
    <x v="3"/>
    <x v="0"/>
  </r>
  <r>
    <x v="449"/>
    <s v="Kabaldonカバルドン"/>
    <x v="7"/>
    <x v="1"/>
    <x v="322"/>
    <s v="Sand Stream"/>
    <s v="Sand Force"/>
    <s v=""/>
    <s v=""/>
    <s v=""/>
    <s v=""/>
    <n v="1"/>
    <n v="1"/>
    <n v="1"/>
    <n v="0"/>
    <n v="1"/>
    <n v="1"/>
    <n v="1"/>
    <n v="1"/>
    <n v="1"/>
    <n v="2"/>
    <n v="1"/>
    <n v="2"/>
    <n v="1"/>
    <n v="0.5"/>
    <n v="1"/>
    <n v="0.5"/>
    <n v="1"/>
    <n v="2"/>
    <n v="112"/>
    <n v="7680"/>
    <n v="70"/>
    <n v="525"/>
    <n v="60"/>
    <n v="118"/>
    <n v="1250000"/>
    <n v="2"/>
    <n v="108"/>
    <n v="50"/>
    <n v="50"/>
    <n v="450"/>
    <n v="68"/>
    <n v="72"/>
    <n v="47"/>
    <n v="300"/>
    <x v="3"/>
    <x v="0"/>
  </r>
  <r>
    <x v="450"/>
    <s v="Scorupiスコルピ"/>
    <x v="5"/>
    <x v="17"/>
    <x v="323"/>
    <s v="Battle Armor"/>
    <s v="Sniper"/>
    <s v="Keen Eye"/>
    <s v=""/>
    <s v=""/>
    <s v=""/>
    <n v="0.5"/>
    <n v="1"/>
    <n v="1"/>
    <n v="1"/>
    <n v="0.5"/>
    <n v="0.25"/>
    <n v="2"/>
    <n v="2"/>
    <n v="1"/>
    <n v="0.25"/>
    <n v="1"/>
    <n v="1"/>
    <n v="1"/>
    <n v="0.5"/>
    <n v="2"/>
    <n v="2"/>
    <n v="1"/>
    <n v="1"/>
    <n v="50"/>
    <n v="5120"/>
    <n v="70"/>
    <n v="330"/>
    <n v="120"/>
    <n v="90"/>
    <n v="1250000"/>
    <n v="0.8"/>
    <n v="40"/>
    <n v="50"/>
    <n v="50"/>
    <n v="451"/>
    <n v="30"/>
    <n v="55"/>
    <n v="65"/>
    <n v="12"/>
    <x v="3"/>
    <x v="0"/>
  </r>
  <r>
    <x v="451"/>
    <s v="Dorapionドラピオン"/>
    <x v="5"/>
    <x v="3"/>
    <x v="324"/>
    <s v="Battle Armor"/>
    <s v="Sniper"/>
    <s v="Keen Eye"/>
    <s v=""/>
    <s v=""/>
    <s v=""/>
    <n v="1"/>
    <n v="0.5"/>
    <n v="1"/>
    <n v="1"/>
    <n v="1"/>
    <n v="1"/>
    <n v="1"/>
    <n v="1"/>
    <n v="0.5"/>
    <n v="0.5"/>
    <n v="2"/>
    <n v="1"/>
    <n v="1"/>
    <n v="0.5"/>
    <n v="0"/>
    <n v="1"/>
    <n v="1"/>
    <n v="1"/>
    <n v="90"/>
    <n v="5120"/>
    <n v="70"/>
    <n v="500"/>
    <n v="45"/>
    <n v="110"/>
    <n v="1250000"/>
    <n v="1.3"/>
    <n v="70"/>
    <n v="50"/>
    <n v="50"/>
    <n v="452"/>
    <n v="60"/>
    <n v="75"/>
    <n v="95"/>
    <n v="61.5"/>
    <x v="3"/>
    <x v="0"/>
  </r>
  <r>
    <x v="452"/>
    <s v="Gureggruグレッグル"/>
    <x v="5"/>
    <x v="9"/>
    <x v="325"/>
    <s v="Anticipation"/>
    <s v="Dry Skin"/>
    <s v="Poison Touch"/>
    <s v=""/>
    <s v=""/>
    <s v=""/>
    <n v="0.25"/>
    <n v="0.5"/>
    <n v="1"/>
    <n v="1"/>
    <n v="1"/>
    <n v="0.5"/>
    <n v="1"/>
    <n v="2"/>
    <n v="1"/>
    <n v="0.5"/>
    <n v="2"/>
    <n v="1"/>
    <n v="1"/>
    <n v="0.5"/>
    <n v="4"/>
    <n v="0.5"/>
    <n v="1"/>
    <n v="1"/>
    <n v="61"/>
    <n v="2560"/>
    <n v="100"/>
    <n v="300"/>
    <n v="140"/>
    <n v="40"/>
    <n v="1000000"/>
    <n v="0.7"/>
    <n v="48"/>
    <n v="50"/>
    <n v="50"/>
    <n v="453"/>
    <n v="61"/>
    <n v="40"/>
    <n v="50"/>
    <n v="23"/>
    <x v="3"/>
    <x v="0"/>
  </r>
  <r>
    <x v="453"/>
    <s v="Dokurogドクロッグ"/>
    <x v="5"/>
    <x v="9"/>
    <x v="325"/>
    <s v="Anticipation"/>
    <s v="Dry Skin"/>
    <s v="Poison Touch"/>
    <s v=""/>
    <s v=""/>
    <s v=""/>
    <n v="0.25"/>
    <n v="0.5"/>
    <n v="1"/>
    <n v="1"/>
    <n v="1"/>
    <n v="0.5"/>
    <n v="1"/>
    <n v="2"/>
    <n v="1"/>
    <n v="0.5"/>
    <n v="2"/>
    <n v="1"/>
    <n v="1"/>
    <n v="0.5"/>
    <n v="4"/>
    <n v="0.5"/>
    <n v="1"/>
    <n v="1"/>
    <n v="106"/>
    <n v="5120"/>
    <n v="70"/>
    <n v="490"/>
    <n v="75"/>
    <n v="65"/>
    <n v="1000000"/>
    <n v="1.3"/>
    <n v="83"/>
    <n v="50"/>
    <n v="50"/>
    <n v="454"/>
    <n v="86"/>
    <n v="65"/>
    <n v="85"/>
    <n v="44.4"/>
    <x v="3"/>
    <x v="0"/>
  </r>
  <r>
    <x v="454"/>
    <s v="Muskippaマスキッパ"/>
    <x v="0"/>
    <x v="1"/>
    <x v="326"/>
    <s v="Levitate"/>
    <s v=""/>
    <s v=""/>
    <s v=""/>
    <s v=""/>
    <s v=""/>
    <n v="2"/>
    <n v="1"/>
    <n v="1"/>
    <n v="0.5"/>
    <n v="1"/>
    <n v="1"/>
    <n v="2"/>
    <n v="2"/>
    <n v="1"/>
    <n v="0.5"/>
    <n v="0.5"/>
    <n v="2"/>
    <n v="1"/>
    <n v="2"/>
    <n v="1"/>
    <n v="1"/>
    <n v="1"/>
    <n v="0.5"/>
    <n v="100"/>
    <n v="6400"/>
    <n v="70"/>
    <n v="454"/>
    <n v="200"/>
    <n v="72"/>
    <n v="1250000"/>
    <n v="1.4"/>
    <n v="74"/>
    <n v="50"/>
    <n v="50"/>
    <n v="455"/>
    <n v="90"/>
    <n v="72"/>
    <n v="46"/>
    <n v="27"/>
    <x v="3"/>
    <x v="0"/>
  </r>
  <r>
    <x v="455"/>
    <s v="Keikouoケイコウオ"/>
    <x v="2"/>
    <x v="1"/>
    <x v="327"/>
    <s v="Swift Swim"/>
    <s v="Storm Drain"/>
    <s v="Water Veil"/>
    <s v=""/>
    <s v=""/>
    <s v=""/>
    <n v="1"/>
    <n v="1"/>
    <n v="1"/>
    <n v="2"/>
    <n v="1"/>
    <n v="1"/>
    <n v="0.5"/>
    <n v="1"/>
    <n v="1"/>
    <n v="2"/>
    <n v="1"/>
    <n v="0.5"/>
    <n v="1"/>
    <n v="1"/>
    <n v="1"/>
    <n v="1"/>
    <n v="0.5"/>
    <n v="0.5"/>
    <n v="49"/>
    <n v="5120"/>
    <n v="70"/>
    <n v="330"/>
    <n v="190"/>
    <n v="56"/>
    <n v="600000"/>
    <n v="0.4"/>
    <n v="49"/>
    <n v="50"/>
    <n v="50"/>
    <n v="456"/>
    <n v="49"/>
    <n v="61"/>
    <n v="66"/>
    <n v="7"/>
    <x v="3"/>
    <x v="0"/>
  </r>
  <r>
    <x v="456"/>
    <s v="Neolantネオラント"/>
    <x v="2"/>
    <x v="1"/>
    <x v="328"/>
    <s v="Swift Swim"/>
    <s v="Storm Drain"/>
    <s v="Water Veil"/>
    <s v=""/>
    <s v=""/>
    <s v=""/>
    <n v="1"/>
    <n v="1"/>
    <n v="1"/>
    <n v="2"/>
    <n v="1"/>
    <n v="1"/>
    <n v="0.5"/>
    <n v="1"/>
    <n v="1"/>
    <n v="2"/>
    <n v="1"/>
    <n v="0.5"/>
    <n v="1"/>
    <n v="1"/>
    <n v="1"/>
    <n v="1"/>
    <n v="0.5"/>
    <n v="0.5"/>
    <n v="69"/>
    <n v="5120"/>
    <n v="70"/>
    <n v="460"/>
    <n v="75"/>
    <n v="76"/>
    <n v="600000"/>
    <n v="1.2"/>
    <n v="69"/>
    <n v="50"/>
    <n v="50"/>
    <n v="457"/>
    <n v="69"/>
    <n v="86"/>
    <n v="91"/>
    <n v="24"/>
    <x v="3"/>
    <x v="0"/>
  </r>
  <r>
    <x v="457"/>
    <s v="Tamantaタマンタ"/>
    <x v="2"/>
    <x v="2"/>
    <x v="146"/>
    <s v="Swift Swim"/>
    <s v="Water Absorb"/>
    <s v="Water Veil"/>
    <s v=""/>
    <s v=""/>
    <s v=""/>
    <n v="0.5"/>
    <n v="1"/>
    <n v="1"/>
    <n v="4"/>
    <n v="1"/>
    <n v="0.5"/>
    <n v="0.5"/>
    <n v="1"/>
    <n v="1"/>
    <n v="1"/>
    <n v="0"/>
    <n v="1"/>
    <n v="1"/>
    <n v="1"/>
    <n v="1"/>
    <n v="2"/>
    <n v="0.5"/>
    <n v="0.5"/>
    <n v="20"/>
    <n v="6400"/>
    <n v="70"/>
    <n v="345"/>
    <n v="25"/>
    <n v="50"/>
    <n v="1250000"/>
    <n v="1"/>
    <n v="45"/>
    <n v="50"/>
    <n v="50"/>
    <n v="458"/>
    <n v="60"/>
    <n v="120"/>
    <n v="50"/>
    <n v="65"/>
    <x v="3"/>
    <x v="0"/>
  </r>
  <r>
    <x v="458"/>
    <s v="Yukikaburiユキカブリ"/>
    <x v="0"/>
    <x v="5"/>
    <x v="329"/>
    <s v="Snow Warning"/>
    <s v="Soundproof"/>
    <s v=""/>
    <s v=""/>
    <s v=""/>
    <s v=""/>
    <n v="2"/>
    <n v="1"/>
    <n v="1"/>
    <n v="0.5"/>
    <n v="1"/>
    <n v="2"/>
    <n v="4"/>
    <n v="2"/>
    <n v="1"/>
    <n v="0.5"/>
    <n v="0.5"/>
    <n v="1"/>
    <n v="1"/>
    <n v="2"/>
    <n v="1"/>
    <n v="2"/>
    <n v="2"/>
    <n v="0.5"/>
    <n v="62"/>
    <n v="5120"/>
    <n v="70"/>
    <n v="334"/>
    <n v="120"/>
    <n v="50"/>
    <n v="1250000"/>
    <n v="1"/>
    <n v="60"/>
    <n v="50"/>
    <n v="50"/>
    <n v="459"/>
    <n v="62"/>
    <n v="60"/>
    <n v="40"/>
    <n v="50.5"/>
    <x v="3"/>
    <x v="0"/>
  </r>
  <r>
    <x v="459"/>
    <s v="Yukinoohユキノオー"/>
    <x v="0"/>
    <x v="5"/>
    <x v="329"/>
    <s v="Snow Warning"/>
    <s v="Soundproof"/>
    <s v=""/>
    <s v=""/>
    <s v=""/>
    <s v=""/>
    <n v="2"/>
    <n v="1"/>
    <n v="1"/>
    <n v="0.5"/>
    <n v="1"/>
    <n v="2"/>
    <n v="4"/>
    <n v="2"/>
    <n v="1"/>
    <n v="0.5"/>
    <n v="0.5"/>
    <n v="1"/>
    <n v="1"/>
    <n v="2"/>
    <n v="1"/>
    <n v="2"/>
    <n v="2"/>
    <n v="0.5"/>
    <n v="132"/>
    <n v="5120"/>
    <n v="70"/>
    <n v="594"/>
    <n v="60"/>
    <n v="105"/>
    <n v="1250000"/>
    <n v="2.2000000000000002"/>
    <n v="90"/>
    <n v="50"/>
    <n v="50"/>
    <n v="460"/>
    <n v="132"/>
    <n v="105"/>
    <n v="30"/>
    <n v="135.5"/>
    <x v="3"/>
    <x v="0"/>
  </r>
  <r>
    <x v="460"/>
    <s v="Manyulaマニューラ"/>
    <x v="15"/>
    <x v="5"/>
    <x v="137"/>
    <s v="Pressure"/>
    <s v="Pickpocket"/>
    <s v=""/>
    <s v=""/>
    <s v=""/>
    <s v=""/>
    <n v="2"/>
    <n v="0.5"/>
    <n v="1"/>
    <n v="1"/>
    <n v="2"/>
    <n v="4"/>
    <n v="2"/>
    <n v="1"/>
    <n v="0.5"/>
    <n v="1"/>
    <n v="1"/>
    <n v="0.5"/>
    <n v="1"/>
    <n v="1"/>
    <n v="0"/>
    <n v="2"/>
    <n v="2"/>
    <n v="1"/>
    <n v="120"/>
    <n v="5120"/>
    <n v="35"/>
    <n v="510"/>
    <n v="45"/>
    <n v="65"/>
    <n v="1059860"/>
    <n v="1.1000000000000001"/>
    <n v="70"/>
    <n v="50"/>
    <n v="50"/>
    <n v="461"/>
    <n v="45"/>
    <n v="85"/>
    <n v="125"/>
    <n v="34"/>
    <x v="3"/>
    <x v="0"/>
  </r>
  <r>
    <x v="461"/>
    <s v="Jibacoilジバコイル"/>
    <x v="6"/>
    <x v="11"/>
    <x v="330"/>
    <s v="Magnet Pull"/>
    <s v="Sturdy"/>
    <s v="Analytic"/>
    <s v=""/>
    <s v=""/>
    <s v=""/>
    <n v="0.5"/>
    <n v="1"/>
    <n v="0.5"/>
    <n v="0.5"/>
    <n v="0.5"/>
    <n v="2"/>
    <n v="2"/>
    <n v="0.25"/>
    <n v="1"/>
    <n v="0.5"/>
    <n v="4"/>
    <n v="0.5"/>
    <n v="0.5"/>
    <n v="0"/>
    <n v="0.5"/>
    <n v="0.5"/>
    <n v="0.25"/>
    <n v="1"/>
    <n v="70"/>
    <n v="5120"/>
    <n v="70"/>
    <n v="535"/>
    <n v="30"/>
    <n v="115"/>
    <n v="1000000"/>
    <n v="1.2"/>
    <n v="70"/>
    <s v=""/>
    <s v=""/>
    <n v="462"/>
    <n v="130"/>
    <n v="90"/>
    <n v="60"/>
    <n v="180"/>
    <x v="3"/>
    <x v="0"/>
  </r>
  <r>
    <x v="462"/>
    <s v="Berobeltベロベルト"/>
    <x v="4"/>
    <x v="1"/>
    <x v="65"/>
    <s v="Own Tempo"/>
    <s v="Oblivious"/>
    <s v="Cloud Nine"/>
    <s v=""/>
    <s v=""/>
    <s v=""/>
    <n v="1"/>
    <n v="1"/>
    <n v="1"/>
    <n v="1"/>
    <n v="1"/>
    <n v="2"/>
    <n v="1"/>
    <n v="1"/>
    <n v="0"/>
    <n v="1"/>
    <n v="1"/>
    <n v="1"/>
    <n v="1"/>
    <n v="1"/>
    <n v="1"/>
    <n v="1"/>
    <n v="1"/>
    <n v="1"/>
    <n v="85"/>
    <n v="5120"/>
    <n v="70"/>
    <n v="515"/>
    <n v="30"/>
    <n v="95"/>
    <n v="1000000"/>
    <n v="1.7"/>
    <n v="110"/>
    <n v="50"/>
    <n v="50"/>
    <n v="463"/>
    <n v="80"/>
    <n v="95"/>
    <n v="50"/>
    <n v="140"/>
    <x v="3"/>
    <x v="0"/>
  </r>
  <r>
    <x v="463"/>
    <s v="Dosidonドサイドン"/>
    <x v="7"/>
    <x v="13"/>
    <x v="18"/>
    <s v="Lightningrod"/>
    <s v="Solid Rock"/>
    <s v="Reckless"/>
    <s v=""/>
    <s v=""/>
    <s v=""/>
    <n v="1"/>
    <n v="1"/>
    <n v="1"/>
    <n v="0"/>
    <n v="1"/>
    <n v="2"/>
    <n v="0.5"/>
    <n v="0.5"/>
    <n v="1"/>
    <n v="4"/>
    <n v="2"/>
    <n v="2"/>
    <n v="0.5"/>
    <n v="0.25"/>
    <n v="1"/>
    <n v="0.5"/>
    <n v="2"/>
    <n v="4"/>
    <n v="140"/>
    <n v="5120"/>
    <n v="70"/>
    <n v="535"/>
    <n v="30"/>
    <n v="130"/>
    <n v="1250000"/>
    <n v="2.4"/>
    <n v="115"/>
    <n v="50"/>
    <n v="50"/>
    <n v="464"/>
    <n v="55"/>
    <n v="55"/>
    <n v="40"/>
    <n v="282.8"/>
    <x v="3"/>
    <x v="0"/>
  </r>
  <r>
    <x v="464"/>
    <s v="Mojumboモジャンボ"/>
    <x v="0"/>
    <x v="1"/>
    <x v="68"/>
    <s v="Chlorophyll"/>
    <s v="Leaf Guard"/>
    <s v="Regenerator"/>
    <s v=""/>
    <s v=""/>
    <s v=""/>
    <n v="2"/>
    <n v="1"/>
    <n v="1"/>
    <n v="0.5"/>
    <n v="1"/>
    <n v="1"/>
    <n v="2"/>
    <n v="2"/>
    <n v="1"/>
    <n v="0.5"/>
    <n v="0.5"/>
    <n v="2"/>
    <n v="1"/>
    <n v="2"/>
    <n v="1"/>
    <n v="1"/>
    <n v="1"/>
    <n v="0.5"/>
    <n v="100"/>
    <n v="5120"/>
    <n v="70"/>
    <n v="535"/>
    <n v="30"/>
    <n v="125"/>
    <n v="1000000"/>
    <n v="2"/>
    <n v="100"/>
    <n v="50"/>
    <n v="50"/>
    <n v="465"/>
    <n v="110"/>
    <n v="50"/>
    <n v="50"/>
    <n v="128.6"/>
    <x v="3"/>
    <x v="0"/>
  </r>
  <r>
    <x v="465"/>
    <s v="Elekibleエレキブル"/>
    <x v="6"/>
    <x v="1"/>
    <x v="331"/>
    <s v="Motor Drive"/>
    <s v="Vital Spirit"/>
    <s v=""/>
    <s v=""/>
    <s v=""/>
    <s v=""/>
    <n v="1"/>
    <n v="1"/>
    <n v="1"/>
    <n v="0.5"/>
    <n v="1"/>
    <n v="1"/>
    <n v="1"/>
    <n v="0.5"/>
    <n v="1"/>
    <n v="1"/>
    <n v="2"/>
    <n v="1"/>
    <n v="1"/>
    <n v="1"/>
    <n v="1"/>
    <n v="1"/>
    <n v="0.5"/>
    <n v="1"/>
    <n v="123"/>
    <n v="6400"/>
    <n v="70"/>
    <n v="540"/>
    <n v="30"/>
    <n v="67"/>
    <n v="1000000"/>
    <n v="1.8"/>
    <n v="75"/>
    <n v="75.400000000000006"/>
    <n v="24.599999999999994"/>
    <n v="466"/>
    <n v="95"/>
    <n v="85"/>
    <n v="95"/>
    <n v="138.6"/>
    <x v="3"/>
    <x v="0"/>
  </r>
  <r>
    <x v="466"/>
    <s v="Booburnブーバーン"/>
    <x v="1"/>
    <x v="1"/>
    <x v="332"/>
    <s v="Flame Body"/>
    <s v="Vital Spirit"/>
    <s v=""/>
    <s v=""/>
    <s v=""/>
    <s v=""/>
    <n v="0.5"/>
    <n v="1"/>
    <n v="1"/>
    <n v="1"/>
    <n v="0.5"/>
    <n v="1"/>
    <n v="0.5"/>
    <n v="1"/>
    <n v="1"/>
    <n v="0.5"/>
    <n v="2"/>
    <n v="0.5"/>
    <n v="1"/>
    <n v="1"/>
    <n v="1"/>
    <n v="2"/>
    <n v="0.5"/>
    <n v="2"/>
    <n v="95"/>
    <n v="6400"/>
    <n v="70"/>
    <n v="540"/>
    <n v="30"/>
    <n v="67"/>
    <n v="1000000"/>
    <n v="1.6"/>
    <n v="75"/>
    <n v="75.400000000000006"/>
    <n v="24.599999999999994"/>
    <n v="467"/>
    <n v="125"/>
    <n v="95"/>
    <n v="83"/>
    <n v="68"/>
    <x v="3"/>
    <x v="0"/>
  </r>
  <r>
    <x v="467"/>
    <s v="Togekissトゲキッス"/>
    <x v="8"/>
    <x v="2"/>
    <x v="333"/>
    <s v="Hustle"/>
    <s v="Serene Grace"/>
    <s v="Super Luck"/>
    <s v=""/>
    <s v=""/>
    <s v=""/>
    <n v="0.25"/>
    <n v="0.5"/>
    <n v="0"/>
    <n v="2"/>
    <n v="1"/>
    <n v="0.25"/>
    <n v="1"/>
    <n v="1"/>
    <n v="1"/>
    <n v="0.5"/>
    <n v="0"/>
    <n v="2"/>
    <n v="1"/>
    <n v="2"/>
    <n v="1"/>
    <n v="2"/>
    <n v="2"/>
    <n v="1"/>
    <n v="50"/>
    <n v="2560"/>
    <n v="70"/>
    <n v="545"/>
    <n v="30"/>
    <n v="95"/>
    <n v="800000"/>
    <n v="1.5"/>
    <n v="85"/>
    <n v="88.1"/>
    <n v="11.900000000000006"/>
    <n v="468"/>
    <n v="120"/>
    <n v="115"/>
    <n v="80"/>
    <n v="38"/>
    <x v="3"/>
    <x v="0"/>
  </r>
  <r>
    <x v="468"/>
    <s v="Megayanmaメガヤンマ"/>
    <x v="3"/>
    <x v="2"/>
    <x v="334"/>
    <s v="Speed Boost"/>
    <s v="Tinted Lens"/>
    <s v="Frisk"/>
    <s v=""/>
    <s v=""/>
    <s v=""/>
    <n v="0.5"/>
    <n v="1"/>
    <n v="1"/>
    <n v="2"/>
    <n v="1"/>
    <n v="0.25"/>
    <n v="2"/>
    <n v="2"/>
    <n v="1"/>
    <n v="0.25"/>
    <n v="0"/>
    <n v="2"/>
    <n v="1"/>
    <n v="1"/>
    <n v="1"/>
    <n v="4"/>
    <n v="1"/>
    <n v="1"/>
    <n v="76"/>
    <n v="5120"/>
    <n v="70"/>
    <n v="515"/>
    <n v="30"/>
    <n v="86"/>
    <n v="1000000"/>
    <n v="1.9"/>
    <n v="86"/>
    <n v="50"/>
    <n v="50"/>
    <n v="469"/>
    <n v="116"/>
    <n v="56"/>
    <n v="95"/>
    <n v="51.5"/>
    <x v="3"/>
    <x v="0"/>
  </r>
  <r>
    <x v="469"/>
    <s v="Leafiaリーフィア"/>
    <x v="0"/>
    <x v="1"/>
    <x v="335"/>
    <s v="Leaf Guard"/>
    <s v="Chlorophyll"/>
    <s v=""/>
    <s v=""/>
    <s v=""/>
    <s v=""/>
    <n v="2"/>
    <n v="1"/>
    <n v="1"/>
    <n v="0.5"/>
    <n v="1"/>
    <n v="1"/>
    <n v="2"/>
    <n v="2"/>
    <n v="1"/>
    <n v="0.5"/>
    <n v="0.5"/>
    <n v="2"/>
    <n v="1"/>
    <n v="2"/>
    <n v="1"/>
    <n v="1"/>
    <n v="1"/>
    <n v="0.5"/>
    <n v="110"/>
    <n v="8960"/>
    <n v="35"/>
    <n v="525"/>
    <n v="45"/>
    <n v="130"/>
    <n v="1000000"/>
    <n v="1"/>
    <n v="65"/>
    <n v="88.1"/>
    <n v="11.900000000000006"/>
    <n v="470"/>
    <n v="60"/>
    <n v="65"/>
    <n v="95"/>
    <n v="25.5"/>
    <x v="3"/>
    <x v="0"/>
  </r>
  <r>
    <x v="470"/>
    <s v="Glaciaグレイシア"/>
    <x v="13"/>
    <x v="1"/>
    <x v="336"/>
    <s v="Snow Cloak"/>
    <s v="Ice Body"/>
    <s v=""/>
    <s v=""/>
    <s v=""/>
    <s v=""/>
    <n v="1"/>
    <n v="1"/>
    <n v="1"/>
    <n v="1"/>
    <n v="1"/>
    <n v="2"/>
    <n v="2"/>
    <n v="1"/>
    <n v="1"/>
    <n v="1"/>
    <n v="1"/>
    <n v="0.5"/>
    <n v="1"/>
    <n v="1"/>
    <n v="1"/>
    <n v="2"/>
    <n v="2"/>
    <n v="1"/>
    <n v="60"/>
    <n v="8960"/>
    <n v="35"/>
    <n v="525"/>
    <n v="45"/>
    <n v="110"/>
    <n v="1000000"/>
    <n v="0.8"/>
    <n v="65"/>
    <n v="88.1"/>
    <n v="11.900000000000006"/>
    <n v="471"/>
    <n v="130"/>
    <n v="95"/>
    <n v="65"/>
    <n v="25.9"/>
    <x v="3"/>
    <x v="0"/>
  </r>
  <r>
    <x v="471"/>
    <s v="Glionグライオン"/>
    <x v="7"/>
    <x v="2"/>
    <x v="337"/>
    <s v="Hyper Cutter"/>
    <s v="Sand Veil"/>
    <s v="Poison Heal"/>
    <s v=""/>
    <s v=""/>
    <s v=""/>
    <n v="0.5"/>
    <n v="1"/>
    <n v="1"/>
    <n v="0"/>
    <n v="1"/>
    <n v="0.5"/>
    <n v="1"/>
    <n v="1"/>
    <n v="1"/>
    <n v="1"/>
    <n v="0"/>
    <n v="4"/>
    <n v="1"/>
    <n v="0.5"/>
    <n v="1"/>
    <n v="1"/>
    <n v="1"/>
    <n v="2"/>
    <n v="95"/>
    <n v="5120"/>
    <n v="70"/>
    <n v="510"/>
    <n v="30"/>
    <n v="125"/>
    <n v="1059860"/>
    <n v="2"/>
    <n v="75"/>
    <n v="50"/>
    <n v="50"/>
    <n v="472"/>
    <n v="45"/>
    <n v="75"/>
    <n v="95"/>
    <n v="42.5"/>
    <x v="3"/>
    <x v="0"/>
  </r>
  <r>
    <x v="472"/>
    <s v="Mammooマンムー"/>
    <x v="13"/>
    <x v="6"/>
    <x v="338"/>
    <s v="Oblivious"/>
    <s v="Snow Cloak"/>
    <s v="Thick Fat"/>
    <s v=""/>
    <s v=""/>
    <s v=""/>
    <n v="1"/>
    <n v="1"/>
    <n v="1"/>
    <n v="0"/>
    <n v="1"/>
    <n v="2"/>
    <n v="2"/>
    <n v="1"/>
    <n v="1"/>
    <n v="2"/>
    <n v="1"/>
    <n v="1"/>
    <n v="1"/>
    <n v="0.5"/>
    <n v="1"/>
    <n v="1"/>
    <n v="2"/>
    <n v="2"/>
    <n v="130"/>
    <n v="5120"/>
    <n v="70"/>
    <n v="530"/>
    <n v="50"/>
    <n v="80"/>
    <n v="1250000"/>
    <n v="2.5"/>
    <n v="110"/>
    <n v="50"/>
    <n v="50"/>
    <n v="473"/>
    <n v="70"/>
    <n v="60"/>
    <n v="80"/>
    <n v="291"/>
    <x v="3"/>
    <x v="0"/>
  </r>
  <r>
    <x v="473"/>
    <s v="Porygon-zポリゴンＺ"/>
    <x v="4"/>
    <x v="1"/>
    <x v="88"/>
    <s v="Adaptability"/>
    <s v="Download"/>
    <s v="Analytic"/>
    <s v=""/>
    <s v=""/>
    <s v=""/>
    <n v="1"/>
    <n v="1"/>
    <n v="1"/>
    <n v="1"/>
    <n v="1"/>
    <n v="2"/>
    <n v="1"/>
    <n v="1"/>
    <n v="0"/>
    <n v="1"/>
    <n v="1"/>
    <n v="1"/>
    <n v="1"/>
    <n v="1"/>
    <n v="1"/>
    <n v="1"/>
    <n v="1"/>
    <n v="1"/>
    <n v="80"/>
    <n v="5120"/>
    <n v="70"/>
    <n v="535"/>
    <n v="30"/>
    <n v="70"/>
    <n v="1000000"/>
    <n v="0.9"/>
    <n v="85"/>
    <s v=""/>
    <s v=""/>
    <n v="474"/>
    <n v="135"/>
    <n v="75"/>
    <n v="90"/>
    <n v="34"/>
    <x v="3"/>
    <x v="0"/>
  </r>
  <r>
    <x v="474"/>
    <s v="Erureidoエルレイド"/>
    <x v="10"/>
    <x v="9"/>
    <x v="339"/>
    <s v="Steadfast"/>
    <s v="Justified"/>
    <s v=""/>
    <s v=""/>
    <s v=""/>
    <s v=""/>
    <n v="1"/>
    <n v="1"/>
    <n v="1"/>
    <n v="1"/>
    <n v="2"/>
    <n v="0.5"/>
    <n v="1"/>
    <n v="2"/>
    <n v="2"/>
    <n v="1"/>
    <n v="1"/>
    <n v="1"/>
    <n v="1"/>
    <n v="1"/>
    <n v="1"/>
    <n v="0.5"/>
    <n v="1"/>
    <n v="1"/>
    <n v="165"/>
    <n v="5120"/>
    <n v="35"/>
    <n v="618"/>
    <n v="45"/>
    <n v="95"/>
    <n v="1250000"/>
    <n v="1.6"/>
    <n v="68"/>
    <n v="100"/>
    <n v="0"/>
    <n v="475"/>
    <n v="65"/>
    <n v="115"/>
    <n v="110"/>
    <n v="52"/>
    <x v="3"/>
    <x v="0"/>
  </r>
  <r>
    <x v="475"/>
    <s v="Dainoseダイノーズ"/>
    <x v="11"/>
    <x v="11"/>
    <x v="201"/>
    <s v="Sturdy"/>
    <s v="Magnet Pull"/>
    <s v="Sand Force"/>
    <s v=""/>
    <s v=""/>
    <s v=""/>
    <n v="0.5"/>
    <n v="1"/>
    <n v="0.5"/>
    <n v="1"/>
    <n v="0.5"/>
    <n v="4"/>
    <n v="1"/>
    <n v="0.25"/>
    <n v="1"/>
    <n v="1"/>
    <n v="4"/>
    <n v="0.5"/>
    <n v="0.25"/>
    <n v="0"/>
    <n v="0.5"/>
    <n v="0.5"/>
    <n v="1"/>
    <n v="2"/>
    <n v="55"/>
    <n v="5120"/>
    <n v="70"/>
    <n v="525"/>
    <n v="60"/>
    <n v="145"/>
    <n v="1000000"/>
    <n v="1.4"/>
    <n v="60"/>
    <n v="50"/>
    <n v="50"/>
    <n v="476"/>
    <n v="75"/>
    <n v="150"/>
    <n v="40"/>
    <n v="340"/>
    <x v="3"/>
    <x v="0"/>
  </r>
  <r>
    <x v="476"/>
    <s v="Yonoirヨノワール"/>
    <x v="12"/>
    <x v="1"/>
    <x v="340"/>
    <s v="Pressure"/>
    <s v="Frisk"/>
    <s v=""/>
    <s v=""/>
    <s v=""/>
    <s v=""/>
    <n v="0.5"/>
    <n v="2"/>
    <n v="1"/>
    <n v="1"/>
    <n v="1"/>
    <n v="0"/>
    <n v="1"/>
    <n v="1"/>
    <n v="2"/>
    <n v="1"/>
    <n v="1"/>
    <n v="1"/>
    <n v="0"/>
    <n v="0.5"/>
    <n v="1"/>
    <n v="1"/>
    <n v="1"/>
    <n v="1"/>
    <n v="100"/>
    <n v="6400"/>
    <n v="35"/>
    <n v="525"/>
    <n v="45"/>
    <n v="135"/>
    <n v="800000"/>
    <n v="2.2000000000000002"/>
    <n v="45"/>
    <n v="50"/>
    <n v="50"/>
    <n v="477"/>
    <n v="65"/>
    <n v="135"/>
    <n v="45"/>
    <n v="106.6"/>
    <x v="3"/>
    <x v="0"/>
  </r>
  <r>
    <x v="477"/>
    <s v="Yukimenokoユキメノコ"/>
    <x v="13"/>
    <x v="16"/>
    <x v="341"/>
    <s v="Snow Cloak"/>
    <s v="Cursed Body"/>
    <s v=""/>
    <s v=""/>
    <s v=""/>
    <s v=""/>
    <n v="0.5"/>
    <n v="2"/>
    <n v="1"/>
    <n v="1"/>
    <n v="1"/>
    <n v="0"/>
    <n v="2"/>
    <n v="1"/>
    <n v="2"/>
    <n v="1"/>
    <n v="1"/>
    <n v="0.5"/>
    <n v="0"/>
    <n v="0.5"/>
    <n v="1"/>
    <n v="2"/>
    <n v="2"/>
    <n v="1"/>
    <n v="80"/>
    <n v="5120"/>
    <n v="70"/>
    <n v="480"/>
    <n v="75"/>
    <n v="70"/>
    <n v="1000000"/>
    <n v="1.3"/>
    <n v="70"/>
    <n v="0"/>
    <n v="100"/>
    <n v="478"/>
    <n v="80"/>
    <n v="70"/>
    <n v="110"/>
    <n v="26.6"/>
    <x v="3"/>
    <x v="0"/>
  </r>
  <r>
    <x v="478"/>
    <s v="Rotomロトム"/>
    <x v="6"/>
    <x v="16"/>
    <x v="342"/>
    <s v="Levitate"/>
    <s v=""/>
    <s v=""/>
    <s v=""/>
    <s v=""/>
    <s v=""/>
    <n v="0.5"/>
    <n v="2"/>
    <n v="1"/>
    <n v="0.5"/>
    <n v="1"/>
    <n v="0"/>
    <n v="1"/>
    <n v="0.5"/>
    <n v="2"/>
    <n v="1"/>
    <n v="2"/>
    <n v="1"/>
    <n v="0"/>
    <n v="0.5"/>
    <n v="1"/>
    <n v="1"/>
    <n v="0.5"/>
    <n v="1"/>
    <n v="65"/>
    <n v="5120"/>
    <n v="70"/>
    <n v="520"/>
    <n v="45"/>
    <n v="107"/>
    <n v="1000000"/>
    <n v="0.3"/>
    <n v="50"/>
    <s v=""/>
    <s v=""/>
    <n v="479"/>
    <n v="105"/>
    <n v="107"/>
    <n v="86"/>
    <n v="0.3"/>
    <x v="3"/>
    <x v="0"/>
  </r>
  <r>
    <x v="479"/>
    <s v="Yuxieユクシー"/>
    <x v="10"/>
    <x v="1"/>
    <x v="343"/>
    <s v="Levitate"/>
    <s v=""/>
    <s v=""/>
    <s v=""/>
    <s v=""/>
    <s v=""/>
    <n v="2"/>
    <n v="2"/>
    <n v="1"/>
    <n v="1"/>
    <n v="1"/>
    <n v="0.5"/>
    <n v="1"/>
    <n v="1"/>
    <n v="2"/>
    <n v="1"/>
    <n v="1"/>
    <n v="1"/>
    <n v="1"/>
    <n v="1"/>
    <n v="0.5"/>
    <n v="1"/>
    <n v="1"/>
    <n v="1"/>
    <n v="75"/>
    <n v="20480"/>
    <n v="140"/>
    <n v="580"/>
    <n v="3"/>
    <n v="130"/>
    <n v="1250000"/>
    <n v="0.3"/>
    <n v="75"/>
    <s v=""/>
    <s v=""/>
    <n v="480"/>
    <n v="75"/>
    <n v="130"/>
    <n v="95"/>
    <n v="0.3"/>
    <x v="3"/>
    <x v="1"/>
  </r>
  <r>
    <x v="480"/>
    <s v="Emritエムリット"/>
    <x v="10"/>
    <x v="1"/>
    <x v="185"/>
    <s v="Levitate"/>
    <s v=""/>
    <s v=""/>
    <s v=""/>
    <s v=""/>
    <s v=""/>
    <n v="2"/>
    <n v="2"/>
    <n v="1"/>
    <n v="1"/>
    <n v="1"/>
    <n v="0.5"/>
    <n v="1"/>
    <n v="1"/>
    <n v="2"/>
    <n v="1"/>
    <n v="1"/>
    <n v="1"/>
    <n v="1"/>
    <n v="1"/>
    <n v="0.5"/>
    <n v="1"/>
    <n v="1"/>
    <n v="1"/>
    <n v="105"/>
    <n v="20480"/>
    <n v="140"/>
    <n v="580"/>
    <n v="3"/>
    <n v="105"/>
    <n v="1250000"/>
    <n v="0.3"/>
    <n v="80"/>
    <s v=""/>
    <s v=""/>
    <n v="481"/>
    <n v="105"/>
    <n v="105"/>
    <n v="80"/>
    <n v="0.3"/>
    <x v="3"/>
    <x v="1"/>
  </r>
  <r>
    <x v="481"/>
    <s v="Agnomeアグノム"/>
    <x v="10"/>
    <x v="1"/>
    <x v="344"/>
    <s v="Levitate"/>
    <s v=""/>
    <s v=""/>
    <s v=""/>
    <s v=""/>
    <s v=""/>
    <n v="2"/>
    <n v="2"/>
    <n v="1"/>
    <n v="1"/>
    <n v="1"/>
    <n v="0.5"/>
    <n v="1"/>
    <n v="1"/>
    <n v="2"/>
    <n v="1"/>
    <n v="1"/>
    <n v="1"/>
    <n v="1"/>
    <n v="1"/>
    <n v="0.5"/>
    <n v="1"/>
    <n v="1"/>
    <n v="1"/>
    <n v="125"/>
    <n v="20480"/>
    <n v="140"/>
    <n v="580"/>
    <n v="3"/>
    <n v="70"/>
    <n v="1250000"/>
    <n v="0.3"/>
    <n v="75"/>
    <s v=""/>
    <s v=""/>
    <n v="482"/>
    <n v="125"/>
    <n v="70"/>
    <n v="115"/>
    <n v="0.3"/>
    <x v="3"/>
    <x v="1"/>
  </r>
  <r>
    <x v="482"/>
    <s v="Dialgaディアルガ"/>
    <x v="16"/>
    <x v="15"/>
    <x v="345"/>
    <s v="Pressure"/>
    <s v="Telepathy"/>
    <s v=""/>
    <s v=""/>
    <s v=""/>
    <s v=""/>
    <n v="0.5"/>
    <n v="1"/>
    <n v="1"/>
    <n v="0.5"/>
    <n v="1"/>
    <n v="2"/>
    <n v="1"/>
    <n v="0.5"/>
    <n v="1"/>
    <n v="0.25"/>
    <n v="2"/>
    <n v="1"/>
    <n v="0.5"/>
    <n v="0"/>
    <n v="0.5"/>
    <n v="0.5"/>
    <n v="0.5"/>
    <n v="0.5"/>
    <n v="120"/>
    <n v="30720"/>
    <n v="0"/>
    <n v="680"/>
    <n v="3"/>
    <n v="120"/>
    <n v="1250000"/>
    <n v="5.4"/>
    <n v="100"/>
    <s v=""/>
    <s v=""/>
    <n v="483"/>
    <n v="150"/>
    <n v="100"/>
    <n v="90"/>
    <n v="683"/>
    <x v="3"/>
    <x v="1"/>
  </r>
  <r>
    <x v="483"/>
    <s v="Palkiaパルキア"/>
    <x v="2"/>
    <x v="15"/>
    <x v="346"/>
    <s v="Pressure"/>
    <s v="Telepathy"/>
    <s v=""/>
    <s v=""/>
    <s v=""/>
    <s v=""/>
    <n v="1"/>
    <n v="1"/>
    <n v="2"/>
    <n v="1"/>
    <n v="2"/>
    <n v="1"/>
    <n v="0.25"/>
    <n v="1"/>
    <n v="1"/>
    <n v="1"/>
    <n v="1"/>
    <n v="1"/>
    <n v="1"/>
    <n v="1"/>
    <n v="1"/>
    <n v="1"/>
    <n v="0.5"/>
    <n v="0.25"/>
    <n v="120"/>
    <n v="30720"/>
    <n v="0"/>
    <n v="680"/>
    <n v="3"/>
    <n v="100"/>
    <n v="1250000"/>
    <n v="4.2"/>
    <n v="90"/>
    <s v=""/>
    <s v=""/>
    <n v="484"/>
    <n v="150"/>
    <n v="120"/>
    <n v="100"/>
    <n v="336"/>
    <x v="3"/>
    <x v="1"/>
  </r>
  <r>
    <x v="484"/>
    <s v="Heatranヒードラン"/>
    <x v="1"/>
    <x v="11"/>
    <x v="347"/>
    <s v="Flash Fire"/>
    <s v="Flame Body"/>
    <s v=""/>
    <s v=""/>
    <s v=""/>
    <s v=""/>
    <n v="0.25"/>
    <n v="1"/>
    <n v="0.5"/>
    <n v="1"/>
    <n v="0.25"/>
    <n v="2"/>
    <n v="1"/>
    <n v="0.5"/>
    <n v="1"/>
    <n v="0.25"/>
    <n v="4"/>
    <n v="0.25"/>
    <n v="0.5"/>
    <n v="0"/>
    <n v="0.5"/>
    <n v="1"/>
    <n v="0.25"/>
    <n v="2"/>
    <n v="90"/>
    <n v="2560"/>
    <n v="100"/>
    <n v="600"/>
    <n v="3"/>
    <n v="106"/>
    <n v="1250000"/>
    <n v="1.7"/>
    <n v="91"/>
    <n v="50"/>
    <n v="50"/>
    <n v="485"/>
    <n v="130"/>
    <n v="106"/>
    <n v="77"/>
    <n v="430"/>
    <x v="3"/>
    <x v="1"/>
  </r>
  <r>
    <x v="485"/>
    <s v="Regigigasレジギガス"/>
    <x v="4"/>
    <x v="1"/>
    <x v="348"/>
    <s v="Slow Start"/>
    <s v=""/>
    <s v=""/>
    <s v=""/>
    <s v=""/>
    <s v=""/>
    <n v="1"/>
    <n v="1"/>
    <n v="1"/>
    <n v="1"/>
    <n v="1"/>
    <n v="2"/>
    <n v="1"/>
    <n v="1"/>
    <n v="0"/>
    <n v="1"/>
    <n v="1"/>
    <n v="1"/>
    <n v="1"/>
    <n v="1"/>
    <n v="1"/>
    <n v="1"/>
    <n v="1"/>
    <n v="1"/>
    <n v="160"/>
    <n v="30720"/>
    <n v="0"/>
    <n v="670"/>
    <n v="3"/>
    <n v="110"/>
    <n v="1250000"/>
    <n v="3.7"/>
    <n v="110"/>
    <s v=""/>
    <s v=""/>
    <n v="486"/>
    <n v="80"/>
    <n v="110"/>
    <n v="100"/>
    <n v="420"/>
    <x v="3"/>
    <x v="1"/>
  </r>
  <r>
    <x v="486"/>
    <s v="Giratina (another Forme)ギラティナ"/>
    <x v="12"/>
    <x v="15"/>
    <x v="349"/>
    <s v="Pressure"/>
    <s v="Telepathy"/>
    <s v="Levitate"/>
    <s v=""/>
    <s v=""/>
    <s v=""/>
    <n v="0.5"/>
    <n v="2"/>
    <n v="2"/>
    <n v="0.5"/>
    <n v="2"/>
    <n v="0"/>
    <n v="0.5"/>
    <n v="1"/>
    <n v="2"/>
    <n v="0.5"/>
    <n v="1"/>
    <n v="2"/>
    <n v="0"/>
    <n v="0.5"/>
    <n v="1"/>
    <n v="1"/>
    <n v="1"/>
    <n v="0.5"/>
    <n v="120"/>
    <n v="30720"/>
    <n v="0"/>
    <n v="680"/>
    <n v="3"/>
    <n v="100"/>
    <n v="1250000"/>
    <n v="4.5"/>
    <n v="150"/>
    <s v=""/>
    <s v=""/>
    <n v="487"/>
    <n v="120"/>
    <n v="100"/>
    <n v="90"/>
    <n v="750"/>
    <x v="3"/>
    <x v="1"/>
  </r>
  <r>
    <x v="487"/>
    <s v="Cresseliaクレセリア"/>
    <x v="10"/>
    <x v="1"/>
    <x v="350"/>
    <s v="Levitate"/>
    <s v=""/>
    <s v=""/>
    <s v=""/>
    <s v=""/>
    <s v=""/>
    <n v="2"/>
    <n v="2"/>
    <n v="1"/>
    <n v="1"/>
    <n v="1"/>
    <n v="0.5"/>
    <n v="1"/>
    <n v="1"/>
    <n v="2"/>
    <n v="1"/>
    <n v="1"/>
    <n v="1"/>
    <n v="1"/>
    <n v="1"/>
    <n v="0.5"/>
    <n v="1"/>
    <n v="1"/>
    <n v="1"/>
    <n v="70"/>
    <n v="30720"/>
    <n v="100"/>
    <n v="600"/>
    <n v="3"/>
    <n v="120"/>
    <n v="1250000"/>
    <n v="1.5"/>
    <n v="120"/>
    <n v="0"/>
    <n v="100"/>
    <n v="488"/>
    <n v="75"/>
    <n v="130"/>
    <n v="85"/>
    <n v="85.6"/>
    <x v="3"/>
    <x v="1"/>
  </r>
  <r>
    <x v="488"/>
    <s v="Phioneフィオネ"/>
    <x v="2"/>
    <x v="1"/>
    <x v="351"/>
    <s v="Hydration"/>
    <s v=""/>
    <s v=""/>
    <s v=""/>
    <s v=""/>
    <s v=""/>
    <n v="1"/>
    <n v="1"/>
    <n v="1"/>
    <n v="2"/>
    <n v="1"/>
    <n v="1"/>
    <n v="0.5"/>
    <n v="1"/>
    <n v="1"/>
    <n v="2"/>
    <n v="1"/>
    <n v="0.5"/>
    <n v="1"/>
    <n v="1"/>
    <n v="1"/>
    <n v="1"/>
    <n v="0.5"/>
    <n v="0.5"/>
    <n v="80"/>
    <n v="10240"/>
    <n v="70"/>
    <n v="480"/>
    <n v="30"/>
    <n v="80"/>
    <n v="1250000"/>
    <n v="0.4"/>
    <n v="80"/>
    <s v=""/>
    <s v=""/>
    <n v="489"/>
    <n v="80"/>
    <n v="80"/>
    <n v="80"/>
    <n v="3.1"/>
    <x v="3"/>
    <x v="0"/>
  </r>
  <r>
    <x v="489"/>
    <s v="Manaphyマナフィ"/>
    <x v="2"/>
    <x v="1"/>
    <x v="352"/>
    <s v="Hydration"/>
    <s v=""/>
    <s v=""/>
    <s v=""/>
    <s v=""/>
    <s v=""/>
    <n v="1"/>
    <n v="1"/>
    <n v="1"/>
    <n v="2"/>
    <n v="1"/>
    <n v="1"/>
    <n v="0.5"/>
    <n v="1"/>
    <n v="1"/>
    <n v="2"/>
    <n v="1"/>
    <n v="0.5"/>
    <n v="1"/>
    <n v="1"/>
    <n v="1"/>
    <n v="1"/>
    <n v="0.5"/>
    <n v="0.5"/>
    <n v="100"/>
    <n v="2560"/>
    <n v="70"/>
    <n v="600"/>
    <n v="3"/>
    <n v="100"/>
    <n v="1250000"/>
    <n v="0.3"/>
    <n v="100"/>
    <s v=""/>
    <s v=""/>
    <n v="490"/>
    <n v="100"/>
    <n v="100"/>
    <n v="100"/>
    <n v="1.4"/>
    <x v="3"/>
    <x v="1"/>
  </r>
  <r>
    <x v="490"/>
    <s v="Darkraiダークライ"/>
    <x v="15"/>
    <x v="1"/>
    <x v="353"/>
    <s v="Bad Dreams"/>
    <s v=""/>
    <s v=""/>
    <s v=""/>
    <s v=""/>
    <s v=""/>
    <n v="2"/>
    <n v="0.5"/>
    <n v="1"/>
    <n v="1"/>
    <n v="2"/>
    <n v="2"/>
    <n v="1"/>
    <n v="1"/>
    <n v="0.5"/>
    <n v="1"/>
    <n v="1"/>
    <n v="1"/>
    <n v="1"/>
    <n v="1"/>
    <n v="0"/>
    <n v="1"/>
    <n v="1"/>
    <n v="1"/>
    <n v="90"/>
    <n v="30720"/>
    <n v="0"/>
    <n v="600"/>
    <n v="3"/>
    <n v="90"/>
    <n v="1250000"/>
    <n v="1.5"/>
    <n v="70"/>
    <s v=""/>
    <s v=""/>
    <n v="491"/>
    <n v="135"/>
    <n v="90"/>
    <n v="125"/>
    <n v="50.5"/>
    <x v="3"/>
    <x v="1"/>
  </r>
  <r>
    <x v="491"/>
    <s v="Shaymin (sky Forme)シェイミ"/>
    <x v="0"/>
    <x v="8"/>
    <x v="354"/>
    <s v="Natural Cure"/>
    <s v="Serene Grace"/>
    <s v=""/>
    <s v=""/>
    <s v=""/>
    <s v=""/>
    <n v="2"/>
    <n v="1"/>
    <n v="1"/>
    <n v="0.5"/>
    <n v="1"/>
    <n v="1"/>
    <n v="2"/>
    <n v="2"/>
    <n v="1"/>
    <n v="0.5"/>
    <n v="0.5"/>
    <n v="2"/>
    <n v="1"/>
    <n v="2"/>
    <n v="1"/>
    <n v="1"/>
    <n v="1"/>
    <n v="0.5"/>
    <n v="103"/>
    <n v="30720"/>
    <n v="100"/>
    <n v="600"/>
    <n v="45"/>
    <n v="75"/>
    <n v="1059860"/>
    <n v="0.2"/>
    <n v="100"/>
    <s v=""/>
    <s v=""/>
    <n v="492"/>
    <n v="120"/>
    <n v="75"/>
    <n v="127"/>
    <n v="2.1"/>
    <x v="3"/>
    <x v="1"/>
  </r>
  <r>
    <x v="492"/>
    <s v="Arceusアルセウス"/>
    <x v="4"/>
    <x v="1"/>
    <x v="355"/>
    <s v="Multitype"/>
    <s v=""/>
    <s v=""/>
    <s v=""/>
    <s v=""/>
    <s v=""/>
    <n v="1"/>
    <n v="1"/>
    <n v="1"/>
    <n v="1"/>
    <n v="1"/>
    <n v="2"/>
    <n v="1"/>
    <n v="1"/>
    <n v="0"/>
    <n v="1"/>
    <n v="1"/>
    <n v="1"/>
    <n v="1"/>
    <n v="1"/>
    <n v="1"/>
    <n v="1"/>
    <n v="1"/>
    <n v="1"/>
    <n v="120"/>
    <n v="30720"/>
    <n v="0"/>
    <n v="720"/>
    <n v="3"/>
    <n v="120"/>
    <n v="1250000"/>
    <n v="3.2"/>
    <n v="120"/>
    <s v=""/>
    <s v=""/>
    <n v="493"/>
    <n v="120"/>
    <n v="120"/>
    <n v="120"/>
    <n v="320"/>
    <x v="3"/>
    <x v="1"/>
  </r>
  <r>
    <x v="493"/>
    <s v="Victiniビクティニ"/>
    <x v="10"/>
    <x v="12"/>
    <x v="356"/>
    <s v="Victory Star"/>
    <s v=""/>
    <s v=""/>
    <s v=""/>
    <s v=""/>
    <s v=""/>
    <n v="1"/>
    <n v="2"/>
    <n v="1"/>
    <n v="1"/>
    <n v="0.5"/>
    <n v="0.5"/>
    <n v="0.5"/>
    <n v="1"/>
    <n v="2"/>
    <n v="0.5"/>
    <n v="2"/>
    <n v="0.5"/>
    <n v="1"/>
    <n v="1"/>
    <n v="0.5"/>
    <n v="2"/>
    <n v="0.5"/>
    <n v="2"/>
    <n v="100"/>
    <n v="30720"/>
    <n v="100"/>
    <n v="600"/>
    <n v="3"/>
    <n v="100"/>
    <n v="1250000"/>
    <n v="0.4"/>
    <n v="100"/>
    <s v=""/>
    <s v=""/>
    <n v="494"/>
    <n v="100"/>
    <n v="100"/>
    <n v="100"/>
    <n v="4"/>
    <x v="4"/>
    <x v="1"/>
  </r>
  <r>
    <x v="494"/>
    <s v="Tsutarjaツタージャ"/>
    <x v="0"/>
    <x v="1"/>
    <x v="357"/>
    <s v="Overgrow"/>
    <s v="Contrary"/>
    <s v=""/>
    <s v=""/>
    <s v=""/>
    <s v=""/>
    <n v="2"/>
    <n v="1"/>
    <n v="1"/>
    <n v="0.5"/>
    <n v="1"/>
    <n v="1"/>
    <n v="2"/>
    <n v="2"/>
    <n v="1"/>
    <n v="0.5"/>
    <n v="0.5"/>
    <n v="2"/>
    <n v="1"/>
    <n v="2"/>
    <n v="1"/>
    <n v="1"/>
    <n v="1"/>
    <n v="0.5"/>
    <n v="45"/>
    <n v="5120"/>
    <n v="70"/>
    <n v="308"/>
    <n v="45"/>
    <n v="55"/>
    <n v="1059860"/>
    <n v="0.6"/>
    <n v="45"/>
    <n v="88.1"/>
    <n v="11.900000000000006"/>
    <n v="495"/>
    <n v="45"/>
    <n v="55"/>
    <n v="63"/>
    <n v="8.1"/>
    <x v="4"/>
    <x v="0"/>
  </r>
  <r>
    <x v="495"/>
    <s v="Janovyジャノビー"/>
    <x v="0"/>
    <x v="1"/>
    <x v="357"/>
    <s v="Overgrow"/>
    <s v="Contrary"/>
    <s v=""/>
    <s v=""/>
    <s v=""/>
    <s v=""/>
    <n v="2"/>
    <n v="1"/>
    <n v="1"/>
    <n v="0.5"/>
    <n v="1"/>
    <n v="1"/>
    <n v="2"/>
    <n v="2"/>
    <n v="1"/>
    <n v="0.5"/>
    <n v="0.5"/>
    <n v="2"/>
    <n v="1"/>
    <n v="2"/>
    <n v="1"/>
    <n v="1"/>
    <n v="1"/>
    <n v="0.5"/>
    <n v="60"/>
    <n v="5120"/>
    <n v="70"/>
    <n v="413"/>
    <n v="45"/>
    <n v="75"/>
    <n v="1059860"/>
    <n v="0.8"/>
    <n v="60"/>
    <n v="88.1"/>
    <n v="11.900000000000006"/>
    <n v="496"/>
    <n v="60"/>
    <n v="75"/>
    <n v="83"/>
    <n v="16"/>
    <x v="4"/>
    <x v="0"/>
  </r>
  <r>
    <x v="496"/>
    <s v="Jalordaジャローダ"/>
    <x v="0"/>
    <x v="1"/>
    <x v="358"/>
    <s v="Overgrow"/>
    <s v="Contrary"/>
    <s v=""/>
    <s v=""/>
    <s v=""/>
    <s v=""/>
    <n v="2"/>
    <n v="1"/>
    <n v="1"/>
    <n v="0.5"/>
    <n v="1"/>
    <n v="1"/>
    <n v="2"/>
    <n v="2"/>
    <n v="1"/>
    <n v="0.5"/>
    <n v="0.5"/>
    <n v="2"/>
    <n v="1"/>
    <n v="2"/>
    <n v="1"/>
    <n v="1"/>
    <n v="1"/>
    <n v="0.5"/>
    <n v="75"/>
    <n v="5120"/>
    <n v="70"/>
    <n v="528"/>
    <n v="45"/>
    <n v="95"/>
    <n v="1059860"/>
    <n v="3.3"/>
    <n v="75"/>
    <n v="88.1"/>
    <n v="11.900000000000006"/>
    <n v="497"/>
    <n v="75"/>
    <n v="95"/>
    <n v="113"/>
    <n v="63"/>
    <x v="4"/>
    <x v="0"/>
  </r>
  <r>
    <x v="497"/>
    <s v="Pokabuポカブ"/>
    <x v="1"/>
    <x v="1"/>
    <x v="359"/>
    <s v="Blaze"/>
    <s v="Thick Fat"/>
    <s v=""/>
    <s v=""/>
    <s v=""/>
    <s v=""/>
    <n v="0.5"/>
    <n v="1"/>
    <n v="1"/>
    <n v="1"/>
    <n v="0.5"/>
    <n v="1"/>
    <n v="0.5"/>
    <n v="1"/>
    <n v="1"/>
    <n v="0.5"/>
    <n v="2"/>
    <n v="0.5"/>
    <n v="1"/>
    <n v="1"/>
    <n v="1"/>
    <n v="2"/>
    <n v="0.5"/>
    <n v="2"/>
    <n v="63"/>
    <n v="5120"/>
    <n v="70"/>
    <n v="308"/>
    <n v="45"/>
    <n v="45"/>
    <n v="1059860"/>
    <n v="0.5"/>
    <n v="65"/>
    <n v="88.1"/>
    <n v="11.900000000000006"/>
    <n v="498"/>
    <n v="45"/>
    <n v="45"/>
    <n v="45"/>
    <n v="9.9"/>
    <x v="4"/>
    <x v="0"/>
  </r>
  <r>
    <x v="498"/>
    <s v="Chaobooチャオブー"/>
    <x v="1"/>
    <x v="9"/>
    <x v="359"/>
    <s v="Blaze"/>
    <s v="Thick Fat"/>
    <s v=""/>
    <s v=""/>
    <s v=""/>
    <s v=""/>
    <n v="0.25"/>
    <n v="0.5"/>
    <n v="1"/>
    <n v="1"/>
    <n v="1"/>
    <n v="1"/>
    <n v="0.5"/>
    <n v="2"/>
    <n v="1"/>
    <n v="0.5"/>
    <n v="2"/>
    <n v="0.5"/>
    <n v="1"/>
    <n v="1"/>
    <n v="2"/>
    <n v="1"/>
    <n v="0.5"/>
    <n v="2"/>
    <n v="93"/>
    <n v="5120"/>
    <n v="70"/>
    <n v="418"/>
    <n v="45"/>
    <n v="55"/>
    <n v="1059860"/>
    <n v="1"/>
    <n v="90"/>
    <n v="88.1"/>
    <n v="11.900000000000006"/>
    <n v="499"/>
    <n v="70"/>
    <n v="55"/>
    <n v="55"/>
    <n v="55.5"/>
    <x v="4"/>
    <x v="0"/>
  </r>
  <r>
    <x v="499"/>
    <s v="Enbuohエンブオー"/>
    <x v="1"/>
    <x v="9"/>
    <x v="360"/>
    <s v="Blaze"/>
    <s v="Reckless"/>
    <s v=""/>
    <s v=""/>
    <s v=""/>
    <s v=""/>
    <n v="0.25"/>
    <n v="0.5"/>
    <n v="1"/>
    <n v="1"/>
    <n v="1"/>
    <n v="1"/>
    <n v="0.5"/>
    <n v="2"/>
    <n v="1"/>
    <n v="0.5"/>
    <n v="2"/>
    <n v="0.5"/>
    <n v="1"/>
    <n v="1"/>
    <n v="2"/>
    <n v="1"/>
    <n v="0.5"/>
    <n v="2"/>
    <n v="123"/>
    <n v="5120"/>
    <n v="70"/>
    <n v="528"/>
    <n v="45"/>
    <n v="65"/>
    <n v="1059860"/>
    <n v="1.6"/>
    <n v="110"/>
    <n v="88.1"/>
    <n v="11.900000000000006"/>
    <n v="500"/>
    <n v="100"/>
    <n v="65"/>
    <n v="65"/>
    <n v="150"/>
    <x v="4"/>
    <x v="0"/>
  </r>
  <r>
    <x v="500"/>
    <s v="Mijumaruミジュマル"/>
    <x v="2"/>
    <x v="1"/>
    <x v="361"/>
    <s v="Torrent"/>
    <s v="Shell Armor"/>
    <s v=""/>
    <s v=""/>
    <s v=""/>
    <s v=""/>
    <n v="1"/>
    <n v="1"/>
    <n v="1"/>
    <n v="2"/>
    <n v="1"/>
    <n v="1"/>
    <n v="0.5"/>
    <n v="1"/>
    <n v="1"/>
    <n v="2"/>
    <n v="1"/>
    <n v="0.5"/>
    <n v="1"/>
    <n v="1"/>
    <n v="1"/>
    <n v="1"/>
    <n v="0.5"/>
    <n v="0.5"/>
    <n v="55"/>
    <n v="5120"/>
    <n v="70"/>
    <n v="308"/>
    <n v="45"/>
    <n v="45"/>
    <n v="1059860"/>
    <n v="0.5"/>
    <n v="55"/>
    <n v="88.1"/>
    <n v="11.900000000000006"/>
    <n v="501"/>
    <n v="63"/>
    <n v="45"/>
    <n v="45"/>
    <n v="5.9"/>
    <x v="4"/>
    <x v="0"/>
  </r>
  <r>
    <x v="501"/>
    <s v="Futachimaruフタチマル"/>
    <x v="2"/>
    <x v="1"/>
    <x v="362"/>
    <s v="Torrent"/>
    <s v="Shell Armor"/>
    <s v=""/>
    <s v=""/>
    <s v=""/>
    <s v=""/>
    <n v="1"/>
    <n v="1"/>
    <n v="1"/>
    <n v="2"/>
    <n v="1"/>
    <n v="1"/>
    <n v="0.5"/>
    <n v="1"/>
    <n v="1"/>
    <n v="2"/>
    <n v="1"/>
    <n v="0.5"/>
    <n v="1"/>
    <n v="1"/>
    <n v="1"/>
    <n v="1"/>
    <n v="0.5"/>
    <n v="0.5"/>
    <n v="75"/>
    <n v="5120"/>
    <n v="70"/>
    <n v="413"/>
    <n v="45"/>
    <n v="60"/>
    <n v="1059860"/>
    <n v="0.8"/>
    <n v="75"/>
    <n v="88.1"/>
    <n v="11.900000000000006"/>
    <n v="502"/>
    <n v="83"/>
    <n v="60"/>
    <n v="60"/>
    <n v="24.5"/>
    <x v="4"/>
    <x v="0"/>
  </r>
  <r>
    <x v="502"/>
    <s v="Daikenkiダイケンキ"/>
    <x v="2"/>
    <x v="1"/>
    <x v="363"/>
    <s v="Torrent"/>
    <s v="Shell Armor"/>
    <s v=""/>
    <s v=""/>
    <s v=""/>
    <s v=""/>
    <n v="1"/>
    <n v="1"/>
    <n v="1"/>
    <n v="2"/>
    <n v="1"/>
    <n v="1"/>
    <n v="0.5"/>
    <n v="1"/>
    <n v="1"/>
    <n v="2"/>
    <n v="1"/>
    <n v="0.5"/>
    <n v="1"/>
    <n v="1"/>
    <n v="1"/>
    <n v="1"/>
    <n v="0.5"/>
    <n v="0.5"/>
    <n v="100"/>
    <n v="5120"/>
    <n v="70"/>
    <n v="528"/>
    <n v="45"/>
    <n v="85"/>
    <n v="1059860"/>
    <n v="1.5"/>
    <n v="95"/>
    <n v="88.1"/>
    <n v="11.900000000000006"/>
    <n v="503"/>
    <n v="108"/>
    <n v="70"/>
    <n v="70"/>
    <n v="94.6"/>
    <x v="4"/>
    <x v="0"/>
  </r>
  <r>
    <x v="503"/>
    <s v="Minezumiミネズミ"/>
    <x v="4"/>
    <x v="1"/>
    <x v="100"/>
    <s v="Run Away"/>
    <s v="Keen Eye"/>
    <s v="Analytic"/>
    <s v=""/>
    <s v=""/>
    <s v=""/>
    <n v="1"/>
    <n v="1"/>
    <n v="1"/>
    <n v="1"/>
    <n v="1"/>
    <n v="2"/>
    <n v="1"/>
    <n v="1"/>
    <n v="0"/>
    <n v="1"/>
    <n v="1"/>
    <n v="1"/>
    <n v="1"/>
    <n v="1"/>
    <n v="1"/>
    <n v="1"/>
    <n v="1"/>
    <n v="1"/>
    <n v="55"/>
    <n v="3840"/>
    <n v="70"/>
    <n v="255"/>
    <n v="255"/>
    <n v="39"/>
    <n v="1000000"/>
    <n v="0.5"/>
    <n v="45"/>
    <n v="50"/>
    <n v="50"/>
    <n v="504"/>
    <n v="35"/>
    <n v="39"/>
    <n v="42"/>
    <n v="11.6"/>
    <x v="4"/>
    <x v="0"/>
  </r>
  <r>
    <x v="504"/>
    <s v="Miruhogミルホッグ"/>
    <x v="4"/>
    <x v="1"/>
    <x v="364"/>
    <s v="Illuminate"/>
    <s v="Keen Eye"/>
    <s v="Analytic"/>
    <s v=""/>
    <s v=""/>
    <s v=""/>
    <n v="1"/>
    <n v="1"/>
    <n v="1"/>
    <n v="1"/>
    <n v="1"/>
    <n v="2"/>
    <n v="1"/>
    <n v="1"/>
    <n v="0"/>
    <n v="1"/>
    <n v="1"/>
    <n v="1"/>
    <n v="1"/>
    <n v="1"/>
    <n v="1"/>
    <n v="1"/>
    <n v="1"/>
    <n v="1"/>
    <n v="85"/>
    <n v="5120"/>
    <n v="70"/>
    <n v="420"/>
    <n v="255"/>
    <n v="69"/>
    <n v="1000000"/>
    <n v="1.1000000000000001"/>
    <n v="60"/>
    <n v="50"/>
    <n v="50"/>
    <n v="505"/>
    <n v="60"/>
    <n v="69"/>
    <n v="77"/>
    <n v="27"/>
    <x v="4"/>
    <x v="0"/>
  </r>
  <r>
    <x v="505"/>
    <s v="Yorterrieヨーテリー"/>
    <x v="4"/>
    <x v="1"/>
    <x v="33"/>
    <s v="Vital Spirit"/>
    <s v="Pickup"/>
    <s v="Run Away"/>
    <s v=""/>
    <s v=""/>
    <s v=""/>
    <n v="1"/>
    <n v="1"/>
    <n v="1"/>
    <n v="1"/>
    <n v="1"/>
    <n v="2"/>
    <n v="1"/>
    <n v="1"/>
    <n v="0"/>
    <n v="1"/>
    <n v="1"/>
    <n v="1"/>
    <n v="1"/>
    <n v="1"/>
    <n v="1"/>
    <n v="1"/>
    <n v="1"/>
    <n v="1"/>
    <n v="60"/>
    <n v="3840"/>
    <n v="70"/>
    <n v="275"/>
    <n v="255"/>
    <n v="45"/>
    <n v="1059860"/>
    <n v="0.4"/>
    <n v="45"/>
    <n v="50"/>
    <n v="50"/>
    <n v="506"/>
    <n v="25"/>
    <n v="45"/>
    <n v="55"/>
    <n v="4.0999999999999996"/>
    <x v="4"/>
    <x v="0"/>
  </r>
  <r>
    <x v="506"/>
    <s v="Herderrieハーデリア"/>
    <x v="4"/>
    <x v="1"/>
    <x v="365"/>
    <s v="Intimidate"/>
    <s v="Sand Rush"/>
    <s v="Scrappy"/>
    <s v=""/>
    <s v=""/>
    <s v=""/>
    <n v="1"/>
    <n v="1"/>
    <n v="1"/>
    <n v="1"/>
    <n v="1"/>
    <n v="2"/>
    <n v="1"/>
    <n v="1"/>
    <n v="0"/>
    <n v="1"/>
    <n v="1"/>
    <n v="1"/>
    <n v="1"/>
    <n v="1"/>
    <n v="1"/>
    <n v="1"/>
    <n v="1"/>
    <n v="1"/>
    <n v="80"/>
    <n v="3840"/>
    <n v="70"/>
    <n v="370"/>
    <n v="120"/>
    <n v="65"/>
    <n v="1059860"/>
    <n v="0.9"/>
    <n v="65"/>
    <n v="50"/>
    <n v="50"/>
    <n v="507"/>
    <n v="35"/>
    <n v="65"/>
    <n v="60"/>
    <n v="14.7"/>
    <x v="4"/>
    <x v="0"/>
  </r>
  <r>
    <x v="507"/>
    <s v="Moolandムーランド"/>
    <x v="4"/>
    <x v="1"/>
    <x v="366"/>
    <s v="Intimidate"/>
    <s v="Sand Rush"/>
    <s v="Scrappy"/>
    <s v=""/>
    <s v=""/>
    <s v=""/>
    <n v="1"/>
    <n v="1"/>
    <n v="1"/>
    <n v="1"/>
    <n v="1"/>
    <n v="2"/>
    <n v="1"/>
    <n v="1"/>
    <n v="0"/>
    <n v="1"/>
    <n v="1"/>
    <n v="1"/>
    <n v="1"/>
    <n v="1"/>
    <n v="1"/>
    <n v="1"/>
    <n v="1"/>
    <n v="1"/>
    <n v="110"/>
    <n v="3840"/>
    <n v="70"/>
    <n v="500"/>
    <n v="45"/>
    <n v="90"/>
    <n v="1059860"/>
    <n v="1.2"/>
    <n v="85"/>
    <n v="50"/>
    <n v="50"/>
    <n v="508"/>
    <n v="45"/>
    <n v="90"/>
    <n v="80"/>
    <n v="61"/>
    <x v="4"/>
    <x v="0"/>
  </r>
  <r>
    <x v="508"/>
    <s v="Choronekoチョロネコ"/>
    <x v="15"/>
    <x v="1"/>
    <x v="367"/>
    <s v="Limber"/>
    <s v="Unburden"/>
    <s v="Prankster"/>
    <s v=""/>
    <s v=""/>
    <s v=""/>
    <n v="2"/>
    <n v="0.5"/>
    <n v="1"/>
    <n v="1"/>
    <n v="2"/>
    <n v="2"/>
    <n v="1"/>
    <n v="1"/>
    <n v="0.5"/>
    <n v="1"/>
    <n v="1"/>
    <n v="1"/>
    <n v="1"/>
    <n v="1"/>
    <n v="0"/>
    <n v="1"/>
    <n v="1"/>
    <n v="1"/>
    <n v="50"/>
    <n v="5120"/>
    <n v="70"/>
    <n v="281"/>
    <n v="255"/>
    <n v="37"/>
    <n v="1000000"/>
    <n v="0.4"/>
    <n v="41"/>
    <n v="50"/>
    <n v="50"/>
    <n v="509"/>
    <n v="50"/>
    <n v="37"/>
    <n v="66"/>
    <n v="10.1"/>
    <x v="4"/>
    <x v="0"/>
  </r>
  <r>
    <x v="509"/>
    <s v="Lepardasレパルダス"/>
    <x v="15"/>
    <x v="1"/>
    <x v="368"/>
    <s v="Limber"/>
    <s v="Unburden"/>
    <s v="Prankster"/>
    <s v=""/>
    <s v=""/>
    <s v=""/>
    <n v="2"/>
    <n v="0.5"/>
    <n v="1"/>
    <n v="1"/>
    <n v="2"/>
    <n v="2"/>
    <n v="1"/>
    <n v="1"/>
    <n v="0.5"/>
    <n v="1"/>
    <n v="1"/>
    <n v="1"/>
    <n v="1"/>
    <n v="1"/>
    <n v="0"/>
    <n v="1"/>
    <n v="1"/>
    <n v="1"/>
    <n v="88"/>
    <n v="5120"/>
    <n v="70"/>
    <n v="446"/>
    <n v="90"/>
    <n v="50"/>
    <n v="1000000"/>
    <n v="1.1000000000000001"/>
    <n v="64"/>
    <n v="50"/>
    <n v="50"/>
    <n v="510"/>
    <n v="88"/>
    <n v="50"/>
    <n v="106"/>
    <n v="37.5"/>
    <x v="4"/>
    <x v="0"/>
  </r>
  <r>
    <x v="510"/>
    <s v="Yanappuヤナップ"/>
    <x v="0"/>
    <x v="1"/>
    <x v="369"/>
    <s v="Gluttony"/>
    <s v="Overgrow"/>
    <s v=""/>
    <s v=""/>
    <s v=""/>
    <s v=""/>
    <n v="2"/>
    <n v="1"/>
    <n v="1"/>
    <n v="0.5"/>
    <n v="1"/>
    <n v="1"/>
    <n v="2"/>
    <n v="2"/>
    <n v="1"/>
    <n v="0.5"/>
    <n v="0.5"/>
    <n v="2"/>
    <n v="1"/>
    <n v="2"/>
    <n v="1"/>
    <n v="1"/>
    <n v="1"/>
    <n v="0.5"/>
    <n v="53"/>
    <n v="5120"/>
    <n v="70"/>
    <n v="316"/>
    <n v="190"/>
    <n v="48"/>
    <n v="1000000"/>
    <n v="0.6"/>
    <n v="50"/>
    <n v="88.1"/>
    <n v="11.900000000000006"/>
    <n v="511"/>
    <n v="53"/>
    <n v="48"/>
    <n v="64"/>
    <n v="10.5"/>
    <x v="4"/>
    <x v="0"/>
  </r>
  <r>
    <x v="511"/>
    <s v="Yanakkieヤナッキー"/>
    <x v="0"/>
    <x v="1"/>
    <x v="370"/>
    <s v="Gluttony"/>
    <s v="Overgrow"/>
    <s v=""/>
    <s v=""/>
    <s v=""/>
    <s v=""/>
    <n v="2"/>
    <n v="1"/>
    <n v="1"/>
    <n v="0.5"/>
    <n v="1"/>
    <n v="1"/>
    <n v="2"/>
    <n v="2"/>
    <n v="1"/>
    <n v="0.5"/>
    <n v="0.5"/>
    <n v="2"/>
    <n v="1"/>
    <n v="2"/>
    <n v="1"/>
    <n v="1"/>
    <n v="1"/>
    <n v="0.5"/>
    <n v="98"/>
    <n v="5120"/>
    <n v="70"/>
    <n v="498"/>
    <n v="75"/>
    <n v="63"/>
    <n v="1000000"/>
    <n v="1.1000000000000001"/>
    <n v="75"/>
    <n v="88.1"/>
    <n v="11.900000000000006"/>
    <n v="512"/>
    <n v="98"/>
    <n v="63"/>
    <n v="101"/>
    <n v="30.5"/>
    <x v="4"/>
    <x v="0"/>
  </r>
  <r>
    <x v="512"/>
    <s v="Baoppuバオップ"/>
    <x v="1"/>
    <x v="1"/>
    <x v="371"/>
    <s v="Gluttony"/>
    <s v="Blaze"/>
    <s v=""/>
    <s v=""/>
    <s v=""/>
    <s v=""/>
    <n v="0.5"/>
    <n v="1"/>
    <n v="1"/>
    <n v="1"/>
    <n v="0.5"/>
    <n v="1"/>
    <n v="0.5"/>
    <n v="1"/>
    <n v="1"/>
    <n v="0.5"/>
    <n v="2"/>
    <n v="0.5"/>
    <n v="1"/>
    <n v="1"/>
    <n v="1"/>
    <n v="2"/>
    <n v="0.5"/>
    <n v="2"/>
    <n v="53"/>
    <n v="5120"/>
    <n v="70"/>
    <n v="316"/>
    <n v="190"/>
    <n v="48"/>
    <n v="1000000"/>
    <n v="0.6"/>
    <n v="50"/>
    <n v="88.1"/>
    <n v="11.900000000000006"/>
    <n v="513"/>
    <n v="53"/>
    <n v="48"/>
    <n v="64"/>
    <n v="11"/>
    <x v="4"/>
    <x v="0"/>
  </r>
  <r>
    <x v="513"/>
    <s v="Baokkieバオッキー"/>
    <x v="1"/>
    <x v="1"/>
    <x v="372"/>
    <s v="Gluttony"/>
    <s v="Blaze"/>
    <s v=""/>
    <s v=""/>
    <s v=""/>
    <s v=""/>
    <n v="0.5"/>
    <n v="1"/>
    <n v="1"/>
    <n v="1"/>
    <n v="0.5"/>
    <n v="1"/>
    <n v="0.5"/>
    <n v="1"/>
    <n v="1"/>
    <n v="0.5"/>
    <n v="2"/>
    <n v="0.5"/>
    <n v="1"/>
    <n v="1"/>
    <n v="1"/>
    <n v="2"/>
    <n v="0.5"/>
    <n v="2"/>
    <n v="98"/>
    <n v="5120"/>
    <n v="70"/>
    <n v="498"/>
    <n v="75"/>
    <n v="63"/>
    <n v="1000000"/>
    <n v="1"/>
    <n v="75"/>
    <n v="88.1"/>
    <n v="11.900000000000006"/>
    <n v="514"/>
    <n v="98"/>
    <n v="63"/>
    <n v="101"/>
    <n v="28"/>
    <x v="4"/>
    <x v="0"/>
  </r>
  <r>
    <x v="514"/>
    <s v="Hiyappuヒヤップ"/>
    <x v="2"/>
    <x v="1"/>
    <x v="373"/>
    <s v="Gluttony"/>
    <s v="Torrent"/>
    <s v=""/>
    <s v=""/>
    <s v=""/>
    <s v=""/>
    <n v="1"/>
    <n v="1"/>
    <n v="1"/>
    <n v="2"/>
    <n v="1"/>
    <n v="1"/>
    <n v="0.5"/>
    <n v="1"/>
    <n v="1"/>
    <n v="2"/>
    <n v="1"/>
    <n v="0.5"/>
    <n v="1"/>
    <n v="1"/>
    <n v="1"/>
    <n v="1"/>
    <n v="0.5"/>
    <n v="0.5"/>
    <n v="53"/>
    <n v="5120"/>
    <n v="70"/>
    <n v="316"/>
    <n v="190"/>
    <n v="48"/>
    <n v="1000000"/>
    <n v="0.6"/>
    <n v="50"/>
    <n v="88.1"/>
    <n v="11.900000000000006"/>
    <n v="515"/>
    <n v="53"/>
    <n v="48"/>
    <n v="64"/>
    <n v="13.5"/>
    <x v="4"/>
    <x v="0"/>
  </r>
  <r>
    <x v="515"/>
    <s v="Hiyakkieヒヤッキー"/>
    <x v="2"/>
    <x v="1"/>
    <x v="374"/>
    <s v="Gluttony"/>
    <s v="Torrent"/>
    <s v=""/>
    <s v=""/>
    <s v=""/>
    <s v=""/>
    <n v="1"/>
    <n v="1"/>
    <n v="1"/>
    <n v="2"/>
    <n v="1"/>
    <n v="1"/>
    <n v="0.5"/>
    <n v="1"/>
    <n v="1"/>
    <n v="2"/>
    <n v="1"/>
    <n v="0.5"/>
    <n v="1"/>
    <n v="1"/>
    <n v="1"/>
    <n v="1"/>
    <n v="0.5"/>
    <n v="0.5"/>
    <n v="98"/>
    <n v="5120"/>
    <n v="70"/>
    <n v="498"/>
    <n v="75"/>
    <n v="63"/>
    <n v="1000000"/>
    <n v="1"/>
    <n v="75"/>
    <n v="88.1"/>
    <n v="11.900000000000006"/>
    <n v="516"/>
    <n v="98"/>
    <n v="63"/>
    <n v="101"/>
    <n v="29"/>
    <x v="4"/>
    <x v="0"/>
  </r>
  <r>
    <x v="516"/>
    <s v="Munnaムンナ"/>
    <x v="10"/>
    <x v="1"/>
    <x v="375"/>
    <s v="Forewarn"/>
    <s v="Synchronize"/>
    <s v="Telepathy"/>
    <s v=""/>
    <s v=""/>
    <s v=""/>
    <n v="2"/>
    <n v="2"/>
    <n v="1"/>
    <n v="1"/>
    <n v="1"/>
    <n v="0.5"/>
    <n v="1"/>
    <n v="1"/>
    <n v="2"/>
    <n v="1"/>
    <n v="1"/>
    <n v="1"/>
    <n v="1"/>
    <n v="1"/>
    <n v="0.5"/>
    <n v="1"/>
    <n v="1"/>
    <n v="1"/>
    <n v="25"/>
    <n v="2560"/>
    <n v="70"/>
    <n v="292"/>
    <n v="190"/>
    <n v="45"/>
    <n v="800000"/>
    <n v="0.6"/>
    <n v="76"/>
    <n v="50"/>
    <n v="50"/>
    <n v="517"/>
    <n v="67"/>
    <n v="55"/>
    <n v="24"/>
    <n v="23.3"/>
    <x v="4"/>
    <x v="0"/>
  </r>
  <r>
    <x v="517"/>
    <s v="Musharnaムシャーナ"/>
    <x v="10"/>
    <x v="1"/>
    <x v="376"/>
    <s v="Forewarn"/>
    <s v="Synchronize"/>
    <s v="Telepathy"/>
    <s v=""/>
    <s v=""/>
    <s v=""/>
    <n v="2"/>
    <n v="2"/>
    <n v="1"/>
    <n v="1"/>
    <n v="1"/>
    <n v="0.5"/>
    <n v="1"/>
    <n v="1"/>
    <n v="2"/>
    <n v="1"/>
    <n v="1"/>
    <n v="1"/>
    <n v="1"/>
    <n v="1"/>
    <n v="0.5"/>
    <n v="1"/>
    <n v="1"/>
    <n v="1"/>
    <n v="55"/>
    <n v="2560"/>
    <n v="70"/>
    <n v="487"/>
    <n v="75"/>
    <n v="85"/>
    <n v="800000"/>
    <n v="1.1000000000000001"/>
    <n v="116"/>
    <n v="50"/>
    <n v="50"/>
    <n v="518"/>
    <n v="107"/>
    <n v="95"/>
    <n v="29"/>
    <n v="60.5"/>
    <x v="4"/>
    <x v="0"/>
  </r>
  <r>
    <x v="518"/>
    <s v="Mamepatoマメパト"/>
    <x v="4"/>
    <x v="2"/>
    <x v="377"/>
    <s v="Big Pecks"/>
    <s v="Super Luck"/>
    <s v="Rivalry"/>
    <s v=""/>
    <s v=""/>
    <s v=""/>
    <n v="0.5"/>
    <n v="1"/>
    <n v="1"/>
    <n v="2"/>
    <n v="1"/>
    <n v="1"/>
    <n v="1"/>
    <n v="1"/>
    <n v="0"/>
    <n v="0.5"/>
    <n v="0"/>
    <n v="2"/>
    <n v="1"/>
    <n v="1"/>
    <n v="1"/>
    <n v="2"/>
    <n v="1"/>
    <n v="1"/>
    <n v="55"/>
    <n v="3840"/>
    <n v="70"/>
    <n v="264"/>
    <n v="255"/>
    <n v="50"/>
    <n v="1059860"/>
    <n v="0.3"/>
    <n v="50"/>
    <n v="50"/>
    <n v="50"/>
    <n v="519"/>
    <n v="36"/>
    <n v="30"/>
    <n v="43"/>
    <n v="2.1"/>
    <x v="4"/>
    <x v="0"/>
  </r>
  <r>
    <x v="519"/>
    <s v="Hatobohハトーボー"/>
    <x v="4"/>
    <x v="2"/>
    <x v="378"/>
    <s v="Big Pecks"/>
    <s v="Super Luck"/>
    <s v="Rivalry"/>
    <s v=""/>
    <s v=""/>
    <s v=""/>
    <n v="0.5"/>
    <n v="1"/>
    <n v="1"/>
    <n v="2"/>
    <n v="1"/>
    <n v="1"/>
    <n v="1"/>
    <n v="1"/>
    <n v="0"/>
    <n v="0.5"/>
    <n v="0"/>
    <n v="2"/>
    <n v="1"/>
    <n v="1"/>
    <n v="1"/>
    <n v="2"/>
    <n v="1"/>
    <n v="1"/>
    <n v="77"/>
    <n v="3840"/>
    <n v="70"/>
    <n v="358"/>
    <n v="120"/>
    <n v="62"/>
    <n v="1059860"/>
    <n v="0.6"/>
    <n v="62"/>
    <n v="50"/>
    <n v="50"/>
    <n v="520"/>
    <n v="50"/>
    <n v="42"/>
    <n v="65"/>
    <n v="15"/>
    <x v="4"/>
    <x v="0"/>
  </r>
  <r>
    <x v="520"/>
    <s v="Kenhallowケンホロウ"/>
    <x v="4"/>
    <x v="2"/>
    <x v="379"/>
    <s v="Big Pecks"/>
    <s v="Super Luck"/>
    <s v="Rivalry"/>
    <s v=""/>
    <s v=""/>
    <s v=""/>
    <n v="0.5"/>
    <n v="1"/>
    <n v="1"/>
    <n v="2"/>
    <n v="1"/>
    <n v="1"/>
    <n v="1"/>
    <n v="1"/>
    <n v="0"/>
    <n v="0.5"/>
    <n v="0"/>
    <n v="2"/>
    <n v="1"/>
    <n v="1"/>
    <n v="1"/>
    <n v="2"/>
    <n v="1"/>
    <n v="1"/>
    <n v="115"/>
    <n v="3840"/>
    <n v="70"/>
    <n v="488"/>
    <n v="45"/>
    <n v="80"/>
    <n v="1059860"/>
    <n v="1.2"/>
    <n v="80"/>
    <n v="50"/>
    <n v="50"/>
    <n v="521"/>
    <n v="65"/>
    <n v="55"/>
    <n v="93"/>
    <n v="29"/>
    <x v="4"/>
    <x v="0"/>
  </r>
  <r>
    <x v="521"/>
    <s v="Shimamaシママ"/>
    <x v="6"/>
    <x v="1"/>
    <x v="380"/>
    <s v="Lightningrod"/>
    <s v="Motor Drive"/>
    <s v="Sap Sipper"/>
    <s v=""/>
    <s v=""/>
    <s v=""/>
    <n v="1"/>
    <n v="1"/>
    <n v="1"/>
    <n v="0.5"/>
    <n v="1"/>
    <n v="1"/>
    <n v="1"/>
    <n v="0.5"/>
    <n v="1"/>
    <n v="1"/>
    <n v="2"/>
    <n v="1"/>
    <n v="1"/>
    <n v="1"/>
    <n v="1"/>
    <n v="1"/>
    <n v="0.5"/>
    <n v="1"/>
    <n v="60"/>
    <n v="5120"/>
    <n v="70"/>
    <n v="295"/>
    <n v="190"/>
    <n v="32"/>
    <n v="1000000"/>
    <n v="0.8"/>
    <n v="45"/>
    <n v="50"/>
    <n v="50"/>
    <n v="522"/>
    <n v="50"/>
    <n v="32"/>
    <n v="76"/>
    <n v="29.8"/>
    <x v="4"/>
    <x v="0"/>
  </r>
  <r>
    <x v="522"/>
    <s v="Zebraikaゼブライカ"/>
    <x v="6"/>
    <x v="1"/>
    <x v="331"/>
    <s v="Lightningrod"/>
    <s v="Motor Drive"/>
    <s v="Sap Sipper"/>
    <s v=""/>
    <s v=""/>
    <s v=""/>
    <n v="1"/>
    <n v="1"/>
    <n v="1"/>
    <n v="0.5"/>
    <n v="1"/>
    <n v="1"/>
    <n v="1"/>
    <n v="0.5"/>
    <n v="1"/>
    <n v="1"/>
    <n v="2"/>
    <n v="1"/>
    <n v="1"/>
    <n v="1"/>
    <n v="1"/>
    <n v="1"/>
    <n v="0.5"/>
    <n v="1"/>
    <n v="100"/>
    <n v="5120"/>
    <n v="70"/>
    <n v="497"/>
    <n v="75"/>
    <n v="63"/>
    <n v="1000000"/>
    <n v="1.6"/>
    <n v="75"/>
    <n v="50"/>
    <n v="50"/>
    <n v="523"/>
    <n v="80"/>
    <n v="63"/>
    <n v="116"/>
    <n v="79.5"/>
    <x v="4"/>
    <x v="0"/>
  </r>
  <r>
    <x v="523"/>
    <s v="Dangoroダンゴロ"/>
    <x v="11"/>
    <x v="1"/>
    <x v="381"/>
    <s v="Sturdy"/>
    <s v="Weak Armor"/>
    <s v="Sand Force"/>
    <s v=""/>
    <s v=""/>
    <s v=""/>
    <n v="1"/>
    <n v="1"/>
    <n v="1"/>
    <n v="1"/>
    <n v="1"/>
    <n v="2"/>
    <n v="0.5"/>
    <n v="0.5"/>
    <n v="1"/>
    <n v="2"/>
    <n v="2"/>
    <n v="1"/>
    <n v="0.5"/>
    <n v="0.5"/>
    <n v="1"/>
    <n v="1"/>
    <n v="2"/>
    <n v="2"/>
    <n v="75"/>
    <n v="3840"/>
    <n v="70"/>
    <n v="280"/>
    <n v="255"/>
    <n v="85"/>
    <n v="1059860"/>
    <n v="0.4"/>
    <n v="55"/>
    <n v="50"/>
    <n v="50"/>
    <n v="524"/>
    <n v="25"/>
    <n v="25"/>
    <n v="15"/>
    <n v="18"/>
    <x v="4"/>
    <x v="0"/>
  </r>
  <r>
    <x v="524"/>
    <s v="Gantleガントル"/>
    <x v="11"/>
    <x v="1"/>
    <x v="382"/>
    <s v="Sturdy"/>
    <s v="Weak Armor"/>
    <s v="Sand Force"/>
    <s v=""/>
    <s v=""/>
    <s v=""/>
    <n v="1"/>
    <n v="1"/>
    <n v="1"/>
    <n v="1"/>
    <n v="1"/>
    <n v="2"/>
    <n v="0.5"/>
    <n v="0.5"/>
    <n v="1"/>
    <n v="2"/>
    <n v="2"/>
    <n v="1"/>
    <n v="0.5"/>
    <n v="0.5"/>
    <n v="1"/>
    <n v="1"/>
    <n v="2"/>
    <n v="2"/>
    <n v="105"/>
    <n v="3840"/>
    <n v="70"/>
    <n v="390"/>
    <n v="120"/>
    <n v="105"/>
    <n v="1059860"/>
    <n v="0.9"/>
    <n v="70"/>
    <n v="50"/>
    <n v="50"/>
    <n v="525"/>
    <n v="50"/>
    <n v="40"/>
    <n v="20"/>
    <n v="102"/>
    <x v="4"/>
    <x v="0"/>
  </r>
  <r>
    <x v="525"/>
    <s v="Gigaiathギガイアス"/>
    <x v="11"/>
    <x v="1"/>
    <x v="383"/>
    <s v="Sturdy"/>
    <s v="Sand Stream"/>
    <s v="Sand Force"/>
    <s v=""/>
    <s v=""/>
    <s v=""/>
    <n v="1"/>
    <n v="1"/>
    <n v="1"/>
    <n v="1"/>
    <n v="1"/>
    <n v="2"/>
    <n v="0.5"/>
    <n v="0.5"/>
    <n v="1"/>
    <n v="2"/>
    <n v="2"/>
    <n v="1"/>
    <n v="0.5"/>
    <n v="0.5"/>
    <n v="1"/>
    <n v="1"/>
    <n v="2"/>
    <n v="2"/>
    <n v="135"/>
    <n v="3840"/>
    <n v="70"/>
    <n v="515"/>
    <n v="45"/>
    <n v="130"/>
    <n v="1059860"/>
    <n v="1.7"/>
    <n v="85"/>
    <n v="50"/>
    <n v="50"/>
    <n v="526"/>
    <n v="60"/>
    <n v="80"/>
    <n v="25"/>
    <n v="260"/>
    <x v="4"/>
    <x v="0"/>
  </r>
  <r>
    <x v="526"/>
    <s v="Koromoriコロモリ"/>
    <x v="10"/>
    <x v="2"/>
    <x v="22"/>
    <s v="Unaware"/>
    <s v="Klutz"/>
    <s v="Simple"/>
    <s v=""/>
    <s v=""/>
    <s v=""/>
    <n v="1"/>
    <n v="2"/>
    <n v="1"/>
    <n v="2"/>
    <n v="1"/>
    <n v="0.25"/>
    <n v="1"/>
    <n v="1"/>
    <n v="2"/>
    <n v="0.5"/>
    <n v="0"/>
    <n v="2"/>
    <n v="1"/>
    <n v="1"/>
    <n v="0.5"/>
    <n v="2"/>
    <n v="1"/>
    <n v="1"/>
    <n v="45"/>
    <n v="3840"/>
    <n v="70"/>
    <n v="323"/>
    <n v="190"/>
    <n v="43"/>
    <n v="1000000"/>
    <n v="0.4"/>
    <n v="65"/>
    <n v="50"/>
    <n v="50"/>
    <n v="527"/>
    <n v="55"/>
    <n v="43"/>
    <n v="72"/>
    <n v="2.1"/>
    <x v="4"/>
    <x v="0"/>
  </r>
  <r>
    <x v="527"/>
    <s v="Kokoromoriココロモリ"/>
    <x v="10"/>
    <x v="2"/>
    <x v="384"/>
    <s v="Unaware"/>
    <s v="Klutz"/>
    <s v="Simple"/>
    <s v=""/>
    <s v=""/>
    <s v=""/>
    <n v="1"/>
    <n v="2"/>
    <n v="1"/>
    <n v="2"/>
    <n v="1"/>
    <n v="0.25"/>
    <n v="1"/>
    <n v="1"/>
    <n v="2"/>
    <n v="0.5"/>
    <n v="0"/>
    <n v="2"/>
    <n v="1"/>
    <n v="1"/>
    <n v="0.5"/>
    <n v="2"/>
    <n v="1"/>
    <n v="1"/>
    <n v="57"/>
    <n v="3840"/>
    <n v="70"/>
    <n v="425"/>
    <n v="45"/>
    <n v="55"/>
    <n v="1000000"/>
    <n v="0.9"/>
    <n v="67"/>
    <n v="50"/>
    <n v="50"/>
    <n v="528"/>
    <n v="77"/>
    <n v="55"/>
    <n v="114"/>
    <n v="10.5"/>
    <x v="4"/>
    <x v="0"/>
  </r>
  <r>
    <x v="528"/>
    <s v="Mogurewモグリュー"/>
    <x v="7"/>
    <x v="1"/>
    <x v="28"/>
    <s v="Sand Rush"/>
    <s v="Sand Force"/>
    <s v="Mold Breaker"/>
    <s v=""/>
    <s v=""/>
    <s v=""/>
    <n v="1"/>
    <n v="1"/>
    <n v="1"/>
    <n v="0"/>
    <n v="1"/>
    <n v="1"/>
    <n v="1"/>
    <n v="1"/>
    <n v="1"/>
    <n v="2"/>
    <n v="1"/>
    <n v="2"/>
    <n v="1"/>
    <n v="0.5"/>
    <n v="1"/>
    <n v="0.5"/>
    <n v="1"/>
    <n v="2"/>
    <n v="85"/>
    <n v="5120"/>
    <n v="70"/>
    <n v="328"/>
    <n v="120"/>
    <n v="40"/>
    <n v="1000000"/>
    <n v="0.3"/>
    <n v="60"/>
    <n v="50"/>
    <n v="50"/>
    <n v="529"/>
    <n v="30"/>
    <n v="45"/>
    <n v="68"/>
    <n v="8.5"/>
    <x v="4"/>
    <x v="0"/>
  </r>
  <r>
    <x v="529"/>
    <s v="Doryuzuドリュウズ"/>
    <x v="7"/>
    <x v="11"/>
    <x v="385"/>
    <s v="Sand Rush"/>
    <s v="Sand Force"/>
    <s v="Mold Breaker"/>
    <s v=""/>
    <s v=""/>
    <s v=""/>
    <n v="0.5"/>
    <n v="1"/>
    <n v="0.5"/>
    <n v="0"/>
    <n v="0.5"/>
    <n v="2"/>
    <n v="2"/>
    <n v="0.5"/>
    <n v="1"/>
    <n v="1"/>
    <n v="2"/>
    <n v="1"/>
    <n v="0.5"/>
    <n v="0"/>
    <n v="0.5"/>
    <n v="0.25"/>
    <n v="0.5"/>
    <n v="2"/>
    <n v="135"/>
    <n v="5120"/>
    <n v="70"/>
    <n v="508"/>
    <n v="60"/>
    <n v="60"/>
    <n v="1000000"/>
    <n v="0.7"/>
    <n v="110"/>
    <n v="50"/>
    <n v="50"/>
    <n v="530"/>
    <n v="50"/>
    <n v="65"/>
    <n v="88"/>
    <n v="40.4"/>
    <x v="4"/>
    <x v="0"/>
  </r>
  <r>
    <x v="530"/>
    <s v="Tabunneタブンネ"/>
    <x v="4"/>
    <x v="1"/>
    <x v="386"/>
    <s v="Healer"/>
    <s v="Regenerator"/>
    <s v="Klutz"/>
    <s v=""/>
    <s v=""/>
    <s v=""/>
    <n v="1"/>
    <n v="1"/>
    <n v="1"/>
    <n v="1"/>
    <n v="1"/>
    <n v="2"/>
    <n v="1"/>
    <n v="1"/>
    <n v="0"/>
    <n v="1"/>
    <n v="1"/>
    <n v="1"/>
    <n v="1"/>
    <n v="1"/>
    <n v="1"/>
    <n v="1"/>
    <n v="1"/>
    <n v="1"/>
    <n v="60"/>
    <n v="5120"/>
    <n v="70"/>
    <n v="545"/>
    <n v="255"/>
    <n v="126"/>
    <n v="800000"/>
    <n v="1.1000000000000001"/>
    <n v="103"/>
    <n v="50"/>
    <n v="50"/>
    <n v="531"/>
    <n v="80"/>
    <n v="126"/>
    <n v="50"/>
    <n v="31"/>
    <x v="4"/>
    <x v="0"/>
  </r>
  <r>
    <x v="531"/>
    <s v="Dokkorerドッコラー"/>
    <x v="9"/>
    <x v="1"/>
    <x v="387"/>
    <s v="Guts"/>
    <s v="Sheer Force"/>
    <s v="Iron Fist"/>
    <s v=""/>
    <s v=""/>
    <s v=""/>
    <n v="0.5"/>
    <n v="0.5"/>
    <n v="1"/>
    <n v="1"/>
    <n v="2"/>
    <n v="1"/>
    <n v="1"/>
    <n v="2"/>
    <n v="1"/>
    <n v="1"/>
    <n v="1"/>
    <n v="1"/>
    <n v="1"/>
    <n v="1"/>
    <n v="2"/>
    <n v="0.5"/>
    <n v="1"/>
    <n v="1"/>
    <n v="80"/>
    <n v="5120"/>
    <n v="70"/>
    <n v="305"/>
    <n v="180"/>
    <n v="55"/>
    <n v="1059860"/>
    <n v="0.6"/>
    <n v="75"/>
    <n v="75.400000000000006"/>
    <n v="24.599999999999994"/>
    <n v="532"/>
    <n v="25"/>
    <n v="35"/>
    <n v="35"/>
    <n v="12.5"/>
    <x v="4"/>
    <x v="0"/>
  </r>
  <r>
    <x v="532"/>
    <s v="Dotekkotsuドテッコツ"/>
    <x v="9"/>
    <x v="1"/>
    <x v="387"/>
    <s v="Guts"/>
    <s v="Sheer Force"/>
    <s v="Iron Fist"/>
    <s v=""/>
    <s v=""/>
    <s v=""/>
    <n v="0.5"/>
    <n v="0.5"/>
    <n v="1"/>
    <n v="1"/>
    <n v="2"/>
    <n v="1"/>
    <n v="1"/>
    <n v="2"/>
    <n v="1"/>
    <n v="1"/>
    <n v="1"/>
    <n v="1"/>
    <n v="1"/>
    <n v="1"/>
    <n v="2"/>
    <n v="0.5"/>
    <n v="1"/>
    <n v="1"/>
    <n v="105"/>
    <n v="5120"/>
    <n v="70"/>
    <n v="405"/>
    <n v="90"/>
    <n v="85"/>
    <n v="1059860"/>
    <n v="1.2"/>
    <n v="85"/>
    <n v="75.400000000000006"/>
    <n v="24.599999999999994"/>
    <n v="533"/>
    <n v="40"/>
    <n v="50"/>
    <n v="40"/>
    <n v="40"/>
    <x v="4"/>
    <x v="0"/>
  </r>
  <r>
    <x v="533"/>
    <s v="Roubushinローブシン"/>
    <x v="9"/>
    <x v="1"/>
    <x v="387"/>
    <s v="Guts"/>
    <s v="Sheer Force"/>
    <s v="Iron Fist"/>
    <s v=""/>
    <s v=""/>
    <s v=""/>
    <n v="0.5"/>
    <n v="0.5"/>
    <n v="1"/>
    <n v="1"/>
    <n v="2"/>
    <n v="1"/>
    <n v="1"/>
    <n v="2"/>
    <n v="1"/>
    <n v="1"/>
    <n v="1"/>
    <n v="1"/>
    <n v="1"/>
    <n v="1"/>
    <n v="2"/>
    <n v="0.5"/>
    <n v="1"/>
    <n v="1"/>
    <n v="140"/>
    <n v="5120"/>
    <n v="70"/>
    <n v="505"/>
    <n v="45"/>
    <n v="95"/>
    <n v="1059860"/>
    <n v="1.4"/>
    <n v="105"/>
    <n v="75.400000000000006"/>
    <n v="24.599999999999994"/>
    <n v="534"/>
    <n v="55"/>
    <n v="65"/>
    <n v="45"/>
    <n v="87"/>
    <x v="4"/>
    <x v="0"/>
  </r>
  <r>
    <x v="534"/>
    <s v="Otamaroオタマロ"/>
    <x v="2"/>
    <x v="1"/>
    <x v="35"/>
    <s v="Swift Swim"/>
    <s v="Hydration"/>
    <s v="Water Absorb"/>
    <s v=""/>
    <s v=""/>
    <s v=""/>
    <n v="1"/>
    <n v="1"/>
    <n v="1"/>
    <n v="2"/>
    <n v="1"/>
    <n v="1"/>
    <n v="0.5"/>
    <n v="1"/>
    <n v="1"/>
    <n v="2"/>
    <n v="1"/>
    <n v="0.5"/>
    <n v="1"/>
    <n v="1"/>
    <n v="1"/>
    <n v="1"/>
    <n v="0.5"/>
    <n v="0.5"/>
    <n v="50"/>
    <n v="5120"/>
    <n v="70"/>
    <n v="294"/>
    <n v="255"/>
    <n v="40"/>
    <n v="1059860"/>
    <n v="0.5"/>
    <n v="50"/>
    <n v="50"/>
    <n v="50"/>
    <n v="535"/>
    <n v="50"/>
    <n v="40"/>
    <n v="64"/>
    <n v="4.5"/>
    <x v="4"/>
    <x v="0"/>
  </r>
  <r>
    <x v="535"/>
    <s v="Gamagaruガマガル"/>
    <x v="2"/>
    <x v="6"/>
    <x v="224"/>
    <s v="Swift Swim"/>
    <s v="Hydration"/>
    <s v="Water Absorb"/>
    <s v=""/>
    <s v=""/>
    <s v=""/>
    <n v="1"/>
    <n v="1"/>
    <n v="1"/>
    <n v="0"/>
    <n v="1"/>
    <n v="1"/>
    <n v="0.5"/>
    <n v="1"/>
    <n v="1"/>
    <n v="4"/>
    <n v="1"/>
    <n v="1"/>
    <n v="1"/>
    <n v="0.5"/>
    <n v="1"/>
    <n v="0.5"/>
    <n v="0.5"/>
    <n v="1"/>
    <n v="65"/>
    <n v="5120"/>
    <n v="70"/>
    <n v="384"/>
    <n v="120"/>
    <n v="55"/>
    <n v="1059860"/>
    <n v="0.8"/>
    <n v="75"/>
    <n v="50"/>
    <n v="50"/>
    <n v="536"/>
    <n v="65"/>
    <n v="55"/>
    <n v="69"/>
    <n v="17"/>
    <x v="4"/>
    <x v="0"/>
  </r>
  <r>
    <x v="536"/>
    <s v="Gamagerogeガマゲロゲ"/>
    <x v="2"/>
    <x v="6"/>
    <x v="224"/>
    <s v="Swift Swim"/>
    <s v="Poison Touch"/>
    <s v="Water Absorb"/>
    <s v=""/>
    <s v=""/>
    <s v=""/>
    <n v="1"/>
    <n v="1"/>
    <n v="1"/>
    <n v="0"/>
    <n v="1"/>
    <n v="1"/>
    <n v="0.5"/>
    <n v="1"/>
    <n v="1"/>
    <n v="4"/>
    <n v="1"/>
    <n v="1"/>
    <n v="1"/>
    <n v="0.5"/>
    <n v="1"/>
    <n v="0.5"/>
    <n v="0.5"/>
    <n v="1"/>
    <n v="95"/>
    <n v="5120"/>
    <n v="70"/>
    <n v="509"/>
    <n v="45"/>
    <n v="75"/>
    <n v="1059860"/>
    <n v="1.5"/>
    <n v="105"/>
    <n v="50"/>
    <n v="50"/>
    <n v="537"/>
    <n v="85"/>
    <n v="75"/>
    <n v="74"/>
    <n v="62"/>
    <x v="4"/>
    <x v="0"/>
  </r>
  <r>
    <x v="537"/>
    <s v="Nagekiナゲキ"/>
    <x v="9"/>
    <x v="1"/>
    <x v="388"/>
    <s v="Guts"/>
    <s v="Inner Focus"/>
    <s v="Mold Breaker"/>
    <s v=""/>
    <s v=""/>
    <s v=""/>
    <n v="0.5"/>
    <n v="0.5"/>
    <n v="1"/>
    <n v="1"/>
    <n v="2"/>
    <n v="1"/>
    <n v="1"/>
    <n v="2"/>
    <n v="1"/>
    <n v="1"/>
    <n v="1"/>
    <n v="1"/>
    <n v="1"/>
    <n v="1"/>
    <n v="2"/>
    <n v="0.5"/>
    <n v="1"/>
    <n v="1"/>
    <n v="100"/>
    <n v="5120"/>
    <n v="70"/>
    <n v="465"/>
    <n v="45"/>
    <n v="85"/>
    <n v="1000000"/>
    <n v="1.3"/>
    <n v="120"/>
    <n v="100"/>
    <n v="0"/>
    <n v="538"/>
    <n v="30"/>
    <n v="85"/>
    <n v="45"/>
    <n v="55.5"/>
    <x v="4"/>
    <x v="0"/>
  </r>
  <r>
    <x v="538"/>
    <s v="Dagekiダゲキ"/>
    <x v="9"/>
    <x v="1"/>
    <x v="389"/>
    <s v="Sturdy"/>
    <s v="Inner Focus"/>
    <s v="Mold Breaker"/>
    <s v=""/>
    <s v=""/>
    <s v=""/>
    <n v="0.5"/>
    <n v="0.5"/>
    <n v="1"/>
    <n v="1"/>
    <n v="2"/>
    <n v="1"/>
    <n v="1"/>
    <n v="2"/>
    <n v="1"/>
    <n v="1"/>
    <n v="1"/>
    <n v="1"/>
    <n v="1"/>
    <n v="1"/>
    <n v="2"/>
    <n v="0.5"/>
    <n v="1"/>
    <n v="1"/>
    <n v="125"/>
    <n v="5120"/>
    <n v="70"/>
    <n v="465"/>
    <n v="45"/>
    <n v="75"/>
    <n v="1000000"/>
    <n v="1.4"/>
    <n v="75"/>
    <n v="100"/>
    <n v="0"/>
    <n v="539"/>
    <n v="30"/>
    <n v="75"/>
    <n v="85"/>
    <n v="51"/>
    <x v="4"/>
    <x v="0"/>
  </r>
  <r>
    <x v="539"/>
    <s v="Kurumiruクルミル"/>
    <x v="3"/>
    <x v="8"/>
    <x v="390"/>
    <s v="Swarm"/>
    <s v="Chlorophyll"/>
    <s v="Overcoat"/>
    <s v=""/>
    <s v=""/>
    <s v=""/>
    <n v="2"/>
    <n v="1"/>
    <n v="1"/>
    <n v="0.5"/>
    <n v="1"/>
    <n v="0.5"/>
    <n v="4"/>
    <n v="4"/>
    <n v="1"/>
    <n v="0.25"/>
    <n v="0.25"/>
    <n v="2"/>
    <n v="1"/>
    <n v="2"/>
    <n v="1"/>
    <n v="2"/>
    <n v="1"/>
    <n v="0.5"/>
    <n v="53"/>
    <n v="3840"/>
    <n v="70"/>
    <n v="310"/>
    <n v="255"/>
    <n v="70"/>
    <n v="1059860"/>
    <n v="0.3"/>
    <n v="45"/>
    <n v="50"/>
    <n v="50"/>
    <n v="540"/>
    <n v="40"/>
    <n v="60"/>
    <n v="42"/>
    <n v="2.5"/>
    <x v="4"/>
    <x v="0"/>
  </r>
  <r>
    <x v="540"/>
    <s v="Kurumayuクルマユ"/>
    <x v="3"/>
    <x v="8"/>
    <x v="391"/>
    <s v="Leaf Guard"/>
    <s v="Chlorophyll"/>
    <s v="Overcoat"/>
    <s v=""/>
    <s v=""/>
    <s v=""/>
    <n v="2"/>
    <n v="1"/>
    <n v="1"/>
    <n v="0.5"/>
    <n v="1"/>
    <n v="0.5"/>
    <n v="4"/>
    <n v="4"/>
    <n v="1"/>
    <n v="0.25"/>
    <n v="0.25"/>
    <n v="2"/>
    <n v="1"/>
    <n v="2"/>
    <n v="1"/>
    <n v="2"/>
    <n v="1"/>
    <n v="0.5"/>
    <n v="63"/>
    <n v="3840"/>
    <n v="70"/>
    <n v="380"/>
    <n v="120"/>
    <n v="90"/>
    <n v="1059860"/>
    <n v="0.5"/>
    <n v="55"/>
    <n v="50"/>
    <n v="50"/>
    <n v="541"/>
    <n v="50"/>
    <n v="80"/>
    <n v="42"/>
    <n v="7.3"/>
    <x v="4"/>
    <x v="0"/>
  </r>
  <r>
    <x v="541"/>
    <s v="Hahakomoriハハコモリ"/>
    <x v="3"/>
    <x v="8"/>
    <x v="392"/>
    <s v="Swarm"/>
    <s v="Chlorophyll"/>
    <s v="Overcoat"/>
    <s v=""/>
    <s v=""/>
    <s v=""/>
    <n v="2"/>
    <n v="1"/>
    <n v="1"/>
    <n v="0.5"/>
    <n v="1"/>
    <n v="0.5"/>
    <n v="4"/>
    <n v="4"/>
    <n v="1"/>
    <n v="0.25"/>
    <n v="0.25"/>
    <n v="2"/>
    <n v="1"/>
    <n v="2"/>
    <n v="1"/>
    <n v="2"/>
    <n v="1"/>
    <n v="0.5"/>
    <n v="103"/>
    <n v="3840"/>
    <n v="70"/>
    <n v="500"/>
    <n v="45"/>
    <n v="80"/>
    <n v="1059860"/>
    <n v="1.2"/>
    <n v="75"/>
    <n v="50"/>
    <n v="50"/>
    <n v="542"/>
    <n v="70"/>
    <n v="80"/>
    <n v="92"/>
    <n v="20.5"/>
    <x v="4"/>
    <x v="0"/>
  </r>
  <r>
    <x v="542"/>
    <s v="Fushideフシデ"/>
    <x v="3"/>
    <x v="0"/>
    <x v="393"/>
    <s v="Poison Point"/>
    <s v="Swarm"/>
    <s v="Speed Boost"/>
    <s v=""/>
    <s v=""/>
    <s v=""/>
    <n v="0.5"/>
    <n v="1"/>
    <n v="1"/>
    <n v="1"/>
    <n v="0.5"/>
    <n v="0.25"/>
    <n v="2"/>
    <n v="2"/>
    <n v="1"/>
    <n v="0.25"/>
    <n v="1"/>
    <n v="1"/>
    <n v="1"/>
    <n v="0.5"/>
    <n v="2"/>
    <n v="2"/>
    <n v="1"/>
    <n v="1"/>
    <n v="45"/>
    <n v="3840"/>
    <n v="70"/>
    <n v="260"/>
    <n v="255"/>
    <n v="59"/>
    <n v="1059860"/>
    <n v="0.4"/>
    <n v="30"/>
    <n v="50"/>
    <n v="50"/>
    <n v="543"/>
    <n v="30"/>
    <n v="39"/>
    <n v="57"/>
    <n v="5.3"/>
    <x v="4"/>
    <x v="0"/>
  </r>
  <r>
    <x v="543"/>
    <s v="Wheegaホイーガ"/>
    <x v="3"/>
    <x v="0"/>
    <x v="394"/>
    <s v="Poison Point"/>
    <s v="Swarm"/>
    <s v="Speed Boost"/>
    <s v=""/>
    <s v=""/>
    <s v=""/>
    <n v="0.5"/>
    <n v="1"/>
    <n v="1"/>
    <n v="1"/>
    <n v="0.5"/>
    <n v="0.25"/>
    <n v="2"/>
    <n v="2"/>
    <n v="1"/>
    <n v="0.25"/>
    <n v="1"/>
    <n v="1"/>
    <n v="1"/>
    <n v="0.5"/>
    <n v="2"/>
    <n v="2"/>
    <n v="1"/>
    <n v="1"/>
    <n v="55"/>
    <n v="3840"/>
    <n v="70"/>
    <n v="360"/>
    <n v="120"/>
    <n v="99"/>
    <n v="1059860"/>
    <n v="1.2"/>
    <n v="40"/>
    <n v="50"/>
    <n v="50"/>
    <n v="544"/>
    <n v="40"/>
    <n v="79"/>
    <n v="47"/>
    <n v="58.5"/>
    <x v="4"/>
    <x v="0"/>
  </r>
  <r>
    <x v="544"/>
    <s v="Pendrorペンドラー"/>
    <x v="3"/>
    <x v="0"/>
    <x v="395"/>
    <s v="Poison Point"/>
    <s v="Swarm"/>
    <s v="Speed Boost"/>
    <s v=""/>
    <s v=""/>
    <s v=""/>
    <n v="0.5"/>
    <n v="1"/>
    <n v="1"/>
    <n v="1"/>
    <n v="0.5"/>
    <n v="0.25"/>
    <n v="2"/>
    <n v="2"/>
    <n v="1"/>
    <n v="0.25"/>
    <n v="1"/>
    <n v="1"/>
    <n v="1"/>
    <n v="0.5"/>
    <n v="2"/>
    <n v="2"/>
    <n v="1"/>
    <n v="1"/>
    <n v="100"/>
    <n v="5120"/>
    <n v="70"/>
    <n v="485"/>
    <n v="45"/>
    <n v="89"/>
    <n v="1059860"/>
    <n v="2.5"/>
    <n v="60"/>
    <n v="50"/>
    <n v="50"/>
    <n v="545"/>
    <n v="55"/>
    <n v="69"/>
    <n v="112"/>
    <n v="200.5"/>
    <x v="4"/>
    <x v="0"/>
  </r>
  <r>
    <x v="545"/>
    <s v="Monmenモンメン"/>
    <x v="0"/>
    <x v="7"/>
    <x v="396"/>
    <s v="Prankster"/>
    <s v="Infiltrator"/>
    <s v="Chlorophyll"/>
    <s v=""/>
    <s v=""/>
    <s v=""/>
    <n v="1"/>
    <n v="0.5"/>
    <n v="0"/>
    <n v="0.5"/>
    <n v="1"/>
    <n v="0.5"/>
    <n v="2"/>
    <n v="2"/>
    <n v="1"/>
    <n v="0.5"/>
    <n v="0.5"/>
    <n v="2"/>
    <n v="1"/>
    <n v="4"/>
    <n v="1"/>
    <n v="1"/>
    <n v="2"/>
    <n v="0.5"/>
    <n v="27"/>
    <n v="5120"/>
    <n v="70"/>
    <n v="280"/>
    <n v="190"/>
    <n v="60"/>
    <n v="1000000"/>
    <n v="0.3"/>
    <n v="40"/>
    <n v="50"/>
    <n v="50"/>
    <n v="546"/>
    <n v="37"/>
    <n v="50"/>
    <n v="66"/>
    <n v="0.6"/>
    <x v="4"/>
    <x v="0"/>
  </r>
  <r>
    <x v="546"/>
    <s v="Elfuunエルフーン"/>
    <x v="0"/>
    <x v="7"/>
    <x v="397"/>
    <s v="Prankster"/>
    <s v="Infiltrator"/>
    <s v="Chlorophyll"/>
    <s v=""/>
    <s v=""/>
    <s v=""/>
    <n v="1"/>
    <n v="0.5"/>
    <n v="0"/>
    <n v="0.5"/>
    <n v="1"/>
    <n v="0.5"/>
    <n v="2"/>
    <n v="2"/>
    <n v="1"/>
    <n v="0.5"/>
    <n v="0.5"/>
    <n v="2"/>
    <n v="1"/>
    <n v="4"/>
    <n v="1"/>
    <n v="1"/>
    <n v="2"/>
    <n v="0.5"/>
    <n v="67"/>
    <n v="5120"/>
    <n v="70"/>
    <n v="480"/>
    <n v="75"/>
    <n v="85"/>
    <n v="1000000"/>
    <n v="0.7"/>
    <n v="60"/>
    <n v="50"/>
    <n v="50"/>
    <n v="547"/>
    <n v="77"/>
    <n v="75"/>
    <n v="116"/>
    <n v="6.6"/>
    <x v="4"/>
    <x v="0"/>
  </r>
  <r>
    <x v="547"/>
    <s v="Churineチュリネ"/>
    <x v="0"/>
    <x v="1"/>
    <x v="398"/>
    <s v="Chlorophyll"/>
    <s v="Own Tempo"/>
    <s v="Leaf Guard"/>
    <s v=""/>
    <s v=""/>
    <s v=""/>
    <n v="2"/>
    <n v="1"/>
    <n v="1"/>
    <n v="0.5"/>
    <n v="1"/>
    <n v="1"/>
    <n v="2"/>
    <n v="2"/>
    <n v="1"/>
    <n v="0.5"/>
    <n v="0.5"/>
    <n v="2"/>
    <n v="1"/>
    <n v="2"/>
    <n v="1"/>
    <n v="1"/>
    <n v="1"/>
    <n v="0.5"/>
    <n v="35"/>
    <n v="5120"/>
    <n v="70"/>
    <n v="280"/>
    <n v="190"/>
    <n v="50"/>
    <n v="1000000"/>
    <n v="0.5"/>
    <n v="45"/>
    <n v="0"/>
    <n v="100"/>
    <n v="548"/>
    <n v="70"/>
    <n v="50"/>
    <n v="30"/>
    <n v="6.6"/>
    <x v="4"/>
    <x v="0"/>
  </r>
  <r>
    <x v="548"/>
    <s v="Dredearドレディア"/>
    <x v="0"/>
    <x v="1"/>
    <x v="399"/>
    <s v="Chlorophyll"/>
    <s v="Own Tempo"/>
    <s v="Leaf Guard"/>
    <s v=""/>
    <s v=""/>
    <s v=""/>
    <n v="2"/>
    <n v="1"/>
    <n v="1"/>
    <n v="0.5"/>
    <n v="1"/>
    <n v="1"/>
    <n v="2"/>
    <n v="2"/>
    <n v="1"/>
    <n v="0.5"/>
    <n v="0.5"/>
    <n v="2"/>
    <n v="1"/>
    <n v="2"/>
    <n v="1"/>
    <n v="1"/>
    <n v="1"/>
    <n v="0.5"/>
    <n v="60"/>
    <n v="5120"/>
    <n v="70"/>
    <n v="480"/>
    <n v="75"/>
    <n v="75"/>
    <n v="1000000"/>
    <n v="1.1000000000000001"/>
    <n v="70"/>
    <n v="0"/>
    <n v="100"/>
    <n v="549"/>
    <n v="110"/>
    <n v="75"/>
    <n v="90"/>
    <n v="16.3"/>
    <x v="4"/>
    <x v="0"/>
  </r>
  <r>
    <x v="549"/>
    <s v="Bassraoバスラオ"/>
    <x v="2"/>
    <x v="1"/>
    <x v="400"/>
    <s v="Reckless"/>
    <s v="Rock Head"/>
    <s v="Adaptability"/>
    <s v="Mold Breaker"/>
    <s v=""/>
    <s v=""/>
    <n v="1"/>
    <n v="1"/>
    <n v="1"/>
    <n v="2"/>
    <n v="1"/>
    <n v="1"/>
    <n v="0.5"/>
    <n v="1"/>
    <n v="1"/>
    <n v="2"/>
    <n v="1"/>
    <n v="0.5"/>
    <n v="1"/>
    <n v="1"/>
    <n v="1"/>
    <n v="1"/>
    <n v="0.5"/>
    <n v="0.5"/>
    <n v="92"/>
    <n v="10240"/>
    <n v="70"/>
    <n v="460"/>
    <n v="25"/>
    <n v="65"/>
    <n v="1000000"/>
    <n v="1"/>
    <n v="70"/>
    <n v="50"/>
    <n v="50"/>
    <n v="550"/>
    <n v="80"/>
    <n v="55"/>
    <n v="98"/>
    <n v="18"/>
    <x v="4"/>
    <x v="0"/>
  </r>
  <r>
    <x v="550"/>
    <s v="Megurocoメグロコ"/>
    <x v="7"/>
    <x v="3"/>
    <x v="401"/>
    <s v="Intimidate"/>
    <s v="Moxie"/>
    <s v="Anger Point"/>
    <s v=""/>
    <s v=""/>
    <s v=""/>
    <n v="2"/>
    <n v="0.5"/>
    <n v="1"/>
    <n v="0"/>
    <n v="2"/>
    <n v="2"/>
    <n v="1"/>
    <n v="1"/>
    <n v="0.5"/>
    <n v="2"/>
    <n v="1"/>
    <n v="2"/>
    <n v="1"/>
    <n v="0.5"/>
    <n v="0"/>
    <n v="0.5"/>
    <n v="1"/>
    <n v="2"/>
    <n v="72"/>
    <n v="5120"/>
    <n v="70"/>
    <n v="292"/>
    <n v="180"/>
    <n v="35"/>
    <n v="1059860"/>
    <n v="0.7"/>
    <n v="50"/>
    <n v="50"/>
    <n v="50"/>
    <n v="551"/>
    <n v="35"/>
    <n v="35"/>
    <n v="65"/>
    <n v="15.2"/>
    <x v="4"/>
    <x v="0"/>
  </r>
  <r>
    <x v="551"/>
    <s v="Waruvileワルビル"/>
    <x v="7"/>
    <x v="3"/>
    <x v="401"/>
    <s v="Intimidate"/>
    <s v="Moxie"/>
    <s v="Anger Point"/>
    <s v=""/>
    <s v=""/>
    <s v=""/>
    <n v="2"/>
    <n v="0.5"/>
    <n v="1"/>
    <n v="0"/>
    <n v="2"/>
    <n v="2"/>
    <n v="1"/>
    <n v="1"/>
    <n v="0.5"/>
    <n v="2"/>
    <n v="1"/>
    <n v="2"/>
    <n v="1"/>
    <n v="0.5"/>
    <n v="0"/>
    <n v="0.5"/>
    <n v="1"/>
    <n v="2"/>
    <n v="82"/>
    <n v="5120"/>
    <n v="70"/>
    <n v="351"/>
    <n v="90"/>
    <n v="45"/>
    <n v="1059860"/>
    <n v="1"/>
    <n v="60"/>
    <n v="50"/>
    <n v="50"/>
    <n v="552"/>
    <n v="45"/>
    <n v="45"/>
    <n v="74"/>
    <n v="33.4"/>
    <x v="4"/>
    <x v="0"/>
  </r>
  <r>
    <x v="552"/>
    <s v="Waruvialワルビアル"/>
    <x v="7"/>
    <x v="3"/>
    <x v="402"/>
    <s v="Intimidate"/>
    <s v="Moxie"/>
    <s v="Anger Point"/>
    <s v=""/>
    <s v=""/>
    <s v=""/>
    <n v="2"/>
    <n v="0.5"/>
    <n v="1"/>
    <n v="0"/>
    <n v="2"/>
    <n v="2"/>
    <n v="1"/>
    <n v="1"/>
    <n v="0.5"/>
    <n v="2"/>
    <n v="1"/>
    <n v="2"/>
    <n v="1"/>
    <n v="0.5"/>
    <n v="0"/>
    <n v="0.5"/>
    <n v="1"/>
    <n v="2"/>
    <n v="117"/>
    <n v="5120"/>
    <n v="70"/>
    <n v="519"/>
    <n v="45"/>
    <n v="80"/>
    <n v="1059860"/>
    <n v="1.5"/>
    <n v="95"/>
    <n v="50"/>
    <n v="50"/>
    <n v="553"/>
    <n v="65"/>
    <n v="70"/>
    <n v="92"/>
    <n v="96.3"/>
    <x v="4"/>
    <x v="0"/>
  </r>
  <r>
    <x v="553"/>
    <s v="Darumakkaダルマッカ"/>
    <x v="1"/>
    <x v="1"/>
    <x v="403"/>
    <s v="Hustle"/>
    <s v="Inner Focus"/>
    <s v=""/>
    <s v=""/>
    <s v=""/>
    <s v=""/>
    <n v="0.5"/>
    <n v="1"/>
    <n v="1"/>
    <n v="1"/>
    <n v="0.5"/>
    <n v="1"/>
    <n v="0.5"/>
    <n v="1"/>
    <n v="1"/>
    <n v="0.5"/>
    <n v="2"/>
    <n v="0.5"/>
    <n v="1"/>
    <n v="1"/>
    <n v="1"/>
    <n v="2"/>
    <n v="0.5"/>
    <n v="2"/>
    <n v="90"/>
    <n v="5120"/>
    <n v="70"/>
    <n v="315"/>
    <n v="120"/>
    <n v="45"/>
    <n v="1059860"/>
    <n v="0.6"/>
    <n v="70"/>
    <n v="50"/>
    <n v="50"/>
    <n v="554"/>
    <n v="15"/>
    <n v="45"/>
    <n v="50"/>
    <n v="37.5"/>
    <x v="4"/>
    <x v="0"/>
  </r>
  <r>
    <x v="554"/>
    <s v="Hihidarumaヒヒダルマ"/>
    <x v="1"/>
    <x v="12"/>
    <x v="404"/>
    <s v="Sheer Force"/>
    <s v="Zen Mode"/>
    <s v=""/>
    <s v=""/>
    <s v=""/>
    <s v=""/>
    <n v="0.5"/>
    <n v="1"/>
    <n v="1"/>
    <n v="1"/>
    <n v="0.5"/>
    <n v="1"/>
    <n v="0.5"/>
    <n v="1"/>
    <n v="1"/>
    <n v="0.5"/>
    <n v="2"/>
    <n v="0.5"/>
    <n v="1"/>
    <n v="1"/>
    <n v="1"/>
    <n v="2"/>
    <n v="0.5"/>
    <n v="2"/>
    <n v="30"/>
    <n v="5120"/>
    <n v="70"/>
    <n v="540"/>
    <n v="60"/>
    <n v="105"/>
    <n v="1059860"/>
    <n v="1.3"/>
    <n v="105"/>
    <n v="50"/>
    <n v="50"/>
    <n v="555"/>
    <n v="140"/>
    <n v="105"/>
    <n v="55"/>
    <n v="92.9"/>
    <x v="4"/>
    <x v="0"/>
  </r>
  <r>
    <x v="555"/>
    <s v="Maracacchiマラカッチ"/>
    <x v="0"/>
    <x v="1"/>
    <x v="225"/>
    <s v="Water Absorb"/>
    <s v="Chlorophyll"/>
    <s v="Storm Drain"/>
    <s v=""/>
    <s v=""/>
    <s v=""/>
    <n v="2"/>
    <n v="1"/>
    <n v="1"/>
    <n v="0.5"/>
    <n v="1"/>
    <n v="1"/>
    <n v="2"/>
    <n v="2"/>
    <n v="1"/>
    <n v="0.5"/>
    <n v="0.5"/>
    <n v="2"/>
    <n v="1"/>
    <n v="2"/>
    <n v="1"/>
    <n v="1"/>
    <n v="1"/>
    <n v="0.5"/>
    <n v="86"/>
    <n v="5120"/>
    <n v="70"/>
    <n v="461"/>
    <n v="255"/>
    <n v="67"/>
    <n v="1000000"/>
    <n v="1"/>
    <n v="75"/>
    <n v="50"/>
    <n v="50"/>
    <n v="556"/>
    <n v="106"/>
    <n v="67"/>
    <n v="60"/>
    <n v="28"/>
    <x v="4"/>
    <x v="0"/>
  </r>
  <r>
    <x v="556"/>
    <s v="Ishizumaiイシズマイ"/>
    <x v="3"/>
    <x v="13"/>
    <x v="405"/>
    <s v="Sturdy"/>
    <s v="Shell Armor"/>
    <s v="Weak Armor"/>
    <s v=""/>
    <s v=""/>
    <s v=""/>
    <n v="1"/>
    <n v="1"/>
    <n v="1"/>
    <n v="1"/>
    <n v="1"/>
    <n v="1"/>
    <n v="1"/>
    <n v="1"/>
    <n v="1"/>
    <n v="1"/>
    <n v="1"/>
    <n v="1"/>
    <n v="0.5"/>
    <n v="0.5"/>
    <n v="1"/>
    <n v="2"/>
    <n v="2"/>
    <n v="2"/>
    <n v="65"/>
    <n v="5120"/>
    <n v="70"/>
    <n v="325"/>
    <n v="190"/>
    <n v="85"/>
    <n v="1000000"/>
    <n v="0.3"/>
    <n v="50"/>
    <n v="50"/>
    <n v="50"/>
    <n v="557"/>
    <n v="35"/>
    <n v="35"/>
    <n v="55"/>
    <n v="14.5"/>
    <x v="4"/>
    <x v="0"/>
  </r>
  <r>
    <x v="557"/>
    <s v="Iwapalaceイワパレス"/>
    <x v="3"/>
    <x v="13"/>
    <x v="406"/>
    <s v="Sturdy"/>
    <s v="Shell Armor"/>
    <s v="Weak Armor"/>
    <s v=""/>
    <s v=""/>
    <s v=""/>
    <n v="1"/>
    <n v="1"/>
    <n v="1"/>
    <n v="1"/>
    <n v="1"/>
    <n v="1"/>
    <n v="1"/>
    <n v="1"/>
    <n v="1"/>
    <n v="1"/>
    <n v="1"/>
    <n v="1"/>
    <n v="0.5"/>
    <n v="0.5"/>
    <n v="1"/>
    <n v="2"/>
    <n v="2"/>
    <n v="2"/>
    <n v="105"/>
    <n v="5120"/>
    <n v="70"/>
    <n v="485"/>
    <n v="75"/>
    <n v="125"/>
    <n v="1000000"/>
    <n v="1.4"/>
    <n v="70"/>
    <n v="50"/>
    <n v="50"/>
    <n v="558"/>
    <n v="65"/>
    <n v="75"/>
    <n v="45"/>
    <n v="200"/>
    <x v="4"/>
    <x v="0"/>
  </r>
  <r>
    <x v="558"/>
    <s v="Zurugguズルッグ"/>
    <x v="15"/>
    <x v="9"/>
    <x v="407"/>
    <s v="Shed Skin"/>
    <s v="Moxie"/>
    <s v="Intimidate"/>
    <s v=""/>
    <s v=""/>
    <s v=""/>
    <n v="1"/>
    <n v="0.25"/>
    <n v="1"/>
    <n v="1"/>
    <n v="4"/>
    <n v="2"/>
    <n v="1"/>
    <n v="2"/>
    <n v="0.5"/>
    <n v="1"/>
    <n v="1"/>
    <n v="1"/>
    <n v="1"/>
    <n v="1"/>
    <n v="0"/>
    <n v="0.5"/>
    <n v="1"/>
    <n v="1"/>
    <n v="75"/>
    <n v="3840"/>
    <n v="35"/>
    <n v="348"/>
    <n v="180"/>
    <n v="70"/>
    <n v="1000000"/>
    <n v="0.6"/>
    <n v="50"/>
    <n v="50"/>
    <n v="50"/>
    <n v="559"/>
    <n v="35"/>
    <n v="70"/>
    <n v="48"/>
    <n v="11.8"/>
    <x v="4"/>
    <x v="0"/>
  </r>
  <r>
    <x v="559"/>
    <s v="Zuruzukinズルズキン"/>
    <x v="15"/>
    <x v="9"/>
    <x v="408"/>
    <s v="Shed Skin"/>
    <s v="Moxie"/>
    <s v="Intimidate"/>
    <s v=""/>
    <s v=""/>
    <s v=""/>
    <n v="1"/>
    <n v="0.25"/>
    <n v="1"/>
    <n v="1"/>
    <n v="4"/>
    <n v="2"/>
    <n v="1"/>
    <n v="2"/>
    <n v="0.5"/>
    <n v="1"/>
    <n v="1"/>
    <n v="1"/>
    <n v="1"/>
    <n v="1"/>
    <n v="0"/>
    <n v="0.5"/>
    <n v="1"/>
    <n v="1"/>
    <n v="90"/>
    <n v="3840"/>
    <n v="70"/>
    <n v="488"/>
    <n v="90"/>
    <n v="115"/>
    <n v="1000000"/>
    <n v="1.1000000000000001"/>
    <n v="65"/>
    <n v="50"/>
    <n v="50"/>
    <n v="560"/>
    <n v="45"/>
    <n v="115"/>
    <n v="58"/>
    <n v="30"/>
    <x v="4"/>
    <x v="0"/>
  </r>
  <r>
    <x v="560"/>
    <s v="Symbolerシンボラー"/>
    <x v="10"/>
    <x v="2"/>
    <x v="409"/>
    <s v="Wonder Skin"/>
    <s v="Magic Guard"/>
    <s v="Tinted Lens"/>
    <s v=""/>
    <s v=""/>
    <s v=""/>
    <n v="1"/>
    <n v="2"/>
    <n v="1"/>
    <n v="2"/>
    <n v="1"/>
    <n v="0.25"/>
    <n v="1"/>
    <n v="1"/>
    <n v="2"/>
    <n v="0.5"/>
    <n v="0"/>
    <n v="2"/>
    <n v="1"/>
    <n v="1"/>
    <n v="0.5"/>
    <n v="2"/>
    <n v="1"/>
    <n v="1"/>
    <n v="58"/>
    <n v="5120"/>
    <n v="70"/>
    <n v="490"/>
    <n v="45"/>
    <n v="80"/>
    <n v="1000000"/>
    <n v="1.4"/>
    <n v="72"/>
    <n v="50"/>
    <n v="50"/>
    <n v="561"/>
    <n v="103"/>
    <n v="80"/>
    <n v="97"/>
    <n v="14"/>
    <x v="4"/>
    <x v="0"/>
  </r>
  <r>
    <x v="561"/>
    <s v="Desumasuデスマス"/>
    <x v="12"/>
    <x v="1"/>
    <x v="410"/>
    <s v="Mummy"/>
    <s v=""/>
    <s v=""/>
    <s v=""/>
    <s v=""/>
    <s v=""/>
    <n v="0.5"/>
    <n v="2"/>
    <n v="1"/>
    <n v="1"/>
    <n v="1"/>
    <n v="0"/>
    <n v="1"/>
    <n v="1"/>
    <n v="2"/>
    <n v="1"/>
    <n v="1"/>
    <n v="1"/>
    <n v="0"/>
    <n v="0.5"/>
    <n v="1"/>
    <n v="1"/>
    <n v="1"/>
    <n v="1"/>
    <n v="30"/>
    <n v="6400"/>
    <n v="70"/>
    <n v="303"/>
    <n v="190"/>
    <n v="85"/>
    <n v="1000000"/>
    <n v="0.5"/>
    <n v="38"/>
    <n v="50"/>
    <n v="50"/>
    <n v="562"/>
    <n v="55"/>
    <n v="65"/>
    <n v="30"/>
    <n v="1.5"/>
    <x v="4"/>
    <x v="0"/>
  </r>
  <r>
    <x v="562"/>
    <s v="Desukarnデスカーン"/>
    <x v="12"/>
    <x v="1"/>
    <x v="411"/>
    <s v="Mummy"/>
    <s v=""/>
    <s v=""/>
    <s v=""/>
    <s v=""/>
    <s v=""/>
    <n v="0.5"/>
    <n v="2"/>
    <n v="1"/>
    <n v="1"/>
    <n v="1"/>
    <n v="0"/>
    <n v="1"/>
    <n v="1"/>
    <n v="2"/>
    <n v="1"/>
    <n v="1"/>
    <n v="1"/>
    <n v="0"/>
    <n v="0.5"/>
    <n v="1"/>
    <n v="1"/>
    <n v="1"/>
    <n v="1"/>
    <n v="50"/>
    <n v="6400"/>
    <n v="70"/>
    <n v="483"/>
    <n v="90"/>
    <n v="145"/>
    <n v="1000000"/>
    <n v="1.7"/>
    <n v="58"/>
    <n v="50"/>
    <n v="50"/>
    <n v="563"/>
    <n v="95"/>
    <n v="105"/>
    <n v="30"/>
    <n v="76.5"/>
    <x v="4"/>
    <x v="0"/>
  </r>
  <r>
    <x v="563"/>
    <s v="Protogaプロトーガ"/>
    <x v="2"/>
    <x v="13"/>
    <x v="412"/>
    <s v="Solid Rock"/>
    <s v="Sturdy"/>
    <s v="Swift Swim"/>
    <s v=""/>
    <s v=""/>
    <s v=""/>
    <n v="1"/>
    <n v="1"/>
    <n v="1"/>
    <n v="2"/>
    <n v="1"/>
    <n v="2"/>
    <n v="0.25"/>
    <n v="0.5"/>
    <n v="1"/>
    <n v="4"/>
    <n v="2"/>
    <n v="0.5"/>
    <n v="0.5"/>
    <n v="0.5"/>
    <n v="1"/>
    <n v="1"/>
    <n v="1"/>
    <n v="1"/>
    <n v="78"/>
    <n v="7680"/>
    <n v="70"/>
    <n v="355"/>
    <n v="45"/>
    <n v="103"/>
    <n v="1000000"/>
    <n v="0.7"/>
    <n v="54"/>
    <n v="88.1"/>
    <n v="11.900000000000006"/>
    <n v="564"/>
    <n v="53"/>
    <n v="45"/>
    <n v="22"/>
    <n v="16.5"/>
    <x v="4"/>
    <x v="0"/>
  </r>
  <r>
    <x v="564"/>
    <s v="Abagouraアバゴーラ"/>
    <x v="2"/>
    <x v="13"/>
    <x v="412"/>
    <s v="Solid Rock"/>
    <s v="Sturdy"/>
    <s v="Swift Swim"/>
    <s v=""/>
    <s v=""/>
    <s v=""/>
    <n v="1"/>
    <n v="1"/>
    <n v="1"/>
    <n v="2"/>
    <n v="1"/>
    <n v="2"/>
    <n v="0.25"/>
    <n v="0.5"/>
    <n v="1"/>
    <n v="4"/>
    <n v="2"/>
    <n v="0.5"/>
    <n v="0.5"/>
    <n v="0.5"/>
    <n v="1"/>
    <n v="1"/>
    <n v="1"/>
    <n v="1"/>
    <n v="108"/>
    <n v="7680"/>
    <n v="70"/>
    <n v="495"/>
    <n v="45"/>
    <n v="133"/>
    <n v="1000000"/>
    <n v="1.2"/>
    <n v="74"/>
    <n v="88.1"/>
    <n v="11.900000000000006"/>
    <n v="565"/>
    <n v="83"/>
    <n v="65"/>
    <n v="32"/>
    <n v="81"/>
    <x v="4"/>
    <x v="0"/>
  </r>
  <r>
    <x v="565"/>
    <s v="Archenアーケン"/>
    <x v="11"/>
    <x v="2"/>
    <x v="413"/>
    <s v="Defeatist"/>
    <s v=""/>
    <s v=""/>
    <s v=""/>
    <s v=""/>
    <s v=""/>
    <n v="0.5"/>
    <n v="1"/>
    <n v="1"/>
    <n v="2"/>
    <n v="1"/>
    <n v="1"/>
    <n v="0.5"/>
    <n v="0.5"/>
    <n v="1"/>
    <n v="1"/>
    <n v="0"/>
    <n v="2"/>
    <n v="0.5"/>
    <n v="0.5"/>
    <n v="1"/>
    <n v="2"/>
    <n v="2"/>
    <n v="2"/>
    <n v="112"/>
    <n v="7680"/>
    <n v="70"/>
    <n v="401"/>
    <n v="45"/>
    <n v="45"/>
    <n v="1000000"/>
    <n v="0.5"/>
    <n v="55"/>
    <n v="88.1"/>
    <n v="11.900000000000006"/>
    <n v="566"/>
    <n v="74"/>
    <n v="45"/>
    <n v="70"/>
    <n v="9.5"/>
    <x v="4"/>
    <x v="0"/>
  </r>
  <r>
    <x v="566"/>
    <s v="Archeosアーケオス"/>
    <x v="11"/>
    <x v="2"/>
    <x v="413"/>
    <s v="Defeatist"/>
    <s v=""/>
    <s v=""/>
    <s v=""/>
    <s v=""/>
    <s v=""/>
    <n v="0.5"/>
    <n v="1"/>
    <n v="1"/>
    <n v="2"/>
    <n v="1"/>
    <n v="1"/>
    <n v="0.5"/>
    <n v="0.5"/>
    <n v="1"/>
    <n v="1"/>
    <n v="0"/>
    <n v="2"/>
    <n v="0.5"/>
    <n v="0.5"/>
    <n v="1"/>
    <n v="2"/>
    <n v="2"/>
    <n v="2"/>
    <n v="140"/>
    <n v="7680"/>
    <n v="70"/>
    <n v="567"/>
    <n v="45"/>
    <n v="65"/>
    <n v="1000000"/>
    <n v="1.4"/>
    <n v="75"/>
    <n v="88.1"/>
    <n v="11.900000000000006"/>
    <n v="567"/>
    <n v="112"/>
    <n v="65"/>
    <n v="110"/>
    <n v="32"/>
    <x v="4"/>
    <x v="0"/>
  </r>
  <r>
    <x v="567"/>
    <s v="Yabukuronヤブクロン"/>
    <x v="5"/>
    <x v="1"/>
    <x v="414"/>
    <s v="Stench"/>
    <s v="Sticky Hold"/>
    <s v="Aftermath"/>
    <s v=""/>
    <s v=""/>
    <s v=""/>
    <n v="0.5"/>
    <n v="1"/>
    <n v="1"/>
    <n v="1"/>
    <n v="0.5"/>
    <n v="0.5"/>
    <n v="1"/>
    <n v="1"/>
    <n v="1"/>
    <n v="0.5"/>
    <n v="2"/>
    <n v="1"/>
    <n v="1"/>
    <n v="0.5"/>
    <n v="2"/>
    <n v="1"/>
    <n v="1"/>
    <n v="1"/>
    <n v="50"/>
    <n v="5120"/>
    <n v="70"/>
    <n v="329"/>
    <n v="190"/>
    <n v="62"/>
    <n v="1000000"/>
    <n v="0.6"/>
    <n v="50"/>
    <n v="50"/>
    <n v="50"/>
    <n v="568"/>
    <n v="40"/>
    <n v="62"/>
    <n v="65"/>
    <n v="31"/>
    <x v="4"/>
    <x v="0"/>
  </r>
  <r>
    <x v="568"/>
    <s v="Dustdasダストダス"/>
    <x v="5"/>
    <x v="1"/>
    <x v="415"/>
    <s v="Stench"/>
    <s v="Weak Armor"/>
    <s v="Aftermath"/>
    <s v=""/>
    <s v=""/>
    <s v=""/>
    <n v="0.5"/>
    <n v="1"/>
    <n v="1"/>
    <n v="1"/>
    <n v="0.5"/>
    <n v="0.5"/>
    <n v="1"/>
    <n v="1"/>
    <n v="1"/>
    <n v="0.5"/>
    <n v="2"/>
    <n v="1"/>
    <n v="1"/>
    <n v="0.5"/>
    <n v="2"/>
    <n v="1"/>
    <n v="1"/>
    <n v="1"/>
    <n v="95"/>
    <n v="5120"/>
    <n v="70"/>
    <n v="474"/>
    <n v="60"/>
    <n v="82"/>
    <n v="1000000"/>
    <n v="1.9"/>
    <n v="80"/>
    <n v="50"/>
    <n v="50"/>
    <n v="569"/>
    <n v="60"/>
    <n v="82"/>
    <n v="75"/>
    <n v="107.3"/>
    <x v="4"/>
    <x v="0"/>
  </r>
  <r>
    <x v="569"/>
    <s v="Zoruaゾロア"/>
    <x v="15"/>
    <x v="1"/>
    <x v="416"/>
    <s v="Illusion"/>
    <s v=""/>
    <s v=""/>
    <s v=""/>
    <s v=""/>
    <s v=""/>
    <n v="2"/>
    <n v="0.5"/>
    <n v="1"/>
    <n v="1"/>
    <n v="2"/>
    <n v="2"/>
    <n v="1"/>
    <n v="1"/>
    <n v="0.5"/>
    <n v="1"/>
    <n v="1"/>
    <n v="1"/>
    <n v="1"/>
    <n v="1"/>
    <n v="0"/>
    <n v="1"/>
    <n v="1"/>
    <n v="1"/>
    <n v="65"/>
    <n v="6400"/>
    <n v="70"/>
    <n v="330"/>
    <n v="75"/>
    <n v="40"/>
    <n v="1059860"/>
    <n v="0.7"/>
    <n v="40"/>
    <n v="88.1"/>
    <n v="11.900000000000006"/>
    <n v="570"/>
    <n v="80"/>
    <n v="40"/>
    <n v="65"/>
    <n v="12.5"/>
    <x v="4"/>
    <x v="0"/>
  </r>
  <r>
    <x v="570"/>
    <s v="Zoroarkゾロアーク"/>
    <x v="15"/>
    <x v="1"/>
    <x v="417"/>
    <s v="Illusion"/>
    <s v=""/>
    <s v=""/>
    <s v=""/>
    <s v=""/>
    <s v=""/>
    <n v="2"/>
    <n v="0.5"/>
    <n v="1"/>
    <n v="1"/>
    <n v="2"/>
    <n v="2"/>
    <n v="1"/>
    <n v="1"/>
    <n v="0.5"/>
    <n v="1"/>
    <n v="1"/>
    <n v="1"/>
    <n v="1"/>
    <n v="1"/>
    <n v="0"/>
    <n v="1"/>
    <n v="1"/>
    <n v="1"/>
    <n v="105"/>
    <n v="5120"/>
    <n v="70"/>
    <n v="510"/>
    <n v="45"/>
    <n v="60"/>
    <n v="1059860"/>
    <n v="1.6"/>
    <n v="60"/>
    <n v="88.1"/>
    <n v="11.900000000000006"/>
    <n v="571"/>
    <n v="120"/>
    <n v="60"/>
    <n v="105"/>
    <n v="81.099999999999994"/>
    <x v="4"/>
    <x v="0"/>
  </r>
  <r>
    <x v="571"/>
    <s v="Chillarmyチラーミィ"/>
    <x v="4"/>
    <x v="1"/>
    <x v="418"/>
    <s v="Cute Charm"/>
    <s v="Technician"/>
    <s v="Skill Link"/>
    <s v=""/>
    <s v=""/>
    <s v=""/>
    <n v="1"/>
    <n v="1"/>
    <n v="1"/>
    <n v="1"/>
    <n v="1"/>
    <n v="2"/>
    <n v="1"/>
    <n v="1"/>
    <n v="0"/>
    <n v="1"/>
    <n v="1"/>
    <n v="1"/>
    <n v="1"/>
    <n v="1"/>
    <n v="1"/>
    <n v="1"/>
    <n v="1"/>
    <n v="1"/>
    <n v="50"/>
    <n v="3840"/>
    <n v="70"/>
    <n v="300"/>
    <n v="255"/>
    <n v="40"/>
    <n v="800000"/>
    <n v="0.4"/>
    <n v="55"/>
    <n v="24.6"/>
    <n v="75.400000000000006"/>
    <n v="572"/>
    <n v="40"/>
    <n v="40"/>
    <n v="75"/>
    <n v="5.8"/>
    <x v="4"/>
    <x v="0"/>
  </r>
  <r>
    <x v="572"/>
    <s v="Chillaccinoチラチーノ"/>
    <x v="4"/>
    <x v="1"/>
    <x v="419"/>
    <s v="Cute Charm"/>
    <s v="Technician"/>
    <s v="Skill Link"/>
    <s v=""/>
    <s v=""/>
    <s v=""/>
    <n v="1"/>
    <n v="1"/>
    <n v="1"/>
    <n v="1"/>
    <n v="1"/>
    <n v="2"/>
    <n v="1"/>
    <n v="1"/>
    <n v="0"/>
    <n v="1"/>
    <n v="1"/>
    <n v="1"/>
    <n v="1"/>
    <n v="1"/>
    <n v="1"/>
    <n v="1"/>
    <n v="1"/>
    <n v="1"/>
    <n v="95"/>
    <n v="3840"/>
    <n v="70"/>
    <n v="470"/>
    <n v="60"/>
    <n v="60"/>
    <n v="800000"/>
    <n v="0.5"/>
    <n v="75"/>
    <n v="24.6"/>
    <n v="75.400000000000006"/>
    <n v="573"/>
    <n v="65"/>
    <n v="60"/>
    <n v="115"/>
    <n v="7.5"/>
    <x v="4"/>
    <x v="0"/>
  </r>
  <r>
    <x v="573"/>
    <s v="Gothimuゴチム"/>
    <x v="10"/>
    <x v="1"/>
    <x v="420"/>
    <s v="Frisk"/>
    <s v="Competitive"/>
    <s v="Shadow Tag"/>
    <s v=""/>
    <s v=""/>
    <s v=""/>
    <n v="2"/>
    <n v="2"/>
    <n v="1"/>
    <n v="1"/>
    <n v="1"/>
    <n v="0.5"/>
    <n v="1"/>
    <n v="1"/>
    <n v="2"/>
    <n v="1"/>
    <n v="1"/>
    <n v="1"/>
    <n v="1"/>
    <n v="1"/>
    <n v="0.5"/>
    <n v="1"/>
    <n v="1"/>
    <n v="1"/>
    <n v="30"/>
    <n v="5120"/>
    <n v="70"/>
    <n v="290"/>
    <n v="200"/>
    <n v="50"/>
    <n v="1059860"/>
    <n v="0.4"/>
    <n v="45"/>
    <n v="24.6"/>
    <n v="75.400000000000006"/>
    <n v="574"/>
    <n v="55"/>
    <n v="65"/>
    <n v="45"/>
    <n v="5.8"/>
    <x v="4"/>
    <x v="0"/>
  </r>
  <r>
    <x v="574"/>
    <s v="Gothimiruゴチミル"/>
    <x v="10"/>
    <x v="1"/>
    <x v="221"/>
    <s v="Frisk"/>
    <s v="Competitive"/>
    <s v="Shadow Tag"/>
    <s v=""/>
    <s v=""/>
    <s v=""/>
    <n v="2"/>
    <n v="2"/>
    <n v="1"/>
    <n v="1"/>
    <n v="1"/>
    <n v="0.5"/>
    <n v="1"/>
    <n v="1"/>
    <n v="2"/>
    <n v="1"/>
    <n v="1"/>
    <n v="1"/>
    <n v="1"/>
    <n v="1"/>
    <n v="0.5"/>
    <n v="1"/>
    <n v="1"/>
    <n v="1"/>
    <n v="45"/>
    <n v="5120"/>
    <n v="70"/>
    <n v="390"/>
    <n v="100"/>
    <n v="70"/>
    <n v="1059860"/>
    <n v="0.7"/>
    <n v="60"/>
    <n v="24.6"/>
    <n v="75.400000000000006"/>
    <n v="575"/>
    <n v="75"/>
    <n v="85"/>
    <n v="55"/>
    <n v="18"/>
    <x v="4"/>
    <x v="0"/>
  </r>
  <r>
    <x v="575"/>
    <s v="Gothiruselleゴチルゼル"/>
    <x v="10"/>
    <x v="1"/>
    <x v="421"/>
    <s v="Frisk"/>
    <s v="Competitive"/>
    <s v="Shadow Tag"/>
    <s v=""/>
    <s v=""/>
    <s v=""/>
    <n v="2"/>
    <n v="2"/>
    <n v="1"/>
    <n v="1"/>
    <n v="1"/>
    <n v="0.5"/>
    <n v="1"/>
    <n v="1"/>
    <n v="2"/>
    <n v="1"/>
    <n v="1"/>
    <n v="1"/>
    <n v="1"/>
    <n v="1"/>
    <n v="0.5"/>
    <n v="1"/>
    <n v="1"/>
    <n v="1"/>
    <n v="55"/>
    <n v="5120"/>
    <n v="70"/>
    <n v="490"/>
    <n v="50"/>
    <n v="95"/>
    <n v="1059860"/>
    <n v="1.5"/>
    <n v="70"/>
    <n v="24.6"/>
    <n v="75.400000000000006"/>
    <n v="576"/>
    <n v="95"/>
    <n v="110"/>
    <n v="65"/>
    <n v="44"/>
    <x v="4"/>
    <x v="0"/>
  </r>
  <r>
    <x v="576"/>
    <s v="Uniranユニラン"/>
    <x v="10"/>
    <x v="1"/>
    <x v="422"/>
    <s v="Overcoat"/>
    <s v="Magic Guard"/>
    <s v="Regenerator"/>
    <s v=""/>
    <s v=""/>
    <s v=""/>
    <n v="2"/>
    <n v="2"/>
    <n v="1"/>
    <n v="1"/>
    <n v="1"/>
    <n v="0.5"/>
    <n v="1"/>
    <n v="1"/>
    <n v="2"/>
    <n v="1"/>
    <n v="1"/>
    <n v="1"/>
    <n v="1"/>
    <n v="1"/>
    <n v="0.5"/>
    <n v="1"/>
    <n v="1"/>
    <n v="1"/>
    <n v="30"/>
    <n v="5120"/>
    <n v="70"/>
    <n v="290"/>
    <n v="200"/>
    <n v="40"/>
    <n v="1059860"/>
    <n v="0.3"/>
    <n v="45"/>
    <n v="50"/>
    <n v="50"/>
    <n v="577"/>
    <n v="105"/>
    <n v="50"/>
    <n v="20"/>
    <n v="1"/>
    <x v="4"/>
    <x v="0"/>
  </r>
  <r>
    <x v="577"/>
    <s v="Doublanダブラン"/>
    <x v="10"/>
    <x v="1"/>
    <x v="423"/>
    <s v="Overcoat"/>
    <s v="Magic Guard"/>
    <s v="Regenerator"/>
    <s v=""/>
    <s v=""/>
    <s v=""/>
    <n v="2"/>
    <n v="2"/>
    <n v="1"/>
    <n v="1"/>
    <n v="1"/>
    <n v="0.5"/>
    <n v="1"/>
    <n v="1"/>
    <n v="2"/>
    <n v="1"/>
    <n v="1"/>
    <n v="1"/>
    <n v="1"/>
    <n v="1"/>
    <n v="0.5"/>
    <n v="1"/>
    <n v="1"/>
    <n v="1"/>
    <n v="40"/>
    <n v="5120"/>
    <n v="70"/>
    <n v="370"/>
    <n v="100"/>
    <n v="50"/>
    <n v="1059860"/>
    <n v="0.6"/>
    <n v="65"/>
    <n v="50"/>
    <n v="50"/>
    <n v="578"/>
    <n v="125"/>
    <n v="60"/>
    <n v="30"/>
    <n v="8"/>
    <x v="4"/>
    <x v="0"/>
  </r>
  <r>
    <x v="578"/>
    <s v="Lanculusランクルス"/>
    <x v="10"/>
    <x v="1"/>
    <x v="424"/>
    <s v="Overcoat"/>
    <s v="Magic Guard"/>
    <s v="Regenerator"/>
    <s v=""/>
    <s v=""/>
    <s v=""/>
    <n v="2"/>
    <n v="2"/>
    <n v="1"/>
    <n v="1"/>
    <n v="1"/>
    <n v="0.5"/>
    <n v="1"/>
    <n v="1"/>
    <n v="2"/>
    <n v="1"/>
    <n v="1"/>
    <n v="1"/>
    <n v="1"/>
    <n v="1"/>
    <n v="0.5"/>
    <n v="1"/>
    <n v="1"/>
    <n v="1"/>
    <n v="65"/>
    <n v="5120"/>
    <n v="70"/>
    <n v="490"/>
    <n v="50"/>
    <n v="75"/>
    <n v="1059860"/>
    <n v="1"/>
    <n v="110"/>
    <n v="50"/>
    <n v="50"/>
    <n v="579"/>
    <n v="125"/>
    <n v="85"/>
    <n v="30"/>
    <n v="20.100000000000001"/>
    <x v="4"/>
    <x v="0"/>
  </r>
  <r>
    <x v="579"/>
    <s v="Koaruhieコアルヒー"/>
    <x v="2"/>
    <x v="2"/>
    <x v="183"/>
    <s v="Keen Eye"/>
    <s v="Big Pecks"/>
    <s v="Hydration"/>
    <s v=""/>
    <s v=""/>
    <s v=""/>
    <n v="0.5"/>
    <n v="1"/>
    <n v="1"/>
    <n v="4"/>
    <n v="1"/>
    <n v="0.5"/>
    <n v="0.5"/>
    <n v="1"/>
    <n v="1"/>
    <n v="1"/>
    <n v="0"/>
    <n v="1"/>
    <n v="1"/>
    <n v="1"/>
    <n v="1"/>
    <n v="2"/>
    <n v="0.5"/>
    <n v="0.5"/>
    <n v="44"/>
    <n v="5120"/>
    <n v="70"/>
    <n v="305"/>
    <n v="190"/>
    <n v="50"/>
    <n v="1000000"/>
    <n v="0.5"/>
    <n v="62"/>
    <n v="50"/>
    <n v="50"/>
    <n v="580"/>
    <n v="44"/>
    <n v="50"/>
    <n v="55"/>
    <n v="5.5"/>
    <x v="4"/>
    <x v="0"/>
  </r>
  <r>
    <x v="580"/>
    <s v="Swannaスワンナ"/>
    <x v="2"/>
    <x v="2"/>
    <x v="425"/>
    <s v="Keen Eye"/>
    <s v="Big Pecks"/>
    <s v="Hydration"/>
    <s v=""/>
    <s v=""/>
    <s v=""/>
    <n v="0.5"/>
    <n v="1"/>
    <n v="1"/>
    <n v="4"/>
    <n v="1"/>
    <n v="0.5"/>
    <n v="0.5"/>
    <n v="1"/>
    <n v="1"/>
    <n v="1"/>
    <n v="0"/>
    <n v="1"/>
    <n v="1"/>
    <n v="1"/>
    <n v="1"/>
    <n v="2"/>
    <n v="0.5"/>
    <n v="0.5"/>
    <n v="87"/>
    <n v="5120"/>
    <n v="70"/>
    <n v="473"/>
    <n v="45"/>
    <n v="63"/>
    <n v="1000000"/>
    <n v="1.3"/>
    <n v="75"/>
    <n v="50"/>
    <n v="50"/>
    <n v="581"/>
    <n v="87"/>
    <n v="63"/>
    <n v="98"/>
    <n v="24.2"/>
    <x v="4"/>
    <x v="0"/>
  </r>
  <r>
    <x v="581"/>
    <s v="Vanipetiバニプッチ"/>
    <x v="13"/>
    <x v="1"/>
    <x v="336"/>
    <s v="Ice Body"/>
    <s v="Snow Cloak"/>
    <s v="Weak Armor"/>
    <s v=""/>
    <s v=""/>
    <s v=""/>
    <n v="1"/>
    <n v="1"/>
    <n v="1"/>
    <n v="1"/>
    <n v="1"/>
    <n v="2"/>
    <n v="2"/>
    <n v="1"/>
    <n v="1"/>
    <n v="1"/>
    <n v="1"/>
    <n v="0.5"/>
    <n v="1"/>
    <n v="1"/>
    <n v="1"/>
    <n v="2"/>
    <n v="2"/>
    <n v="1"/>
    <n v="50"/>
    <n v="5120"/>
    <n v="70"/>
    <n v="305"/>
    <n v="255"/>
    <n v="50"/>
    <n v="1250000"/>
    <n v="0.4"/>
    <n v="36"/>
    <n v="50"/>
    <n v="50"/>
    <n v="582"/>
    <n v="65"/>
    <n v="60"/>
    <n v="44"/>
    <n v="5.7"/>
    <x v="4"/>
    <x v="0"/>
  </r>
  <r>
    <x v="582"/>
    <s v="Vanirichバニリッチ"/>
    <x v="13"/>
    <x v="1"/>
    <x v="426"/>
    <s v="Ice Body"/>
    <s v="Snow Cloak"/>
    <s v="Weak Armor"/>
    <s v=""/>
    <s v=""/>
    <s v=""/>
    <n v="1"/>
    <n v="1"/>
    <n v="1"/>
    <n v="1"/>
    <n v="1"/>
    <n v="2"/>
    <n v="2"/>
    <n v="1"/>
    <n v="1"/>
    <n v="1"/>
    <n v="1"/>
    <n v="0.5"/>
    <n v="1"/>
    <n v="1"/>
    <n v="1"/>
    <n v="2"/>
    <n v="2"/>
    <n v="1"/>
    <n v="65"/>
    <n v="5120"/>
    <n v="70"/>
    <n v="395"/>
    <n v="120"/>
    <n v="65"/>
    <n v="1250000"/>
    <n v="1.1000000000000001"/>
    <n v="51"/>
    <n v="50"/>
    <n v="50"/>
    <n v="583"/>
    <n v="80"/>
    <n v="75"/>
    <n v="59"/>
    <n v="41"/>
    <x v="4"/>
    <x v="0"/>
  </r>
  <r>
    <x v="583"/>
    <s v="Baivanillaバイバニラ"/>
    <x v="13"/>
    <x v="1"/>
    <x v="427"/>
    <s v="Ice Body"/>
    <s v="Snow Warning"/>
    <s v="Weak Armor"/>
    <s v=""/>
    <s v=""/>
    <s v=""/>
    <n v="1"/>
    <n v="1"/>
    <n v="1"/>
    <n v="1"/>
    <n v="1"/>
    <n v="2"/>
    <n v="2"/>
    <n v="1"/>
    <n v="1"/>
    <n v="1"/>
    <n v="1"/>
    <n v="0.5"/>
    <n v="1"/>
    <n v="1"/>
    <n v="1"/>
    <n v="2"/>
    <n v="2"/>
    <n v="1"/>
    <n v="95"/>
    <n v="5120"/>
    <n v="70"/>
    <n v="535"/>
    <n v="45"/>
    <n v="85"/>
    <n v="1250000"/>
    <n v="1.3"/>
    <n v="71"/>
    <n v="50"/>
    <n v="50"/>
    <n v="584"/>
    <n v="110"/>
    <n v="95"/>
    <n v="79"/>
    <n v="57.5"/>
    <x v="4"/>
    <x v="0"/>
  </r>
  <r>
    <x v="584"/>
    <s v="Shikijikaシキジカ"/>
    <x v="4"/>
    <x v="8"/>
    <x v="428"/>
    <s v="Chlorophyll"/>
    <s v="Sap Sipper"/>
    <s v="Serene Grace"/>
    <s v=""/>
    <s v=""/>
    <s v=""/>
    <n v="2"/>
    <n v="1"/>
    <n v="1"/>
    <n v="0.5"/>
    <n v="1"/>
    <n v="2"/>
    <n v="2"/>
    <n v="2"/>
    <n v="0"/>
    <n v="0.5"/>
    <n v="0.5"/>
    <n v="2"/>
    <n v="1"/>
    <n v="2"/>
    <n v="1"/>
    <n v="1"/>
    <n v="1"/>
    <n v="0.5"/>
    <n v="60"/>
    <n v="5120"/>
    <n v="70"/>
    <n v="335"/>
    <n v="190"/>
    <n v="50"/>
    <n v="1000000"/>
    <n v="0.6"/>
    <n v="60"/>
    <n v="50"/>
    <n v="50"/>
    <n v="585"/>
    <n v="40"/>
    <n v="50"/>
    <n v="75"/>
    <n v="19.5"/>
    <x v="4"/>
    <x v="0"/>
  </r>
  <r>
    <x v="585"/>
    <s v="Mebukijikaメブキジカ"/>
    <x v="4"/>
    <x v="8"/>
    <x v="428"/>
    <s v="Chlorophyll"/>
    <s v="Sap Sipper"/>
    <s v="Serene Grace"/>
    <s v=""/>
    <s v=""/>
    <s v=""/>
    <n v="2"/>
    <n v="1"/>
    <n v="1"/>
    <n v="0.5"/>
    <n v="1"/>
    <n v="2"/>
    <n v="2"/>
    <n v="2"/>
    <n v="0"/>
    <n v="0.5"/>
    <n v="0.5"/>
    <n v="2"/>
    <n v="1"/>
    <n v="2"/>
    <n v="1"/>
    <n v="1"/>
    <n v="1"/>
    <n v="0.5"/>
    <n v="100"/>
    <n v="5120"/>
    <n v="70"/>
    <n v="475"/>
    <n v="75"/>
    <n v="70"/>
    <n v="1000000"/>
    <n v="1.9"/>
    <n v="80"/>
    <n v="50"/>
    <n v="50"/>
    <n v="586"/>
    <n v="60"/>
    <n v="70"/>
    <n v="95"/>
    <n v="92.5"/>
    <x v="4"/>
    <x v="0"/>
  </r>
  <r>
    <x v="586"/>
    <s v="Emongaエモンガ"/>
    <x v="6"/>
    <x v="2"/>
    <x v="429"/>
    <s v="Static"/>
    <s v="Motor Drive"/>
    <s v=""/>
    <s v=""/>
    <s v=""/>
    <s v=""/>
    <n v="0.5"/>
    <n v="1"/>
    <n v="1"/>
    <n v="1"/>
    <n v="1"/>
    <n v="0.5"/>
    <n v="1"/>
    <n v="0.5"/>
    <n v="1"/>
    <n v="0.5"/>
    <n v="0"/>
    <n v="2"/>
    <n v="1"/>
    <n v="1"/>
    <n v="1"/>
    <n v="2"/>
    <n v="0.5"/>
    <n v="1"/>
    <n v="75"/>
    <n v="5120"/>
    <n v="70"/>
    <n v="428"/>
    <n v="200"/>
    <n v="60"/>
    <n v="1000000"/>
    <n v="0.4"/>
    <n v="55"/>
    <n v="50"/>
    <n v="50"/>
    <n v="587"/>
    <n v="75"/>
    <n v="60"/>
    <n v="103"/>
    <n v="5"/>
    <x v="4"/>
    <x v="0"/>
  </r>
  <r>
    <x v="587"/>
    <s v="Kaburumoカブルモ"/>
    <x v="3"/>
    <x v="1"/>
    <x v="430"/>
    <s v="Swarm"/>
    <s v="Shed Skin"/>
    <s v="No Guard"/>
    <s v=""/>
    <s v=""/>
    <s v=""/>
    <n v="1"/>
    <n v="1"/>
    <n v="1"/>
    <n v="1"/>
    <n v="1"/>
    <n v="0.5"/>
    <n v="2"/>
    <n v="2"/>
    <n v="1"/>
    <n v="0.5"/>
    <n v="0.5"/>
    <n v="1"/>
    <n v="1"/>
    <n v="1"/>
    <n v="1"/>
    <n v="2"/>
    <n v="1"/>
    <n v="1"/>
    <n v="75"/>
    <n v="3840"/>
    <n v="70"/>
    <n v="315"/>
    <n v="200"/>
    <n v="45"/>
    <n v="1000000"/>
    <n v="0.5"/>
    <n v="50"/>
    <n v="50"/>
    <n v="50"/>
    <n v="588"/>
    <n v="40"/>
    <n v="45"/>
    <n v="60"/>
    <n v="5.9"/>
    <x v="4"/>
    <x v="0"/>
  </r>
  <r>
    <x v="588"/>
    <s v="Chevargoシュバルゴ"/>
    <x v="3"/>
    <x v="11"/>
    <x v="431"/>
    <s v="Swarm"/>
    <s v="Shell Armor"/>
    <s v="Overcoat"/>
    <s v=""/>
    <s v=""/>
    <s v=""/>
    <n v="0.5"/>
    <n v="1"/>
    <n v="0.5"/>
    <n v="1"/>
    <n v="0.5"/>
    <n v="1"/>
    <n v="4"/>
    <n v="1"/>
    <n v="1"/>
    <n v="0.25"/>
    <n v="1"/>
    <n v="0.5"/>
    <n v="0.5"/>
    <n v="0"/>
    <n v="0.5"/>
    <n v="1"/>
    <n v="0.5"/>
    <n v="1"/>
    <n v="135"/>
    <n v="3840"/>
    <n v="70"/>
    <n v="495"/>
    <n v="75"/>
    <n v="105"/>
    <n v="1000000"/>
    <n v="1"/>
    <n v="70"/>
    <n v="50"/>
    <n v="50"/>
    <n v="589"/>
    <n v="60"/>
    <n v="105"/>
    <n v="20"/>
    <n v="33"/>
    <x v="4"/>
    <x v="0"/>
  </r>
  <r>
    <x v="589"/>
    <s v="Tamagetakeタマゲタケ"/>
    <x v="0"/>
    <x v="0"/>
    <x v="25"/>
    <s v="Effect Spore"/>
    <s v="Regenerator"/>
    <s v=""/>
    <s v=""/>
    <s v=""/>
    <s v=""/>
    <n v="1"/>
    <n v="1"/>
    <n v="1"/>
    <n v="0.5"/>
    <n v="0.5"/>
    <n v="0.5"/>
    <n v="2"/>
    <n v="2"/>
    <n v="1"/>
    <n v="0.25"/>
    <n v="1"/>
    <n v="2"/>
    <n v="1"/>
    <n v="1"/>
    <n v="2"/>
    <n v="1"/>
    <n v="1"/>
    <n v="0.5"/>
    <n v="55"/>
    <n v="5120"/>
    <n v="70"/>
    <n v="294"/>
    <n v="190"/>
    <n v="45"/>
    <n v="1000000"/>
    <n v="0.2"/>
    <n v="69"/>
    <n v="50"/>
    <n v="50"/>
    <n v="590"/>
    <n v="55"/>
    <n v="55"/>
    <n v="15"/>
    <n v="1"/>
    <x v="4"/>
    <x v="0"/>
  </r>
  <r>
    <x v="590"/>
    <s v="Morobareruモロバレル"/>
    <x v="0"/>
    <x v="0"/>
    <x v="25"/>
    <s v="Effect Spore"/>
    <s v="Regenerator"/>
    <s v=""/>
    <s v=""/>
    <s v=""/>
    <s v=""/>
    <n v="1"/>
    <n v="1"/>
    <n v="1"/>
    <n v="0.5"/>
    <n v="0.5"/>
    <n v="0.5"/>
    <n v="2"/>
    <n v="2"/>
    <n v="1"/>
    <n v="0.25"/>
    <n v="1"/>
    <n v="2"/>
    <n v="1"/>
    <n v="1"/>
    <n v="2"/>
    <n v="1"/>
    <n v="1"/>
    <n v="0.5"/>
    <n v="85"/>
    <n v="5120"/>
    <n v="70"/>
    <n v="464"/>
    <n v="75"/>
    <n v="70"/>
    <n v="1000000"/>
    <n v="0.6"/>
    <n v="114"/>
    <n v="50"/>
    <n v="50"/>
    <n v="591"/>
    <n v="85"/>
    <n v="80"/>
    <n v="30"/>
    <n v="10.5"/>
    <x v="4"/>
    <x v="0"/>
  </r>
  <r>
    <x v="591"/>
    <s v="Pururillプルリル"/>
    <x v="2"/>
    <x v="16"/>
    <x v="432"/>
    <s v="Water Absorb"/>
    <s v="Cursed Body"/>
    <s v="Damp"/>
    <s v=""/>
    <s v=""/>
    <s v=""/>
    <n v="0.5"/>
    <n v="2"/>
    <n v="1"/>
    <n v="2"/>
    <n v="1"/>
    <n v="0"/>
    <n v="0.5"/>
    <n v="1"/>
    <n v="2"/>
    <n v="2"/>
    <n v="1"/>
    <n v="0.5"/>
    <n v="0"/>
    <n v="0.5"/>
    <n v="1"/>
    <n v="1"/>
    <n v="0.5"/>
    <n v="0.5"/>
    <n v="40"/>
    <n v="5120"/>
    <n v="70"/>
    <n v="335"/>
    <n v="190"/>
    <n v="50"/>
    <n v="1000000"/>
    <n v="1.2"/>
    <n v="55"/>
    <n v="50"/>
    <n v="50"/>
    <n v="592"/>
    <n v="65"/>
    <n v="85"/>
    <n v="40"/>
    <n v="33"/>
    <x v="4"/>
    <x v="0"/>
  </r>
  <r>
    <x v="592"/>
    <s v="Burungelブルンゲル"/>
    <x v="2"/>
    <x v="16"/>
    <x v="432"/>
    <s v="Water Absorb"/>
    <s v="Cursed Body"/>
    <s v="Damp"/>
    <s v=""/>
    <s v=""/>
    <s v=""/>
    <n v="0.5"/>
    <n v="2"/>
    <n v="1"/>
    <n v="2"/>
    <n v="1"/>
    <n v="0"/>
    <n v="0.5"/>
    <n v="1"/>
    <n v="2"/>
    <n v="2"/>
    <n v="1"/>
    <n v="0.5"/>
    <n v="0"/>
    <n v="0.5"/>
    <n v="1"/>
    <n v="1"/>
    <n v="0.5"/>
    <n v="0.5"/>
    <n v="60"/>
    <n v="5120"/>
    <n v="70"/>
    <n v="480"/>
    <n v="60"/>
    <n v="70"/>
    <n v="1000000"/>
    <n v="2.2000000000000002"/>
    <n v="100"/>
    <n v="50"/>
    <n v="50"/>
    <n v="593"/>
    <n v="85"/>
    <n v="105"/>
    <n v="60"/>
    <n v="135"/>
    <x v="4"/>
    <x v="0"/>
  </r>
  <r>
    <x v="593"/>
    <s v="Mamanbouママンボウ"/>
    <x v="2"/>
    <x v="1"/>
    <x v="433"/>
    <s v="Healer"/>
    <s v="Hydration"/>
    <s v="Regenerator"/>
    <s v=""/>
    <s v=""/>
    <s v=""/>
    <n v="1"/>
    <n v="1"/>
    <n v="1"/>
    <n v="2"/>
    <n v="1"/>
    <n v="1"/>
    <n v="0.5"/>
    <n v="1"/>
    <n v="1"/>
    <n v="2"/>
    <n v="1"/>
    <n v="0.5"/>
    <n v="1"/>
    <n v="1"/>
    <n v="1"/>
    <n v="1"/>
    <n v="0.5"/>
    <n v="0.5"/>
    <n v="75"/>
    <n v="10240"/>
    <n v="70"/>
    <n v="470"/>
    <n v="75"/>
    <n v="80"/>
    <n v="800000"/>
    <n v="1.2"/>
    <n v="165"/>
    <n v="50"/>
    <n v="50"/>
    <n v="594"/>
    <n v="40"/>
    <n v="45"/>
    <n v="65"/>
    <n v="31.6"/>
    <x v="4"/>
    <x v="0"/>
  </r>
  <r>
    <x v="594"/>
    <s v="Bachuruバチュル"/>
    <x v="3"/>
    <x v="4"/>
    <x v="434"/>
    <s v="Compoundeyes"/>
    <s v="Unnerve"/>
    <s v="Swarm"/>
    <s v=""/>
    <s v=""/>
    <s v=""/>
    <n v="1"/>
    <n v="1"/>
    <n v="1"/>
    <n v="0.5"/>
    <n v="1"/>
    <n v="0.5"/>
    <n v="2"/>
    <n v="1"/>
    <n v="1"/>
    <n v="0.5"/>
    <n v="1"/>
    <n v="1"/>
    <n v="1"/>
    <n v="1"/>
    <n v="1"/>
    <n v="2"/>
    <n v="0.5"/>
    <n v="1"/>
    <n v="47"/>
    <n v="5120"/>
    <n v="70"/>
    <n v="319"/>
    <n v="190"/>
    <n v="50"/>
    <n v="1000000"/>
    <n v="0.1"/>
    <n v="50"/>
    <n v="50"/>
    <n v="50"/>
    <n v="595"/>
    <n v="57"/>
    <n v="50"/>
    <n v="65"/>
    <n v="0.6"/>
    <x v="4"/>
    <x v="0"/>
  </r>
  <r>
    <x v="595"/>
    <s v="Dentulaデンチュラ"/>
    <x v="3"/>
    <x v="4"/>
    <x v="435"/>
    <s v="Compoundeyes"/>
    <s v="Unnerve"/>
    <s v="Swarm"/>
    <s v=""/>
    <s v=""/>
    <s v=""/>
    <n v="1"/>
    <n v="1"/>
    <n v="1"/>
    <n v="0.5"/>
    <n v="1"/>
    <n v="0.5"/>
    <n v="2"/>
    <n v="1"/>
    <n v="1"/>
    <n v="0.5"/>
    <n v="1"/>
    <n v="1"/>
    <n v="1"/>
    <n v="1"/>
    <n v="1"/>
    <n v="2"/>
    <n v="0.5"/>
    <n v="1"/>
    <n v="77"/>
    <n v="5120"/>
    <n v="70"/>
    <n v="472"/>
    <n v="75"/>
    <n v="60"/>
    <n v="1000000"/>
    <n v="0.8"/>
    <n v="70"/>
    <n v="50"/>
    <n v="50"/>
    <n v="596"/>
    <n v="97"/>
    <n v="60"/>
    <n v="108"/>
    <n v="14.3"/>
    <x v="4"/>
    <x v="0"/>
  </r>
  <r>
    <x v="596"/>
    <s v="Tesseedテッシード"/>
    <x v="0"/>
    <x v="11"/>
    <x v="436"/>
    <s v="Iron Barbs"/>
    <s v=""/>
    <s v=""/>
    <s v=""/>
    <s v=""/>
    <s v=""/>
    <n v="1"/>
    <n v="1"/>
    <n v="0.5"/>
    <n v="0.5"/>
    <n v="0.5"/>
    <n v="2"/>
    <n v="4"/>
    <n v="1"/>
    <n v="1"/>
    <n v="0.25"/>
    <n v="1"/>
    <n v="1"/>
    <n v="0.5"/>
    <n v="0"/>
    <n v="0.5"/>
    <n v="0.5"/>
    <n v="0.5"/>
    <n v="0.5"/>
    <n v="50"/>
    <n v="5120"/>
    <n v="70"/>
    <n v="305"/>
    <n v="255"/>
    <n v="91"/>
    <n v="1000000"/>
    <n v="0.6"/>
    <n v="44"/>
    <n v="50"/>
    <n v="50"/>
    <n v="597"/>
    <n v="24"/>
    <n v="86"/>
    <n v="10"/>
    <n v="18.8"/>
    <x v="4"/>
    <x v="0"/>
  </r>
  <r>
    <x v="597"/>
    <s v="Nutreyナットレイ"/>
    <x v="0"/>
    <x v="11"/>
    <x v="437"/>
    <s v="Iron Barbs"/>
    <s v="Anticipation"/>
    <s v=""/>
    <s v=""/>
    <s v=""/>
    <s v=""/>
    <n v="1"/>
    <n v="1"/>
    <n v="0.5"/>
    <n v="0.5"/>
    <n v="0.5"/>
    <n v="2"/>
    <n v="4"/>
    <n v="1"/>
    <n v="1"/>
    <n v="0.25"/>
    <n v="1"/>
    <n v="1"/>
    <n v="0.5"/>
    <n v="0"/>
    <n v="0.5"/>
    <n v="0.5"/>
    <n v="0.5"/>
    <n v="0.5"/>
    <n v="94"/>
    <n v="5120"/>
    <n v="70"/>
    <n v="489"/>
    <n v="90"/>
    <n v="131"/>
    <n v="1000000"/>
    <n v="1"/>
    <n v="74"/>
    <n v="50"/>
    <n v="50"/>
    <n v="598"/>
    <n v="54"/>
    <n v="116"/>
    <n v="20"/>
    <n v="110"/>
    <x v="4"/>
    <x v="0"/>
  </r>
  <r>
    <x v="598"/>
    <s v="Giaruギアル"/>
    <x v="16"/>
    <x v="1"/>
    <x v="438"/>
    <s v="Plus"/>
    <s v="Minus"/>
    <s v="Clear Body"/>
    <s v=""/>
    <s v=""/>
    <s v=""/>
    <n v="0.5"/>
    <n v="1"/>
    <n v="0.5"/>
    <n v="1"/>
    <n v="0.5"/>
    <n v="2"/>
    <n v="2"/>
    <n v="0.5"/>
    <n v="1"/>
    <n v="0.5"/>
    <n v="2"/>
    <n v="0.5"/>
    <n v="0.5"/>
    <n v="0"/>
    <n v="0.5"/>
    <n v="0.5"/>
    <n v="0.5"/>
    <n v="1"/>
    <n v="55"/>
    <n v="5120"/>
    <n v="70"/>
    <n v="300"/>
    <n v="130"/>
    <n v="70"/>
    <n v="1059860"/>
    <n v="0.3"/>
    <n v="40"/>
    <s v=""/>
    <s v=""/>
    <n v="599"/>
    <n v="45"/>
    <n v="60"/>
    <n v="30"/>
    <n v="21"/>
    <x v="4"/>
    <x v="0"/>
  </r>
  <r>
    <x v="599"/>
    <s v="Gigiaruギギアル"/>
    <x v="16"/>
    <x v="1"/>
    <x v="438"/>
    <s v="Plus"/>
    <s v="Minus"/>
    <s v="Clear Body"/>
    <s v=""/>
    <s v=""/>
    <s v=""/>
    <n v="0.5"/>
    <n v="1"/>
    <n v="0.5"/>
    <n v="1"/>
    <n v="0.5"/>
    <n v="2"/>
    <n v="2"/>
    <n v="0.5"/>
    <n v="1"/>
    <n v="0.5"/>
    <n v="2"/>
    <n v="0.5"/>
    <n v="0.5"/>
    <n v="0"/>
    <n v="0.5"/>
    <n v="0.5"/>
    <n v="0.5"/>
    <n v="1"/>
    <n v="80"/>
    <n v="5120"/>
    <n v="70"/>
    <n v="440"/>
    <n v="60"/>
    <n v="95"/>
    <n v="1059860"/>
    <n v="0.6"/>
    <n v="60"/>
    <s v=""/>
    <s v=""/>
    <n v="600"/>
    <n v="70"/>
    <n v="85"/>
    <n v="50"/>
    <n v="51"/>
    <x v="4"/>
    <x v="0"/>
  </r>
  <r>
    <x v="600"/>
    <s v="Gigigiaruギギギアル"/>
    <x v="16"/>
    <x v="1"/>
    <x v="438"/>
    <s v="Plus"/>
    <s v="Minus"/>
    <s v="Clear Body"/>
    <s v=""/>
    <s v=""/>
    <s v=""/>
    <n v="0.5"/>
    <n v="1"/>
    <n v="0.5"/>
    <n v="1"/>
    <n v="0.5"/>
    <n v="2"/>
    <n v="2"/>
    <n v="0.5"/>
    <n v="1"/>
    <n v="0.5"/>
    <n v="2"/>
    <n v="0.5"/>
    <n v="0.5"/>
    <n v="0"/>
    <n v="0.5"/>
    <n v="0.5"/>
    <n v="0.5"/>
    <n v="1"/>
    <n v="100"/>
    <n v="5120"/>
    <n v="70"/>
    <n v="520"/>
    <n v="30"/>
    <n v="115"/>
    <n v="1059860"/>
    <n v="0.6"/>
    <n v="60"/>
    <s v=""/>
    <s v=""/>
    <n v="601"/>
    <n v="70"/>
    <n v="85"/>
    <n v="90"/>
    <n v="81"/>
    <x v="4"/>
    <x v="0"/>
  </r>
  <r>
    <x v="601"/>
    <s v="Shibishirasuシビシラス"/>
    <x v="6"/>
    <x v="1"/>
    <x v="439"/>
    <s v="Levitate"/>
    <s v=""/>
    <s v=""/>
    <s v=""/>
    <s v=""/>
    <s v=""/>
    <n v="1"/>
    <n v="1"/>
    <n v="1"/>
    <n v="0.5"/>
    <n v="1"/>
    <n v="1"/>
    <n v="1"/>
    <n v="0.5"/>
    <n v="1"/>
    <n v="1"/>
    <n v="2"/>
    <n v="1"/>
    <n v="1"/>
    <n v="1"/>
    <n v="1"/>
    <n v="1"/>
    <n v="0.5"/>
    <n v="1"/>
    <n v="55"/>
    <n v="5120"/>
    <n v="70"/>
    <n v="275"/>
    <n v="190"/>
    <n v="40"/>
    <n v="1250000"/>
    <n v="0.2"/>
    <n v="35"/>
    <n v="50"/>
    <n v="50"/>
    <n v="602"/>
    <n v="45"/>
    <n v="40"/>
    <n v="60"/>
    <n v="0.3"/>
    <x v="4"/>
    <x v="0"/>
  </r>
  <r>
    <x v="602"/>
    <s v="Shibibeelシビビール"/>
    <x v="6"/>
    <x v="1"/>
    <x v="439"/>
    <s v="Levitate"/>
    <s v=""/>
    <s v=""/>
    <s v=""/>
    <s v=""/>
    <s v=""/>
    <n v="1"/>
    <n v="1"/>
    <n v="1"/>
    <n v="0.5"/>
    <n v="1"/>
    <n v="1"/>
    <n v="1"/>
    <n v="0.5"/>
    <n v="1"/>
    <n v="1"/>
    <n v="2"/>
    <n v="1"/>
    <n v="1"/>
    <n v="1"/>
    <n v="1"/>
    <n v="1"/>
    <n v="0.5"/>
    <n v="1"/>
    <n v="85"/>
    <n v="5120"/>
    <n v="70"/>
    <n v="405"/>
    <n v="60"/>
    <n v="70"/>
    <n v="1250000"/>
    <n v="1.2"/>
    <n v="65"/>
    <n v="50"/>
    <n v="50"/>
    <n v="603"/>
    <n v="75"/>
    <n v="70"/>
    <n v="40"/>
    <n v="22"/>
    <x v="4"/>
    <x v="0"/>
  </r>
  <r>
    <x v="603"/>
    <s v="Shibirudonシビルドン"/>
    <x v="6"/>
    <x v="1"/>
    <x v="439"/>
    <s v="Levitate"/>
    <s v=""/>
    <s v=""/>
    <s v=""/>
    <s v=""/>
    <s v=""/>
    <n v="1"/>
    <n v="1"/>
    <n v="1"/>
    <n v="0.5"/>
    <n v="1"/>
    <n v="1"/>
    <n v="1"/>
    <n v="0.5"/>
    <n v="1"/>
    <n v="1"/>
    <n v="2"/>
    <n v="1"/>
    <n v="1"/>
    <n v="1"/>
    <n v="1"/>
    <n v="1"/>
    <n v="0.5"/>
    <n v="1"/>
    <n v="115"/>
    <n v="5120"/>
    <n v="70"/>
    <n v="515"/>
    <n v="30"/>
    <n v="80"/>
    <n v="1250000"/>
    <n v="2.1"/>
    <n v="85"/>
    <n v="50"/>
    <n v="50"/>
    <n v="604"/>
    <n v="105"/>
    <n v="80"/>
    <n v="50"/>
    <n v="80.5"/>
    <x v="4"/>
    <x v="0"/>
  </r>
  <r>
    <x v="604"/>
    <s v="Ligrayリグレー"/>
    <x v="10"/>
    <x v="1"/>
    <x v="440"/>
    <s v="Telepathy"/>
    <s v="Synchronize"/>
    <s v="Analytic"/>
    <s v=""/>
    <s v=""/>
    <s v=""/>
    <n v="2"/>
    <n v="2"/>
    <n v="1"/>
    <n v="1"/>
    <n v="1"/>
    <n v="0.5"/>
    <n v="1"/>
    <n v="1"/>
    <n v="2"/>
    <n v="1"/>
    <n v="1"/>
    <n v="1"/>
    <n v="1"/>
    <n v="1"/>
    <n v="0.5"/>
    <n v="1"/>
    <n v="1"/>
    <n v="1"/>
    <n v="55"/>
    <n v="5120"/>
    <n v="70"/>
    <n v="335"/>
    <n v="255"/>
    <n v="55"/>
    <n v="1000000"/>
    <n v="0.5"/>
    <n v="55"/>
    <n v="50"/>
    <n v="50"/>
    <n v="605"/>
    <n v="85"/>
    <n v="55"/>
    <n v="30"/>
    <n v="9"/>
    <x v="4"/>
    <x v="0"/>
  </r>
  <r>
    <x v="605"/>
    <s v="Ohbemオーベム"/>
    <x v="10"/>
    <x v="1"/>
    <x v="440"/>
    <s v="Telepathy"/>
    <s v="Synchronize"/>
    <s v="Analytic"/>
    <s v=""/>
    <s v=""/>
    <s v=""/>
    <n v="2"/>
    <n v="2"/>
    <n v="1"/>
    <n v="1"/>
    <n v="1"/>
    <n v="0.5"/>
    <n v="1"/>
    <n v="1"/>
    <n v="2"/>
    <n v="1"/>
    <n v="1"/>
    <n v="1"/>
    <n v="1"/>
    <n v="1"/>
    <n v="0.5"/>
    <n v="1"/>
    <n v="1"/>
    <n v="1"/>
    <n v="75"/>
    <n v="5120"/>
    <n v="70"/>
    <n v="485"/>
    <n v="90"/>
    <n v="75"/>
    <n v="1000000"/>
    <n v="1"/>
    <n v="75"/>
    <n v="50"/>
    <n v="50"/>
    <n v="606"/>
    <n v="125"/>
    <n v="95"/>
    <n v="40"/>
    <n v="34.5"/>
    <x v="4"/>
    <x v="0"/>
  </r>
  <r>
    <x v="606"/>
    <s v="Hitomoshiヒトモシ"/>
    <x v="12"/>
    <x v="12"/>
    <x v="441"/>
    <s v="Flash Fire"/>
    <s v="Flame Body"/>
    <s v="Infiltrator"/>
    <s v=""/>
    <s v=""/>
    <s v=""/>
    <n v="0.25"/>
    <n v="2"/>
    <n v="1"/>
    <n v="1"/>
    <n v="0.5"/>
    <n v="0"/>
    <n v="0.5"/>
    <n v="1"/>
    <n v="2"/>
    <n v="0.5"/>
    <n v="2"/>
    <n v="0.5"/>
    <n v="0"/>
    <n v="0.5"/>
    <n v="1"/>
    <n v="2"/>
    <n v="0.5"/>
    <n v="2"/>
    <n v="30"/>
    <n v="5120"/>
    <n v="70"/>
    <n v="275"/>
    <n v="190"/>
    <n v="55"/>
    <n v="1059860"/>
    <n v="0.3"/>
    <n v="50"/>
    <n v="50"/>
    <n v="50"/>
    <n v="607"/>
    <n v="65"/>
    <n v="55"/>
    <n v="20"/>
    <n v="3.1"/>
    <x v="4"/>
    <x v="0"/>
  </r>
  <r>
    <x v="607"/>
    <s v="Lamplerランプラー"/>
    <x v="12"/>
    <x v="12"/>
    <x v="442"/>
    <s v="Flash Fire"/>
    <s v="Flame Body"/>
    <s v="Infiltrator"/>
    <s v=""/>
    <s v=""/>
    <s v=""/>
    <n v="0.25"/>
    <n v="2"/>
    <n v="1"/>
    <n v="1"/>
    <n v="0.5"/>
    <n v="0"/>
    <n v="0.5"/>
    <n v="1"/>
    <n v="2"/>
    <n v="0.5"/>
    <n v="2"/>
    <n v="0.5"/>
    <n v="0"/>
    <n v="0.5"/>
    <n v="1"/>
    <n v="2"/>
    <n v="0.5"/>
    <n v="2"/>
    <n v="40"/>
    <n v="5120"/>
    <n v="70"/>
    <n v="370"/>
    <n v="90"/>
    <n v="60"/>
    <n v="1059860"/>
    <n v="0.6"/>
    <n v="60"/>
    <n v="50"/>
    <n v="50"/>
    <n v="608"/>
    <n v="95"/>
    <n v="60"/>
    <n v="55"/>
    <n v="13"/>
    <x v="4"/>
    <x v="0"/>
  </r>
  <r>
    <x v="608"/>
    <s v="Chandelaシャンデラ"/>
    <x v="12"/>
    <x v="12"/>
    <x v="443"/>
    <s v="Flash Fire"/>
    <s v="Flame Body"/>
    <s v="Infiltrator"/>
    <s v=""/>
    <s v=""/>
    <s v=""/>
    <n v="0.25"/>
    <n v="2"/>
    <n v="1"/>
    <n v="1"/>
    <n v="0.5"/>
    <n v="0"/>
    <n v="0.5"/>
    <n v="1"/>
    <n v="2"/>
    <n v="0.5"/>
    <n v="2"/>
    <n v="0.5"/>
    <n v="0"/>
    <n v="0.5"/>
    <n v="1"/>
    <n v="2"/>
    <n v="0.5"/>
    <n v="2"/>
    <n v="55"/>
    <n v="5120"/>
    <n v="70"/>
    <n v="520"/>
    <n v="45"/>
    <n v="90"/>
    <n v="1059860"/>
    <n v="1"/>
    <n v="60"/>
    <n v="50"/>
    <n v="50"/>
    <n v="609"/>
    <n v="145"/>
    <n v="90"/>
    <n v="80"/>
    <n v="34.299999999999997"/>
    <x v="4"/>
    <x v="0"/>
  </r>
  <r>
    <x v="609"/>
    <s v="Kibagoキバゴ"/>
    <x v="14"/>
    <x v="1"/>
    <x v="444"/>
    <s v="Rivalry"/>
    <s v="Mold Breaker"/>
    <s v="Unnerve"/>
    <s v=""/>
    <s v=""/>
    <s v=""/>
    <n v="1"/>
    <n v="1"/>
    <n v="2"/>
    <n v="0.5"/>
    <n v="2"/>
    <n v="1"/>
    <n v="0.5"/>
    <n v="1"/>
    <n v="1"/>
    <n v="0.5"/>
    <n v="1"/>
    <n v="2"/>
    <n v="1"/>
    <n v="1"/>
    <n v="1"/>
    <n v="1"/>
    <n v="1"/>
    <n v="0.5"/>
    <n v="87"/>
    <n v="10240"/>
    <n v="35"/>
    <n v="320"/>
    <n v="75"/>
    <n v="60"/>
    <n v="1250000"/>
    <n v="0.6"/>
    <n v="46"/>
    <n v="50"/>
    <n v="50"/>
    <n v="610"/>
    <n v="30"/>
    <n v="40"/>
    <n v="57"/>
    <n v="18"/>
    <x v="4"/>
    <x v="0"/>
  </r>
  <r>
    <x v="610"/>
    <s v="Onondoオノンド"/>
    <x v="14"/>
    <x v="1"/>
    <x v="445"/>
    <s v="Rivalry"/>
    <s v="Mold Breaker"/>
    <s v="Unnerve"/>
    <s v=""/>
    <s v=""/>
    <s v=""/>
    <n v="1"/>
    <n v="1"/>
    <n v="2"/>
    <n v="0.5"/>
    <n v="2"/>
    <n v="1"/>
    <n v="0.5"/>
    <n v="1"/>
    <n v="1"/>
    <n v="0.5"/>
    <n v="1"/>
    <n v="2"/>
    <n v="1"/>
    <n v="1"/>
    <n v="1"/>
    <n v="1"/>
    <n v="1"/>
    <n v="0.5"/>
    <n v="117"/>
    <n v="10240"/>
    <n v="35"/>
    <n v="410"/>
    <n v="60"/>
    <n v="70"/>
    <n v="1250000"/>
    <n v="1"/>
    <n v="66"/>
    <n v="50"/>
    <n v="50"/>
    <n v="611"/>
    <n v="40"/>
    <n v="50"/>
    <n v="67"/>
    <n v="36"/>
    <x v="4"/>
    <x v="0"/>
  </r>
  <r>
    <x v="611"/>
    <s v="Ononokusオノノクス"/>
    <x v="14"/>
    <x v="1"/>
    <x v="445"/>
    <s v="Rivalry"/>
    <s v="Mold Breaker"/>
    <s v="Unnerve"/>
    <s v=""/>
    <s v=""/>
    <s v=""/>
    <n v="1"/>
    <n v="1"/>
    <n v="2"/>
    <n v="0.5"/>
    <n v="2"/>
    <n v="1"/>
    <n v="0.5"/>
    <n v="1"/>
    <n v="1"/>
    <n v="0.5"/>
    <n v="1"/>
    <n v="2"/>
    <n v="1"/>
    <n v="1"/>
    <n v="1"/>
    <n v="1"/>
    <n v="1"/>
    <n v="0.5"/>
    <n v="147"/>
    <n v="10240"/>
    <n v="35"/>
    <n v="540"/>
    <n v="45"/>
    <n v="90"/>
    <n v="1250000"/>
    <n v="1.8"/>
    <n v="76"/>
    <n v="50"/>
    <n v="50"/>
    <n v="612"/>
    <n v="60"/>
    <n v="70"/>
    <n v="97"/>
    <n v="105.5"/>
    <x v="4"/>
    <x v="0"/>
  </r>
  <r>
    <x v="612"/>
    <s v="Kumasyunクマシュン"/>
    <x v="13"/>
    <x v="1"/>
    <x v="446"/>
    <s v="Snow Cloak"/>
    <s v="Slush Rush"/>
    <s v="Rattled"/>
    <s v=""/>
    <s v=""/>
    <s v=""/>
    <n v="1"/>
    <n v="1"/>
    <n v="1"/>
    <n v="1"/>
    <n v="1"/>
    <n v="2"/>
    <n v="2"/>
    <n v="1"/>
    <n v="1"/>
    <n v="1"/>
    <n v="1"/>
    <n v="0.5"/>
    <n v="1"/>
    <n v="1"/>
    <n v="1"/>
    <n v="2"/>
    <n v="2"/>
    <n v="1"/>
    <n v="70"/>
    <n v="5120"/>
    <n v="70"/>
    <n v="305"/>
    <n v="120"/>
    <n v="40"/>
    <n v="1000000"/>
    <n v="0.5"/>
    <n v="55"/>
    <n v="50"/>
    <n v="50"/>
    <n v="613"/>
    <n v="60"/>
    <n v="40"/>
    <n v="40"/>
    <n v="8.5"/>
    <x v="4"/>
    <x v="0"/>
  </r>
  <r>
    <x v="613"/>
    <s v="Tunbearツンベアー"/>
    <x v="13"/>
    <x v="1"/>
    <x v="447"/>
    <s v="Snow Cloak"/>
    <s v="Slush Rush"/>
    <s v="Swift Swim"/>
    <s v=""/>
    <s v=""/>
    <s v=""/>
    <n v="1"/>
    <n v="1"/>
    <n v="1"/>
    <n v="1"/>
    <n v="1"/>
    <n v="2"/>
    <n v="2"/>
    <n v="1"/>
    <n v="1"/>
    <n v="1"/>
    <n v="1"/>
    <n v="0.5"/>
    <n v="1"/>
    <n v="1"/>
    <n v="1"/>
    <n v="2"/>
    <n v="2"/>
    <n v="1"/>
    <n v="130"/>
    <n v="5120"/>
    <n v="70"/>
    <n v="505"/>
    <n v="60"/>
    <n v="80"/>
    <n v="1000000"/>
    <n v="2.6"/>
    <n v="95"/>
    <n v="50"/>
    <n v="50"/>
    <n v="614"/>
    <n v="70"/>
    <n v="80"/>
    <n v="50"/>
    <n v="260"/>
    <x v="4"/>
    <x v="0"/>
  </r>
  <r>
    <x v="614"/>
    <s v="Freegeoフリージオ"/>
    <x v="13"/>
    <x v="1"/>
    <x v="448"/>
    <s v="Levitate"/>
    <s v=""/>
    <s v=""/>
    <s v=""/>
    <s v=""/>
    <s v=""/>
    <n v="1"/>
    <n v="1"/>
    <n v="1"/>
    <n v="1"/>
    <n v="1"/>
    <n v="2"/>
    <n v="2"/>
    <n v="1"/>
    <n v="1"/>
    <n v="1"/>
    <n v="1"/>
    <n v="0.5"/>
    <n v="1"/>
    <n v="1"/>
    <n v="1"/>
    <n v="2"/>
    <n v="2"/>
    <n v="1"/>
    <n v="50"/>
    <n v="6400"/>
    <n v="70"/>
    <n v="515"/>
    <n v="25"/>
    <n v="50"/>
    <n v="1000000"/>
    <n v="1.1000000000000001"/>
    <n v="80"/>
    <s v=""/>
    <s v=""/>
    <n v="615"/>
    <n v="95"/>
    <n v="135"/>
    <n v="105"/>
    <n v="148"/>
    <x v="4"/>
    <x v="0"/>
  </r>
  <r>
    <x v="615"/>
    <s v="Chobomakiチョボマキ"/>
    <x v="3"/>
    <x v="1"/>
    <x v="449"/>
    <s v="Hydration"/>
    <s v="Shell Armor"/>
    <s v="Overcoat"/>
    <s v=""/>
    <s v=""/>
    <s v=""/>
    <n v="1"/>
    <n v="1"/>
    <n v="1"/>
    <n v="1"/>
    <n v="1"/>
    <n v="0.5"/>
    <n v="2"/>
    <n v="2"/>
    <n v="1"/>
    <n v="0.5"/>
    <n v="0.5"/>
    <n v="1"/>
    <n v="1"/>
    <n v="1"/>
    <n v="1"/>
    <n v="2"/>
    <n v="1"/>
    <n v="1"/>
    <n v="40"/>
    <n v="3840"/>
    <n v="70"/>
    <n v="305"/>
    <n v="200"/>
    <n v="85"/>
    <n v="1000000"/>
    <n v="0.4"/>
    <n v="50"/>
    <n v="50"/>
    <n v="50"/>
    <n v="616"/>
    <n v="40"/>
    <n v="65"/>
    <n v="25"/>
    <n v="7.7"/>
    <x v="4"/>
    <x v="0"/>
  </r>
  <r>
    <x v="616"/>
    <s v="Agilderアギルダー"/>
    <x v="3"/>
    <x v="1"/>
    <x v="450"/>
    <s v="Hydration"/>
    <s v="Sticky Hold"/>
    <s v="Unburden"/>
    <s v=""/>
    <s v=""/>
    <s v=""/>
    <n v="1"/>
    <n v="1"/>
    <n v="1"/>
    <n v="1"/>
    <n v="1"/>
    <n v="0.5"/>
    <n v="2"/>
    <n v="2"/>
    <n v="1"/>
    <n v="0.5"/>
    <n v="0.5"/>
    <n v="1"/>
    <n v="1"/>
    <n v="1"/>
    <n v="1"/>
    <n v="2"/>
    <n v="1"/>
    <n v="1"/>
    <n v="70"/>
    <n v="3840"/>
    <n v="70"/>
    <n v="495"/>
    <n v="75"/>
    <n v="40"/>
    <n v="1000000"/>
    <n v="0.8"/>
    <n v="80"/>
    <n v="50"/>
    <n v="50"/>
    <n v="617"/>
    <n v="100"/>
    <n v="60"/>
    <n v="145"/>
    <n v="25.3"/>
    <x v="4"/>
    <x v="0"/>
  </r>
  <r>
    <x v="617"/>
    <s v="Maggyoマッギョ"/>
    <x v="7"/>
    <x v="4"/>
    <x v="451"/>
    <s v="Static"/>
    <s v="Limber"/>
    <s v="Sand Veil"/>
    <s v=""/>
    <s v=""/>
    <s v=""/>
    <n v="1"/>
    <n v="1"/>
    <n v="1"/>
    <n v="0"/>
    <n v="1"/>
    <n v="1"/>
    <n v="1"/>
    <n v="0.5"/>
    <n v="1"/>
    <n v="2"/>
    <n v="2"/>
    <n v="2"/>
    <n v="1"/>
    <n v="0.5"/>
    <n v="1"/>
    <n v="0.5"/>
    <n v="0.5"/>
    <n v="2"/>
    <n v="66"/>
    <n v="5120"/>
    <n v="70"/>
    <n v="471"/>
    <n v="75"/>
    <n v="84"/>
    <n v="1000000"/>
    <n v="0.7"/>
    <n v="109"/>
    <n v="50"/>
    <n v="50"/>
    <n v="618"/>
    <n v="81"/>
    <n v="99"/>
    <n v="32"/>
    <n v="11"/>
    <x v="4"/>
    <x v="0"/>
  </r>
  <r>
    <x v="618"/>
    <s v="Kojofuコジョフー"/>
    <x v="9"/>
    <x v="1"/>
    <x v="452"/>
    <s v="Inner Focus"/>
    <s v="Regenerator"/>
    <s v="Reckless"/>
    <s v=""/>
    <s v=""/>
    <s v=""/>
    <n v="0.5"/>
    <n v="0.5"/>
    <n v="1"/>
    <n v="1"/>
    <n v="2"/>
    <n v="1"/>
    <n v="1"/>
    <n v="2"/>
    <n v="1"/>
    <n v="1"/>
    <n v="1"/>
    <n v="1"/>
    <n v="1"/>
    <n v="1"/>
    <n v="2"/>
    <n v="0.5"/>
    <n v="1"/>
    <n v="1"/>
    <n v="85"/>
    <n v="6400"/>
    <n v="70"/>
    <n v="350"/>
    <n v="180"/>
    <n v="50"/>
    <n v="1059860"/>
    <n v="0.9"/>
    <n v="45"/>
    <n v="50"/>
    <n v="50"/>
    <n v="619"/>
    <n v="55"/>
    <n v="50"/>
    <n v="65"/>
    <n v="20"/>
    <x v="4"/>
    <x v="0"/>
  </r>
  <r>
    <x v="619"/>
    <s v="Kojondoコジョンド"/>
    <x v="9"/>
    <x v="1"/>
    <x v="452"/>
    <s v="Inner Focus"/>
    <s v="Regenerator"/>
    <s v="Reckless"/>
    <s v=""/>
    <s v=""/>
    <s v=""/>
    <n v="0.5"/>
    <n v="0.5"/>
    <n v="1"/>
    <n v="1"/>
    <n v="2"/>
    <n v="1"/>
    <n v="1"/>
    <n v="2"/>
    <n v="1"/>
    <n v="1"/>
    <n v="1"/>
    <n v="1"/>
    <n v="1"/>
    <n v="1"/>
    <n v="2"/>
    <n v="0.5"/>
    <n v="1"/>
    <n v="1"/>
    <n v="125"/>
    <n v="6400"/>
    <n v="70"/>
    <n v="510"/>
    <n v="45"/>
    <n v="60"/>
    <n v="1059860"/>
    <n v="1.4"/>
    <n v="65"/>
    <n v="50"/>
    <n v="50"/>
    <n v="620"/>
    <n v="95"/>
    <n v="60"/>
    <n v="105"/>
    <n v="35.5"/>
    <x v="4"/>
    <x v="0"/>
  </r>
  <r>
    <x v="620"/>
    <s v="Crimganクリムガン"/>
    <x v="14"/>
    <x v="1"/>
    <x v="316"/>
    <s v="Rough Skin"/>
    <s v="Sheer Force"/>
    <s v="Mold Breaker"/>
    <s v=""/>
    <s v=""/>
    <s v=""/>
    <n v="1"/>
    <n v="1"/>
    <n v="2"/>
    <n v="0.5"/>
    <n v="2"/>
    <n v="1"/>
    <n v="0.5"/>
    <n v="1"/>
    <n v="1"/>
    <n v="0.5"/>
    <n v="1"/>
    <n v="2"/>
    <n v="1"/>
    <n v="1"/>
    <n v="1"/>
    <n v="1"/>
    <n v="1"/>
    <n v="0.5"/>
    <n v="120"/>
    <n v="7680"/>
    <n v="70"/>
    <n v="485"/>
    <n v="45"/>
    <n v="90"/>
    <n v="1000000"/>
    <n v="1.6"/>
    <n v="77"/>
    <n v="50"/>
    <n v="50"/>
    <n v="621"/>
    <n v="60"/>
    <n v="90"/>
    <n v="48"/>
    <n v="139"/>
    <x v="4"/>
    <x v="0"/>
  </r>
  <r>
    <x v="621"/>
    <s v="Gobitゴビット"/>
    <x v="7"/>
    <x v="16"/>
    <x v="453"/>
    <s v="Iron Fist"/>
    <s v="Klutz"/>
    <s v="No Guard"/>
    <s v=""/>
    <s v=""/>
    <s v=""/>
    <n v="0.5"/>
    <n v="2"/>
    <n v="1"/>
    <n v="0"/>
    <n v="1"/>
    <n v="0"/>
    <n v="1"/>
    <n v="1"/>
    <n v="2"/>
    <n v="2"/>
    <n v="1"/>
    <n v="2"/>
    <n v="0"/>
    <n v="0.25"/>
    <n v="1"/>
    <n v="0.5"/>
    <n v="1"/>
    <n v="2"/>
    <n v="74"/>
    <n v="6400"/>
    <n v="70"/>
    <n v="303"/>
    <n v="190"/>
    <n v="50"/>
    <n v="1000000"/>
    <n v="1"/>
    <n v="59"/>
    <s v=""/>
    <s v=""/>
    <n v="622"/>
    <n v="35"/>
    <n v="50"/>
    <n v="35"/>
    <n v="92"/>
    <x v="4"/>
    <x v="0"/>
  </r>
  <r>
    <x v="622"/>
    <s v="Goloogゴルーグ"/>
    <x v="7"/>
    <x v="16"/>
    <x v="453"/>
    <s v="Iron Fist"/>
    <s v="Klutz"/>
    <s v="No Guard"/>
    <s v=""/>
    <s v=""/>
    <s v=""/>
    <n v="0.5"/>
    <n v="2"/>
    <n v="1"/>
    <n v="0"/>
    <n v="1"/>
    <n v="0"/>
    <n v="1"/>
    <n v="1"/>
    <n v="2"/>
    <n v="2"/>
    <n v="1"/>
    <n v="2"/>
    <n v="0"/>
    <n v="0.25"/>
    <n v="1"/>
    <n v="0.5"/>
    <n v="1"/>
    <n v="2"/>
    <n v="124"/>
    <n v="6400"/>
    <n v="70"/>
    <n v="483"/>
    <n v="90"/>
    <n v="80"/>
    <n v="1000000"/>
    <n v="2.8"/>
    <n v="89"/>
    <s v=""/>
    <s v=""/>
    <n v="623"/>
    <n v="55"/>
    <n v="80"/>
    <n v="55"/>
    <n v="330"/>
    <x v="4"/>
    <x v="0"/>
  </r>
  <r>
    <x v="623"/>
    <s v="Komatanaコマタナ"/>
    <x v="15"/>
    <x v="11"/>
    <x v="454"/>
    <s v="Defiant"/>
    <s v="Inner Focus"/>
    <s v="Pressure"/>
    <s v=""/>
    <s v=""/>
    <s v=""/>
    <n v="1"/>
    <n v="0.5"/>
    <n v="0.5"/>
    <n v="1"/>
    <n v="1"/>
    <n v="4"/>
    <n v="2"/>
    <n v="0.5"/>
    <n v="0.5"/>
    <n v="0.5"/>
    <n v="2"/>
    <n v="0.5"/>
    <n v="0.5"/>
    <n v="0"/>
    <n v="0"/>
    <n v="0.5"/>
    <n v="0.5"/>
    <n v="1"/>
    <n v="85"/>
    <n v="5120"/>
    <n v="35"/>
    <n v="340"/>
    <n v="120"/>
    <n v="70"/>
    <n v="1000000"/>
    <n v="0.5"/>
    <n v="45"/>
    <n v="50"/>
    <n v="50"/>
    <n v="624"/>
    <n v="40"/>
    <n v="40"/>
    <n v="60"/>
    <n v="10.199999999999999"/>
    <x v="4"/>
    <x v="0"/>
  </r>
  <r>
    <x v="624"/>
    <s v="Kirikizanキリキザン"/>
    <x v="15"/>
    <x v="11"/>
    <x v="455"/>
    <s v="Defiant"/>
    <s v="Inner Focus"/>
    <s v="Pressure"/>
    <s v=""/>
    <s v=""/>
    <s v=""/>
    <n v="1"/>
    <n v="0.5"/>
    <n v="0.5"/>
    <n v="1"/>
    <n v="1"/>
    <n v="4"/>
    <n v="2"/>
    <n v="0.5"/>
    <n v="0.5"/>
    <n v="0.5"/>
    <n v="2"/>
    <n v="0.5"/>
    <n v="0.5"/>
    <n v="0"/>
    <n v="0"/>
    <n v="0.5"/>
    <n v="0.5"/>
    <n v="1"/>
    <n v="125"/>
    <n v="5120"/>
    <n v="35"/>
    <n v="490"/>
    <n v="45"/>
    <n v="100"/>
    <n v="1000000"/>
    <n v="1.6"/>
    <n v="65"/>
    <n v="50"/>
    <n v="50"/>
    <n v="625"/>
    <n v="60"/>
    <n v="70"/>
    <n v="70"/>
    <n v="70"/>
    <x v="4"/>
    <x v="0"/>
  </r>
  <r>
    <x v="625"/>
    <s v="Buffronバッフロン"/>
    <x v="4"/>
    <x v="1"/>
    <x v="456"/>
    <s v="Reckless"/>
    <s v="Sap Sipper"/>
    <s v="Soundproof"/>
    <s v=""/>
    <s v=""/>
    <s v=""/>
    <n v="1"/>
    <n v="1"/>
    <n v="1"/>
    <n v="1"/>
    <n v="1"/>
    <n v="2"/>
    <n v="1"/>
    <n v="1"/>
    <n v="0"/>
    <n v="1"/>
    <n v="1"/>
    <n v="1"/>
    <n v="1"/>
    <n v="1"/>
    <n v="1"/>
    <n v="1"/>
    <n v="1"/>
    <n v="1"/>
    <n v="110"/>
    <n v="5120"/>
    <n v="70"/>
    <n v="490"/>
    <n v="45"/>
    <n v="95"/>
    <n v="1000000"/>
    <n v="1.6"/>
    <n v="95"/>
    <n v="50"/>
    <n v="50"/>
    <n v="626"/>
    <n v="40"/>
    <n v="95"/>
    <n v="55"/>
    <n v="94.6"/>
    <x v="4"/>
    <x v="0"/>
  </r>
  <r>
    <x v="626"/>
    <s v="Washibonワシボン"/>
    <x v="4"/>
    <x v="2"/>
    <x v="457"/>
    <s v="Keen Eye"/>
    <s v="Sheer Force"/>
    <s v="Hustle"/>
    <s v=""/>
    <s v=""/>
    <s v=""/>
    <n v="0.5"/>
    <n v="1"/>
    <n v="1"/>
    <n v="2"/>
    <n v="1"/>
    <n v="1"/>
    <n v="1"/>
    <n v="1"/>
    <n v="0"/>
    <n v="0.5"/>
    <n v="0"/>
    <n v="2"/>
    <n v="1"/>
    <n v="1"/>
    <n v="1"/>
    <n v="2"/>
    <n v="1"/>
    <n v="1"/>
    <n v="83"/>
    <n v="5120"/>
    <n v="70"/>
    <n v="350"/>
    <n v="190"/>
    <n v="50"/>
    <n v="1250000"/>
    <n v="0.5"/>
    <n v="70"/>
    <n v="100"/>
    <n v="0"/>
    <n v="627"/>
    <n v="37"/>
    <n v="50"/>
    <n v="60"/>
    <n v="10.5"/>
    <x v="4"/>
    <x v="0"/>
  </r>
  <r>
    <x v="627"/>
    <s v="Warrgleウォーグル"/>
    <x v="4"/>
    <x v="2"/>
    <x v="458"/>
    <s v="Keen Eye"/>
    <s v="Sheer Force"/>
    <s v="Defiant"/>
    <s v=""/>
    <s v=""/>
    <s v=""/>
    <n v="0.5"/>
    <n v="1"/>
    <n v="1"/>
    <n v="2"/>
    <n v="1"/>
    <n v="1"/>
    <n v="1"/>
    <n v="1"/>
    <n v="0"/>
    <n v="0.5"/>
    <n v="0"/>
    <n v="2"/>
    <n v="1"/>
    <n v="1"/>
    <n v="1"/>
    <n v="2"/>
    <n v="1"/>
    <n v="1"/>
    <n v="123"/>
    <n v="5120"/>
    <n v="70"/>
    <n v="510"/>
    <n v="60"/>
    <n v="75"/>
    <n v="1250000"/>
    <n v="1.5"/>
    <n v="100"/>
    <n v="100"/>
    <n v="0"/>
    <n v="628"/>
    <n v="57"/>
    <n v="75"/>
    <n v="80"/>
    <n v="41"/>
    <x v="4"/>
    <x v="0"/>
  </r>
  <r>
    <x v="628"/>
    <s v="Valchaiバルチャイ"/>
    <x v="15"/>
    <x v="2"/>
    <x v="459"/>
    <s v="Big Pecks"/>
    <s v="Overcoat"/>
    <s v="Weak Armor"/>
    <s v=""/>
    <s v=""/>
    <s v=""/>
    <n v="1"/>
    <n v="0.5"/>
    <n v="1"/>
    <n v="2"/>
    <n v="2"/>
    <n v="1"/>
    <n v="1"/>
    <n v="1"/>
    <n v="0.5"/>
    <n v="0.5"/>
    <n v="0"/>
    <n v="2"/>
    <n v="1"/>
    <n v="1"/>
    <n v="0"/>
    <n v="2"/>
    <n v="1"/>
    <n v="1"/>
    <n v="55"/>
    <n v="5120"/>
    <n v="35"/>
    <n v="370"/>
    <n v="190"/>
    <n v="75"/>
    <n v="1250000"/>
    <n v="0.5"/>
    <n v="70"/>
    <n v="0"/>
    <n v="100"/>
    <n v="629"/>
    <n v="45"/>
    <n v="65"/>
    <n v="60"/>
    <n v="9"/>
    <x v="4"/>
    <x v="0"/>
  </r>
  <r>
    <x v="629"/>
    <s v="Vulginaバルジーナ"/>
    <x v="15"/>
    <x v="2"/>
    <x v="460"/>
    <s v="Big Pecks"/>
    <s v="Overcoat"/>
    <s v="Weak Armor"/>
    <s v=""/>
    <s v=""/>
    <s v=""/>
    <n v="1"/>
    <n v="0.5"/>
    <n v="1"/>
    <n v="2"/>
    <n v="2"/>
    <n v="1"/>
    <n v="1"/>
    <n v="1"/>
    <n v="0.5"/>
    <n v="0.5"/>
    <n v="0"/>
    <n v="2"/>
    <n v="1"/>
    <n v="1"/>
    <n v="0"/>
    <n v="2"/>
    <n v="1"/>
    <n v="1"/>
    <n v="65"/>
    <n v="5120"/>
    <n v="35"/>
    <n v="510"/>
    <n v="60"/>
    <n v="105"/>
    <n v="1250000"/>
    <n v="1.2"/>
    <n v="110"/>
    <n v="0"/>
    <n v="100"/>
    <n v="630"/>
    <n v="55"/>
    <n v="95"/>
    <n v="80"/>
    <n v="39.5"/>
    <x v="4"/>
    <x v="0"/>
  </r>
  <r>
    <x v="630"/>
    <s v="Kuitaranクイタラン"/>
    <x v="1"/>
    <x v="1"/>
    <x v="461"/>
    <s v="Gluttony"/>
    <s v="Flash Fire"/>
    <s v="White Smoke"/>
    <s v=""/>
    <s v=""/>
    <s v=""/>
    <n v="0.5"/>
    <n v="1"/>
    <n v="1"/>
    <n v="1"/>
    <n v="0.5"/>
    <n v="1"/>
    <n v="0.5"/>
    <n v="1"/>
    <n v="1"/>
    <n v="0.5"/>
    <n v="2"/>
    <n v="0.5"/>
    <n v="1"/>
    <n v="1"/>
    <n v="1"/>
    <n v="2"/>
    <n v="0.5"/>
    <n v="2"/>
    <n v="97"/>
    <n v="5120"/>
    <n v="70"/>
    <n v="484"/>
    <n v="90"/>
    <n v="66"/>
    <n v="1000000"/>
    <n v="1.4"/>
    <n v="85"/>
    <n v="50"/>
    <n v="50"/>
    <n v="631"/>
    <n v="105"/>
    <n v="66"/>
    <n v="65"/>
    <n v="58"/>
    <x v="4"/>
    <x v="0"/>
  </r>
  <r>
    <x v="631"/>
    <s v="Aiantアイアント"/>
    <x v="3"/>
    <x v="11"/>
    <x v="462"/>
    <s v="Swarm"/>
    <s v="Hustle"/>
    <s v="Truant"/>
    <s v=""/>
    <s v=""/>
    <s v=""/>
    <n v="0.5"/>
    <n v="1"/>
    <n v="0.5"/>
    <n v="1"/>
    <n v="0.5"/>
    <n v="1"/>
    <n v="4"/>
    <n v="1"/>
    <n v="1"/>
    <n v="0.25"/>
    <n v="1"/>
    <n v="0.5"/>
    <n v="0.5"/>
    <n v="0"/>
    <n v="0.5"/>
    <n v="1"/>
    <n v="0.5"/>
    <n v="1"/>
    <n v="109"/>
    <n v="5120"/>
    <n v="70"/>
    <n v="484"/>
    <n v="90"/>
    <n v="112"/>
    <n v="1000000"/>
    <n v="0.3"/>
    <n v="58"/>
    <n v="50"/>
    <n v="50"/>
    <n v="632"/>
    <n v="48"/>
    <n v="48"/>
    <n v="109"/>
    <n v="33"/>
    <x v="4"/>
    <x v="0"/>
  </r>
  <r>
    <x v="632"/>
    <s v="Monozuモノズ"/>
    <x v="15"/>
    <x v="15"/>
    <x v="463"/>
    <s v="Hustle"/>
    <s v=""/>
    <s v=""/>
    <s v=""/>
    <s v=""/>
    <s v=""/>
    <n v="2"/>
    <n v="0.5"/>
    <n v="2"/>
    <n v="0.5"/>
    <n v="4"/>
    <n v="2"/>
    <n v="0.5"/>
    <n v="1"/>
    <n v="0.5"/>
    <n v="0.5"/>
    <n v="1"/>
    <n v="2"/>
    <n v="1"/>
    <n v="1"/>
    <n v="0"/>
    <n v="1"/>
    <n v="1"/>
    <n v="0.5"/>
    <n v="65"/>
    <n v="10240"/>
    <n v="35"/>
    <n v="300"/>
    <n v="45"/>
    <n v="50"/>
    <n v="1250000"/>
    <n v="0.8"/>
    <n v="52"/>
    <n v="50"/>
    <n v="50"/>
    <n v="633"/>
    <n v="45"/>
    <n v="50"/>
    <n v="38"/>
    <n v="17.3"/>
    <x v="4"/>
    <x v="0"/>
  </r>
  <r>
    <x v="633"/>
    <s v="Diheadジヘッド"/>
    <x v="15"/>
    <x v="15"/>
    <x v="400"/>
    <s v="Hustle"/>
    <s v=""/>
    <s v=""/>
    <s v=""/>
    <s v=""/>
    <s v=""/>
    <n v="2"/>
    <n v="0.5"/>
    <n v="2"/>
    <n v="0.5"/>
    <n v="4"/>
    <n v="2"/>
    <n v="0.5"/>
    <n v="1"/>
    <n v="0.5"/>
    <n v="0.5"/>
    <n v="1"/>
    <n v="2"/>
    <n v="1"/>
    <n v="1"/>
    <n v="0"/>
    <n v="1"/>
    <n v="1"/>
    <n v="0.5"/>
    <n v="85"/>
    <n v="10240"/>
    <n v="35"/>
    <n v="420"/>
    <n v="45"/>
    <n v="70"/>
    <n v="1250000"/>
    <n v="1.4"/>
    <n v="72"/>
    <n v="50"/>
    <n v="50"/>
    <n v="634"/>
    <n v="65"/>
    <n v="70"/>
    <n v="58"/>
    <n v="50"/>
    <x v="4"/>
    <x v="0"/>
  </r>
  <r>
    <x v="634"/>
    <s v="Sazandoraサザンドラ"/>
    <x v="15"/>
    <x v="15"/>
    <x v="214"/>
    <s v="Levitate"/>
    <s v=""/>
    <s v=""/>
    <s v=""/>
    <s v=""/>
    <s v=""/>
    <n v="2"/>
    <n v="0.5"/>
    <n v="2"/>
    <n v="0.5"/>
    <n v="4"/>
    <n v="2"/>
    <n v="0.5"/>
    <n v="1"/>
    <n v="0.5"/>
    <n v="0.5"/>
    <n v="1"/>
    <n v="2"/>
    <n v="1"/>
    <n v="1"/>
    <n v="0"/>
    <n v="1"/>
    <n v="1"/>
    <n v="0.5"/>
    <n v="105"/>
    <n v="10240"/>
    <n v="35"/>
    <n v="600"/>
    <n v="45"/>
    <n v="90"/>
    <n v="1250000"/>
    <n v="1.8"/>
    <n v="92"/>
    <n v="50"/>
    <n v="50"/>
    <n v="635"/>
    <n v="125"/>
    <n v="90"/>
    <n v="98"/>
    <n v="160"/>
    <x v="4"/>
    <x v="0"/>
  </r>
  <r>
    <x v="635"/>
    <s v="Merlarvaメラルバ"/>
    <x v="3"/>
    <x v="12"/>
    <x v="464"/>
    <s v="Flame Body"/>
    <s v="Swarm"/>
    <s v=""/>
    <s v=""/>
    <s v=""/>
    <s v=""/>
    <n v="0.5"/>
    <n v="1"/>
    <n v="1"/>
    <n v="1"/>
    <n v="0.5"/>
    <n v="0.5"/>
    <n v="1"/>
    <n v="2"/>
    <n v="1"/>
    <n v="0.25"/>
    <n v="1"/>
    <n v="0.5"/>
    <n v="1"/>
    <n v="1"/>
    <n v="1"/>
    <n v="4"/>
    <n v="0.5"/>
    <n v="2"/>
    <n v="85"/>
    <n v="10240"/>
    <n v="70"/>
    <n v="360"/>
    <n v="45"/>
    <n v="55"/>
    <n v="1250000"/>
    <n v="1.1000000000000001"/>
    <n v="55"/>
    <n v="50"/>
    <n v="50"/>
    <n v="636"/>
    <n v="50"/>
    <n v="55"/>
    <n v="60"/>
    <n v="28.8"/>
    <x v="4"/>
    <x v="0"/>
  </r>
  <r>
    <x v="636"/>
    <s v="Ulgamothウルガモス"/>
    <x v="3"/>
    <x v="12"/>
    <x v="121"/>
    <s v="Flame Body"/>
    <s v="Swarm"/>
    <s v=""/>
    <s v=""/>
    <s v=""/>
    <s v=""/>
    <n v="0.5"/>
    <n v="1"/>
    <n v="1"/>
    <n v="1"/>
    <n v="0.5"/>
    <n v="0.5"/>
    <n v="1"/>
    <n v="2"/>
    <n v="1"/>
    <n v="0.25"/>
    <n v="1"/>
    <n v="0.5"/>
    <n v="1"/>
    <n v="1"/>
    <n v="1"/>
    <n v="4"/>
    <n v="0.5"/>
    <n v="2"/>
    <n v="60"/>
    <n v="10240"/>
    <n v="70"/>
    <n v="550"/>
    <n v="15"/>
    <n v="65"/>
    <n v="1250000"/>
    <n v="1.6"/>
    <n v="85"/>
    <n v="50"/>
    <n v="50"/>
    <n v="637"/>
    <n v="135"/>
    <n v="105"/>
    <n v="100"/>
    <n v="46"/>
    <x v="4"/>
    <x v="0"/>
  </r>
  <r>
    <x v="637"/>
    <s v="Cobalonコバルオン"/>
    <x v="16"/>
    <x v="9"/>
    <x v="465"/>
    <s v="Justified"/>
    <s v=""/>
    <s v=""/>
    <s v=""/>
    <s v=""/>
    <s v=""/>
    <n v="0.25"/>
    <n v="0.5"/>
    <n v="0.5"/>
    <n v="1"/>
    <n v="1"/>
    <n v="2"/>
    <n v="2"/>
    <n v="1"/>
    <n v="1"/>
    <n v="0.5"/>
    <n v="2"/>
    <n v="0.5"/>
    <n v="0.5"/>
    <n v="0"/>
    <n v="1"/>
    <n v="0.25"/>
    <n v="0.5"/>
    <n v="1"/>
    <n v="90"/>
    <n v="20480"/>
    <n v="35"/>
    <n v="580"/>
    <n v="3"/>
    <n v="129"/>
    <n v="1250000"/>
    <n v="2.1"/>
    <n v="91"/>
    <s v=""/>
    <s v=""/>
    <n v="638"/>
    <n v="90"/>
    <n v="72"/>
    <n v="108"/>
    <n v="250"/>
    <x v="4"/>
    <x v="1"/>
  </r>
  <r>
    <x v="638"/>
    <s v="Terrakionテラキオン"/>
    <x v="11"/>
    <x v="9"/>
    <x v="466"/>
    <s v="Justified"/>
    <s v=""/>
    <s v=""/>
    <s v=""/>
    <s v=""/>
    <s v=""/>
    <n v="0.5"/>
    <n v="0.5"/>
    <n v="1"/>
    <n v="1"/>
    <n v="2"/>
    <n v="2"/>
    <n v="0.5"/>
    <n v="1"/>
    <n v="1"/>
    <n v="2"/>
    <n v="2"/>
    <n v="1"/>
    <n v="0.5"/>
    <n v="0.5"/>
    <n v="2"/>
    <n v="0.5"/>
    <n v="2"/>
    <n v="2"/>
    <n v="129"/>
    <n v="20480"/>
    <n v="35"/>
    <n v="580"/>
    <n v="3"/>
    <n v="90"/>
    <n v="1250000"/>
    <n v="1.9"/>
    <n v="91"/>
    <s v=""/>
    <s v=""/>
    <n v="639"/>
    <n v="72"/>
    <n v="90"/>
    <n v="108"/>
    <n v="260"/>
    <x v="4"/>
    <x v="1"/>
  </r>
  <r>
    <x v="639"/>
    <s v="Virizionビリジオン"/>
    <x v="0"/>
    <x v="9"/>
    <x v="467"/>
    <s v="Justified"/>
    <s v=""/>
    <s v=""/>
    <s v=""/>
    <s v=""/>
    <s v=""/>
    <n v="1"/>
    <n v="0.5"/>
    <n v="1"/>
    <n v="0.5"/>
    <n v="2"/>
    <n v="1"/>
    <n v="2"/>
    <n v="4"/>
    <n v="1"/>
    <n v="0.5"/>
    <n v="0.5"/>
    <n v="2"/>
    <n v="1"/>
    <n v="2"/>
    <n v="2"/>
    <n v="0.5"/>
    <n v="1"/>
    <n v="0.5"/>
    <n v="90"/>
    <n v="20480"/>
    <n v="35"/>
    <n v="580"/>
    <n v="3"/>
    <n v="72"/>
    <n v="1250000"/>
    <n v="2"/>
    <n v="91"/>
    <s v=""/>
    <s v=""/>
    <n v="640"/>
    <n v="90"/>
    <n v="129"/>
    <n v="108"/>
    <n v="200"/>
    <x v="4"/>
    <x v="1"/>
  </r>
  <r>
    <x v="640"/>
    <s v="Tornelos (keshin Forme)トルネロス"/>
    <x v="17"/>
    <x v="1"/>
    <x v="468"/>
    <s v="Prankster"/>
    <s v="Defiant"/>
    <s v="Regenerator"/>
    <s v=""/>
    <s v=""/>
    <s v=""/>
    <n v="0.5"/>
    <n v="1"/>
    <n v="1"/>
    <n v="2"/>
    <n v="1"/>
    <n v="0.5"/>
    <n v="1"/>
    <n v="1"/>
    <n v="1"/>
    <n v="0.5"/>
    <n v="0"/>
    <n v="2"/>
    <n v="1"/>
    <n v="1"/>
    <n v="1"/>
    <n v="2"/>
    <n v="1"/>
    <n v="1"/>
    <n v="100"/>
    <n v="30720"/>
    <n v="90"/>
    <n v="580"/>
    <n v="3"/>
    <n v="80"/>
    <n v="1250000"/>
    <n v="1.5"/>
    <n v="79"/>
    <n v="100"/>
    <n v="0"/>
    <n v="641"/>
    <n v="110"/>
    <n v="90"/>
    <n v="121"/>
    <n v="63"/>
    <x v="4"/>
    <x v="1"/>
  </r>
  <r>
    <x v="641"/>
    <s v="Voltolos (keshin Forme)ボルトロス"/>
    <x v="6"/>
    <x v="2"/>
    <x v="469"/>
    <s v="Prankster"/>
    <s v="Defiant"/>
    <s v="Volt Absorb"/>
    <s v=""/>
    <s v=""/>
    <s v=""/>
    <n v="0.5"/>
    <n v="1"/>
    <n v="1"/>
    <n v="1"/>
    <n v="1"/>
    <n v="0.5"/>
    <n v="1"/>
    <n v="0.5"/>
    <n v="1"/>
    <n v="0.5"/>
    <n v="0"/>
    <n v="2"/>
    <n v="1"/>
    <n v="1"/>
    <n v="1"/>
    <n v="2"/>
    <n v="0.5"/>
    <n v="1"/>
    <n v="105"/>
    <n v="30720"/>
    <n v="90"/>
    <n v="580"/>
    <n v="3"/>
    <n v="70"/>
    <n v="1250000"/>
    <n v="1.5"/>
    <n v="79"/>
    <n v="100"/>
    <n v="0"/>
    <n v="642"/>
    <n v="145"/>
    <n v="80"/>
    <n v="101"/>
    <n v="61"/>
    <x v="4"/>
    <x v="1"/>
  </r>
  <r>
    <x v="642"/>
    <s v="Reshiramレシラム"/>
    <x v="14"/>
    <x v="12"/>
    <x v="470"/>
    <s v="Turboblaze"/>
    <s v=""/>
    <s v=""/>
    <s v=""/>
    <s v=""/>
    <s v=""/>
    <n v="0.5"/>
    <n v="1"/>
    <n v="2"/>
    <n v="0.5"/>
    <n v="1"/>
    <n v="1"/>
    <n v="0.25"/>
    <n v="1"/>
    <n v="1"/>
    <n v="0.25"/>
    <n v="2"/>
    <n v="1"/>
    <n v="1"/>
    <n v="1"/>
    <n v="1"/>
    <n v="2"/>
    <n v="0.5"/>
    <n v="1"/>
    <n v="120"/>
    <n v="30720"/>
    <n v="0"/>
    <n v="680"/>
    <n v="3"/>
    <n v="100"/>
    <n v="1250000"/>
    <n v="3.2"/>
    <n v="100"/>
    <s v=""/>
    <s v=""/>
    <n v="643"/>
    <n v="150"/>
    <n v="120"/>
    <n v="90"/>
    <n v="330"/>
    <x v="4"/>
    <x v="1"/>
  </r>
  <r>
    <x v="643"/>
    <s v="Zekromゼクロム"/>
    <x v="14"/>
    <x v="4"/>
    <x v="471"/>
    <s v="Teravolt"/>
    <s v=""/>
    <s v=""/>
    <s v=""/>
    <s v=""/>
    <s v=""/>
    <n v="1"/>
    <n v="1"/>
    <n v="2"/>
    <n v="0.25"/>
    <n v="2"/>
    <n v="1"/>
    <n v="0.5"/>
    <n v="0.5"/>
    <n v="1"/>
    <n v="0.5"/>
    <n v="2"/>
    <n v="2"/>
    <n v="1"/>
    <n v="1"/>
    <n v="1"/>
    <n v="1"/>
    <n v="0.5"/>
    <n v="0.5"/>
    <n v="150"/>
    <n v="30720"/>
    <n v="0"/>
    <n v="680"/>
    <n v="3"/>
    <n v="120"/>
    <n v="1250000"/>
    <n v="2.9"/>
    <n v="100"/>
    <s v=""/>
    <s v=""/>
    <n v="644"/>
    <n v="120"/>
    <n v="100"/>
    <n v="90"/>
    <n v="345"/>
    <x v="4"/>
    <x v="1"/>
  </r>
  <r>
    <x v="644"/>
    <s v="Landlos (keshin Forme)ランドロス"/>
    <x v="7"/>
    <x v="2"/>
    <x v="472"/>
    <s v="Sand Force"/>
    <s v="Sheer Force"/>
    <s v="Intimidate"/>
    <s v=""/>
    <s v=""/>
    <s v=""/>
    <n v="0.5"/>
    <n v="1"/>
    <n v="1"/>
    <n v="0"/>
    <n v="1"/>
    <n v="0.5"/>
    <n v="1"/>
    <n v="1"/>
    <n v="1"/>
    <n v="1"/>
    <n v="0"/>
    <n v="4"/>
    <n v="1"/>
    <n v="0.5"/>
    <n v="1"/>
    <n v="1"/>
    <n v="1"/>
    <n v="2"/>
    <n v="145"/>
    <n v="30720"/>
    <n v="90"/>
    <n v="600"/>
    <n v="3"/>
    <n v="90"/>
    <n v="1250000"/>
    <n v="1.5"/>
    <n v="89"/>
    <n v="100"/>
    <n v="0"/>
    <n v="645"/>
    <n v="105"/>
    <n v="80"/>
    <n v="91"/>
    <n v="68"/>
    <x v="4"/>
    <x v="1"/>
  </r>
  <r>
    <x v="645"/>
    <s v="Kyuremキュレム"/>
    <x v="14"/>
    <x v="5"/>
    <x v="473"/>
    <s v="Pressure"/>
    <s v="Teravolt"/>
    <s v="Turboblaze"/>
    <s v=""/>
    <s v=""/>
    <s v=""/>
    <n v="1"/>
    <n v="1"/>
    <n v="2"/>
    <n v="0.5"/>
    <n v="2"/>
    <n v="2"/>
    <n v="1"/>
    <n v="1"/>
    <n v="1"/>
    <n v="0.5"/>
    <n v="1"/>
    <n v="1"/>
    <n v="1"/>
    <n v="1"/>
    <n v="1"/>
    <n v="2"/>
    <n v="2"/>
    <n v="0.5"/>
    <n v="120"/>
    <n v="30720"/>
    <n v="0"/>
    <n v="700"/>
    <n v="3"/>
    <n v="90"/>
    <n v="1250000"/>
    <n v="3"/>
    <n v="125"/>
    <s v=""/>
    <s v=""/>
    <n v="646"/>
    <n v="170"/>
    <n v="100"/>
    <n v="95"/>
    <n v="325"/>
    <x v="4"/>
    <x v="1"/>
  </r>
  <r>
    <x v="646"/>
    <s v="Keldeo (itsumo No Sugata)ケルディオ"/>
    <x v="2"/>
    <x v="9"/>
    <x v="474"/>
    <s v="Justified"/>
    <s v=""/>
    <s v=""/>
    <s v=""/>
    <s v=""/>
    <s v=""/>
    <n v="0.5"/>
    <n v="0.5"/>
    <n v="1"/>
    <n v="2"/>
    <n v="2"/>
    <n v="1"/>
    <n v="0.5"/>
    <n v="2"/>
    <n v="1"/>
    <n v="2"/>
    <n v="1"/>
    <n v="0.5"/>
    <n v="1"/>
    <n v="1"/>
    <n v="2"/>
    <n v="0.5"/>
    <n v="0.5"/>
    <n v="0.5"/>
    <n v="72"/>
    <n v="20480"/>
    <n v="35"/>
    <n v="580"/>
    <n v="3"/>
    <n v="90"/>
    <n v="1250000"/>
    <n v="1.4"/>
    <n v="91"/>
    <s v=""/>
    <s v=""/>
    <n v="647"/>
    <n v="129"/>
    <n v="90"/>
    <n v="108"/>
    <n v="48.5"/>
    <x v="4"/>
    <x v="1"/>
  </r>
  <r>
    <x v="647"/>
    <s v="Meloetta (step Forme)メロエッタ"/>
    <x v="4"/>
    <x v="10"/>
    <x v="475"/>
    <s v="Serene Grace"/>
    <s v=""/>
    <s v=""/>
    <s v=""/>
    <s v=""/>
    <s v=""/>
    <n v="2"/>
    <n v="2"/>
    <n v="1"/>
    <n v="1"/>
    <n v="1"/>
    <n v="1"/>
    <n v="1"/>
    <n v="1"/>
    <n v="0"/>
    <n v="1"/>
    <n v="1"/>
    <n v="1"/>
    <n v="1"/>
    <n v="1"/>
    <n v="0.5"/>
    <n v="1"/>
    <n v="1"/>
    <n v="1"/>
    <n v="128"/>
    <n v="30720"/>
    <n v="100"/>
    <n v="600"/>
    <n v="3"/>
    <n v="90"/>
    <n v="1250000"/>
    <n v="0.6"/>
    <n v="100"/>
    <s v=""/>
    <s v=""/>
    <n v="648"/>
    <n v="77"/>
    <n v="77"/>
    <n v="128"/>
    <n v="6.5"/>
    <x v="4"/>
    <x v="1"/>
  </r>
  <r>
    <x v="648"/>
    <s v="Genesectゲノセクト"/>
    <x v="3"/>
    <x v="11"/>
    <x v="476"/>
    <s v="Download"/>
    <s v=""/>
    <s v=""/>
    <s v=""/>
    <s v=""/>
    <s v=""/>
    <n v="0.5"/>
    <n v="1"/>
    <n v="0.5"/>
    <n v="1"/>
    <n v="0.5"/>
    <n v="1"/>
    <n v="4"/>
    <n v="1"/>
    <n v="1"/>
    <n v="0.25"/>
    <n v="1"/>
    <n v="0.5"/>
    <n v="0.5"/>
    <n v="0"/>
    <n v="0.5"/>
    <n v="1"/>
    <n v="0.5"/>
    <n v="1"/>
    <n v="120"/>
    <n v="30720"/>
    <n v="0"/>
    <n v="600"/>
    <n v="3"/>
    <n v="95"/>
    <n v="1250000"/>
    <n v="1.5"/>
    <n v="71"/>
    <s v=""/>
    <s v=""/>
    <n v="649"/>
    <n v="120"/>
    <n v="95"/>
    <n v="99"/>
    <n v="82.5"/>
    <x v="4"/>
    <x v="1"/>
  </r>
  <r>
    <x v="649"/>
    <s v="Harimaronハリマロン"/>
    <x v="0"/>
    <x v="1"/>
    <x v="477"/>
    <s v="Overgrow"/>
    <s v="Bulletproof"/>
    <s v=""/>
    <s v=""/>
    <s v=""/>
    <s v=""/>
    <n v="2"/>
    <n v="1"/>
    <n v="1"/>
    <n v="0.5"/>
    <n v="1"/>
    <n v="1"/>
    <n v="2"/>
    <n v="2"/>
    <n v="1"/>
    <n v="0.5"/>
    <n v="0.5"/>
    <n v="2"/>
    <n v="1"/>
    <n v="2"/>
    <n v="1"/>
    <n v="1"/>
    <n v="1"/>
    <n v="0.5"/>
    <n v="61"/>
    <n v="5120"/>
    <n v="70"/>
    <n v="313"/>
    <n v="45"/>
    <n v="65"/>
    <n v="1059860"/>
    <n v="0.4"/>
    <n v="56"/>
    <n v="88.1"/>
    <n v="11.900000000000006"/>
    <n v="650"/>
    <n v="48"/>
    <n v="45"/>
    <n v="38"/>
    <n v="9"/>
    <x v="5"/>
    <x v="0"/>
  </r>
  <r>
    <x v="650"/>
    <s v="Hariborgハリボーグ"/>
    <x v="0"/>
    <x v="1"/>
    <x v="478"/>
    <s v="Overgrow"/>
    <s v="Bulletproof"/>
    <s v=""/>
    <s v=""/>
    <s v=""/>
    <s v=""/>
    <n v="2"/>
    <n v="1"/>
    <n v="1"/>
    <n v="0.5"/>
    <n v="1"/>
    <n v="1"/>
    <n v="2"/>
    <n v="2"/>
    <n v="1"/>
    <n v="0.5"/>
    <n v="0.5"/>
    <n v="2"/>
    <n v="1"/>
    <n v="2"/>
    <n v="1"/>
    <n v="1"/>
    <n v="1"/>
    <n v="0.5"/>
    <n v="78"/>
    <n v="5120"/>
    <n v="70"/>
    <n v="405"/>
    <n v="45"/>
    <n v="95"/>
    <n v="1059860"/>
    <n v="0.7"/>
    <n v="61"/>
    <n v="88.1"/>
    <n v="11.900000000000006"/>
    <n v="651"/>
    <n v="56"/>
    <n v="58"/>
    <n v="57"/>
    <n v="29"/>
    <x v="5"/>
    <x v="0"/>
  </r>
  <r>
    <x v="651"/>
    <s v="Brigarronブリガロン"/>
    <x v="0"/>
    <x v="9"/>
    <x v="478"/>
    <s v="Overgrow"/>
    <s v="Bulletproof"/>
    <s v=""/>
    <s v=""/>
    <s v=""/>
    <s v=""/>
    <n v="1"/>
    <n v="0.5"/>
    <n v="1"/>
    <n v="0.5"/>
    <n v="2"/>
    <n v="1"/>
    <n v="2"/>
    <n v="4"/>
    <n v="1"/>
    <n v="0.5"/>
    <n v="0.5"/>
    <n v="2"/>
    <n v="1"/>
    <n v="2"/>
    <n v="2"/>
    <n v="0.5"/>
    <n v="1"/>
    <n v="0.5"/>
    <n v="107"/>
    <n v="5120"/>
    <n v="70"/>
    <n v="530"/>
    <n v="45"/>
    <n v="122"/>
    <n v="1059860"/>
    <n v="1.6"/>
    <n v="88"/>
    <n v="88.1"/>
    <n v="11.900000000000006"/>
    <n v="652"/>
    <n v="74"/>
    <n v="75"/>
    <n v="64"/>
    <n v="90"/>
    <x v="5"/>
    <x v="0"/>
  </r>
  <r>
    <x v="652"/>
    <s v="Fokkoフォッコ"/>
    <x v="1"/>
    <x v="1"/>
    <x v="20"/>
    <s v="Blaze"/>
    <s v="Magician"/>
    <s v=""/>
    <s v=""/>
    <s v=""/>
    <s v=""/>
    <n v="0.5"/>
    <n v="1"/>
    <n v="1"/>
    <n v="1"/>
    <n v="0.5"/>
    <n v="1"/>
    <n v="0.5"/>
    <n v="1"/>
    <n v="1"/>
    <n v="0.5"/>
    <n v="2"/>
    <n v="0.5"/>
    <n v="1"/>
    <n v="1"/>
    <n v="1"/>
    <n v="2"/>
    <n v="0.5"/>
    <n v="2"/>
    <n v="45"/>
    <n v="5120"/>
    <n v="70"/>
    <n v="307"/>
    <n v="45"/>
    <n v="40"/>
    <n v="1059860"/>
    <n v="0.4"/>
    <n v="40"/>
    <n v="88.1"/>
    <n v="11.900000000000006"/>
    <n v="653"/>
    <n v="62"/>
    <n v="60"/>
    <n v="60"/>
    <n v="9.4"/>
    <x v="5"/>
    <x v="0"/>
  </r>
  <r>
    <x v="653"/>
    <s v="Tairenarテールナー"/>
    <x v="1"/>
    <x v="1"/>
    <x v="20"/>
    <s v="Blaze"/>
    <s v="Magician"/>
    <s v=""/>
    <s v=""/>
    <s v=""/>
    <s v=""/>
    <n v="0.5"/>
    <n v="1"/>
    <n v="1"/>
    <n v="1"/>
    <n v="0.5"/>
    <n v="1"/>
    <n v="0.5"/>
    <n v="1"/>
    <n v="1"/>
    <n v="0.5"/>
    <n v="2"/>
    <n v="0.5"/>
    <n v="1"/>
    <n v="1"/>
    <n v="1"/>
    <n v="2"/>
    <n v="0.5"/>
    <n v="2"/>
    <n v="59"/>
    <n v="5120"/>
    <n v="70"/>
    <n v="409"/>
    <n v="45"/>
    <n v="58"/>
    <n v="1059860"/>
    <n v="1"/>
    <n v="59"/>
    <n v="88.1"/>
    <n v="11.900000000000006"/>
    <n v="654"/>
    <n v="90"/>
    <n v="70"/>
    <n v="73"/>
    <n v="14.5"/>
    <x v="5"/>
    <x v="0"/>
  </r>
  <r>
    <x v="654"/>
    <s v="Mahoxyマフォクシー"/>
    <x v="1"/>
    <x v="10"/>
    <x v="20"/>
    <s v="Blaze"/>
    <s v="Magician"/>
    <s v=""/>
    <s v=""/>
    <s v=""/>
    <s v=""/>
    <n v="1"/>
    <n v="2"/>
    <n v="1"/>
    <n v="1"/>
    <n v="0.5"/>
    <n v="0.5"/>
    <n v="0.5"/>
    <n v="1"/>
    <n v="2"/>
    <n v="0.5"/>
    <n v="2"/>
    <n v="0.5"/>
    <n v="1"/>
    <n v="1"/>
    <n v="0.5"/>
    <n v="2"/>
    <n v="0.5"/>
    <n v="2"/>
    <n v="69"/>
    <n v="5120"/>
    <n v="70"/>
    <n v="534"/>
    <n v="45"/>
    <n v="72"/>
    <n v="1059860"/>
    <n v="1.5"/>
    <n v="75"/>
    <n v="88.1"/>
    <n v="11.900000000000006"/>
    <n v="655"/>
    <n v="114"/>
    <n v="100"/>
    <n v="104"/>
    <n v="39"/>
    <x v="5"/>
    <x v="0"/>
  </r>
  <r>
    <x v="655"/>
    <s v="Keromatsuケロマツ"/>
    <x v="2"/>
    <x v="1"/>
    <x v="479"/>
    <s v="Torrent"/>
    <s v="Protean"/>
    <s v=""/>
    <s v=""/>
    <s v=""/>
    <s v=""/>
    <n v="1"/>
    <n v="1"/>
    <n v="1"/>
    <n v="2"/>
    <n v="1"/>
    <n v="1"/>
    <n v="0.5"/>
    <n v="1"/>
    <n v="1"/>
    <n v="2"/>
    <n v="1"/>
    <n v="0.5"/>
    <n v="1"/>
    <n v="1"/>
    <n v="1"/>
    <n v="1"/>
    <n v="0.5"/>
    <n v="0.5"/>
    <n v="56"/>
    <n v="5120"/>
    <n v="70"/>
    <n v="314"/>
    <n v="45"/>
    <n v="40"/>
    <n v="1059860"/>
    <n v="0.3"/>
    <n v="41"/>
    <n v="88.1"/>
    <n v="11.900000000000006"/>
    <n v="656"/>
    <n v="62"/>
    <n v="44"/>
    <n v="71"/>
    <n v="7"/>
    <x v="5"/>
    <x v="0"/>
  </r>
  <r>
    <x v="656"/>
    <s v="Gekogashiraゲコガシラ"/>
    <x v="2"/>
    <x v="1"/>
    <x v="479"/>
    <s v="Torrent"/>
    <s v="Protean"/>
    <s v=""/>
    <s v=""/>
    <s v=""/>
    <s v=""/>
    <n v="1"/>
    <n v="1"/>
    <n v="1"/>
    <n v="2"/>
    <n v="1"/>
    <n v="1"/>
    <n v="0.5"/>
    <n v="1"/>
    <n v="1"/>
    <n v="2"/>
    <n v="1"/>
    <n v="0.5"/>
    <n v="1"/>
    <n v="1"/>
    <n v="1"/>
    <n v="1"/>
    <n v="0.5"/>
    <n v="0.5"/>
    <n v="63"/>
    <n v="5120"/>
    <n v="70"/>
    <n v="405"/>
    <n v="45"/>
    <n v="52"/>
    <n v="1059860"/>
    <n v="0.6"/>
    <n v="54"/>
    <n v="88.1"/>
    <n v="11.900000000000006"/>
    <n v="657"/>
    <n v="83"/>
    <n v="56"/>
    <n v="97"/>
    <n v="10.9"/>
    <x v="5"/>
    <x v="0"/>
  </r>
  <r>
    <x v="657"/>
    <s v="Gekkougaゲッコウガ"/>
    <x v="2"/>
    <x v="3"/>
    <x v="193"/>
    <s v="Torrent"/>
    <s v="Protean"/>
    <s v="Battle Bond"/>
    <s v=""/>
    <s v=""/>
    <s v=""/>
    <n v="2"/>
    <n v="0.5"/>
    <n v="1"/>
    <n v="2"/>
    <n v="2"/>
    <n v="2"/>
    <n v="0.5"/>
    <n v="1"/>
    <n v="0.5"/>
    <n v="2"/>
    <n v="1"/>
    <n v="0.5"/>
    <n v="1"/>
    <n v="1"/>
    <n v="0"/>
    <n v="1"/>
    <n v="0.5"/>
    <n v="0.5"/>
    <n v="145"/>
    <n v="5120"/>
    <n v="70"/>
    <n v="640"/>
    <n v="45"/>
    <n v="67"/>
    <n v="1059860"/>
    <n v="1.5"/>
    <n v="72"/>
    <n v="88.1"/>
    <n v="11.900000000000006"/>
    <n v="658"/>
    <n v="153"/>
    <n v="71"/>
    <n v="132"/>
    <n v="40"/>
    <x v="5"/>
    <x v="0"/>
  </r>
  <r>
    <x v="658"/>
    <s v="Horubeeホルビー"/>
    <x v="4"/>
    <x v="1"/>
    <x v="480"/>
    <s v="Pickup"/>
    <s v="Cheek Pouch"/>
    <s v="Huge Power"/>
    <s v=""/>
    <s v=""/>
    <s v=""/>
    <n v="1"/>
    <n v="1"/>
    <n v="1"/>
    <n v="1"/>
    <n v="1"/>
    <n v="2"/>
    <n v="1"/>
    <n v="1"/>
    <n v="0"/>
    <n v="1"/>
    <n v="1"/>
    <n v="1"/>
    <n v="1"/>
    <n v="1"/>
    <n v="1"/>
    <n v="1"/>
    <n v="1"/>
    <n v="1"/>
    <n v="36"/>
    <n v="3840"/>
    <n v="70"/>
    <n v="237"/>
    <n v="255"/>
    <n v="38"/>
    <n v="1000000"/>
    <n v="0.4"/>
    <n v="38"/>
    <n v="50"/>
    <n v="50"/>
    <n v="659"/>
    <n v="32"/>
    <n v="36"/>
    <n v="57"/>
    <n v="5"/>
    <x v="5"/>
    <x v="0"/>
  </r>
  <r>
    <x v="659"/>
    <s v="Horudoホルード"/>
    <x v="4"/>
    <x v="6"/>
    <x v="480"/>
    <s v="Pickup"/>
    <s v="Cheek Pouch"/>
    <s v="Huge Power"/>
    <s v=""/>
    <s v=""/>
    <s v=""/>
    <n v="1"/>
    <n v="1"/>
    <n v="1"/>
    <n v="0"/>
    <n v="1"/>
    <n v="2"/>
    <n v="1"/>
    <n v="1"/>
    <n v="0"/>
    <n v="2"/>
    <n v="1"/>
    <n v="2"/>
    <n v="1"/>
    <n v="0.5"/>
    <n v="1"/>
    <n v="0.5"/>
    <n v="1"/>
    <n v="2"/>
    <n v="56"/>
    <n v="3840"/>
    <n v="70"/>
    <n v="423"/>
    <n v="127"/>
    <n v="77"/>
    <n v="1000000"/>
    <n v="1"/>
    <n v="85"/>
    <n v="50"/>
    <n v="50"/>
    <n v="660"/>
    <n v="50"/>
    <n v="77"/>
    <n v="78"/>
    <n v="42.4"/>
    <x v="5"/>
    <x v="0"/>
  </r>
  <r>
    <x v="660"/>
    <s v="Yayakomaヤヤコマ"/>
    <x v="4"/>
    <x v="2"/>
    <x v="481"/>
    <s v="Big Pecks"/>
    <s v="Gale Wings"/>
    <s v=""/>
    <s v=""/>
    <s v=""/>
    <s v=""/>
    <n v="0.5"/>
    <n v="1"/>
    <n v="1"/>
    <n v="2"/>
    <n v="1"/>
    <n v="1"/>
    <n v="1"/>
    <n v="1"/>
    <n v="0"/>
    <n v="0.5"/>
    <n v="0"/>
    <n v="2"/>
    <n v="1"/>
    <n v="1"/>
    <n v="1"/>
    <n v="2"/>
    <n v="1"/>
    <n v="1"/>
    <n v="50"/>
    <n v="3840"/>
    <n v="70"/>
    <n v="278"/>
    <n v="255"/>
    <n v="43"/>
    <n v="1059860"/>
    <n v="0.3"/>
    <n v="45"/>
    <n v="50"/>
    <n v="50"/>
    <n v="661"/>
    <n v="40"/>
    <n v="38"/>
    <n v="62"/>
    <n v="1.7"/>
    <x v="5"/>
    <x v="0"/>
  </r>
  <r>
    <x v="661"/>
    <s v="Hinoyakomaヒノヤコマ"/>
    <x v="1"/>
    <x v="2"/>
    <x v="372"/>
    <s v="Flame Body"/>
    <s v="Gale Wings"/>
    <s v=""/>
    <s v=""/>
    <s v=""/>
    <s v=""/>
    <n v="0.25"/>
    <n v="1"/>
    <n v="1"/>
    <n v="2"/>
    <n v="0.5"/>
    <n v="0.5"/>
    <n v="0.5"/>
    <n v="1"/>
    <n v="1"/>
    <n v="0.25"/>
    <n v="0"/>
    <n v="1"/>
    <n v="1"/>
    <n v="1"/>
    <n v="1"/>
    <n v="4"/>
    <n v="0.5"/>
    <n v="2"/>
    <n v="73"/>
    <n v="3840"/>
    <n v="70"/>
    <n v="382"/>
    <n v="120"/>
    <n v="55"/>
    <n v="1059860"/>
    <n v="0.7"/>
    <n v="62"/>
    <n v="50"/>
    <n v="50"/>
    <n v="662"/>
    <n v="56"/>
    <n v="52"/>
    <n v="84"/>
    <n v="16"/>
    <x v="5"/>
    <x v="0"/>
  </r>
  <r>
    <x v="662"/>
    <s v="Fiarrowファイアロー"/>
    <x v="1"/>
    <x v="2"/>
    <x v="482"/>
    <s v="Flame Body"/>
    <s v="Gale Wings"/>
    <s v=""/>
    <s v=""/>
    <s v=""/>
    <s v=""/>
    <n v="0.25"/>
    <n v="1"/>
    <n v="1"/>
    <n v="2"/>
    <n v="0.5"/>
    <n v="0.5"/>
    <n v="0.5"/>
    <n v="1"/>
    <n v="1"/>
    <n v="0.25"/>
    <n v="0"/>
    <n v="1"/>
    <n v="1"/>
    <n v="1"/>
    <n v="1"/>
    <n v="4"/>
    <n v="0.5"/>
    <n v="2"/>
    <n v="81"/>
    <n v="3840"/>
    <n v="70"/>
    <n v="499"/>
    <n v="45"/>
    <n v="71"/>
    <n v="1059860"/>
    <n v="1.2"/>
    <n v="78"/>
    <n v="50"/>
    <n v="50"/>
    <n v="663"/>
    <n v="74"/>
    <n v="69"/>
    <n v="126"/>
    <n v="24.5"/>
    <x v="5"/>
    <x v="0"/>
  </r>
  <r>
    <x v="663"/>
    <s v="Kofukimushiコフキムシ"/>
    <x v="3"/>
    <x v="1"/>
    <x v="483"/>
    <s v="Shield Dust"/>
    <s v="Compoundeyes"/>
    <s v="Friend Guard"/>
    <s v=""/>
    <s v=""/>
    <s v=""/>
    <n v="1"/>
    <n v="1"/>
    <n v="1"/>
    <n v="1"/>
    <n v="1"/>
    <n v="0.5"/>
    <n v="2"/>
    <n v="2"/>
    <n v="1"/>
    <n v="0.5"/>
    <n v="0.5"/>
    <n v="1"/>
    <n v="1"/>
    <n v="1"/>
    <n v="1"/>
    <n v="2"/>
    <n v="1"/>
    <n v="1"/>
    <n v="35"/>
    <n v="3840"/>
    <n v="70"/>
    <n v="200"/>
    <n v="255"/>
    <n v="40"/>
    <n v="1000000"/>
    <n v="0.3"/>
    <n v="38"/>
    <n v="50"/>
    <n v="50"/>
    <n v="664"/>
    <n v="27"/>
    <n v="25"/>
    <n v="35"/>
    <n v="2.5"/>
    <x v="5"/>
    <x v="0"/>
  </r>
  <r>
    <x v="664"/>
    <s v="Kofuuraiコフーライ"/>
    <x v="3"/>
    <x v="1"/>
    <x v="483"/>
    <s v="Shed Skin"/>
    <s v="Friend Guard"/>
    <s v=""/>
    <s v=""/>
    <s v=""/>
    <s v=""/>
    <n v="1"/>
    <n v="1"/>
    <n v="1"/>
    <n v="1"/>
    <n v="1"/>
    <n v="0.5"/>
    <n v="2"/>
    <n v="2"/>
    <n v="1"/>
    <n v="0.5"/>
    <n v="0.5"/>
    <n v="1"/>
    <n v="1"/>
    <n v="1"/>
    <n v="1"/>
    <n v="2"/>
    <n v="1"/>
    <n v="1"/>
    <n v="22"/>
    <n v="3840"/>
    <n v="70"/>
    <n v="213"/>
    <n v="120"/>
    <n v="60"/>
    <n v="1000000"/>
    <n v="0.3"/>
    <n v="45"/>
    <n v="50"/>
    <n v="50"/>
    <n v="665"/>
    <n v="27"/>
    <n v="30"/>
    <n v="29"/>
    <n v="8.4"/>
    <x v="5"/>
    <x v="0"/>
  </r>
  <r>
    <x v="665"/>
    <s v="Viviyonビビヨン"/>
    <x v="3"/>
    <x v="2"/>
    <x v="484"/>
    <s v="Shield Dust"/>
    <s v="Compoundeyes"/>
    <s v="Friend Guard"/>
    <s v=""/>
    <s v=""/>
    <s v=""/>
    <n v="0.5"/>
    <n v="1"/>
    <n v="1"/>
    <n v="2"/>
    <n v="1"/>
    <n v="0.25"/>
    <n v="2"/>
    <n v="2"/>
    <n v="1"/>
    <n v="0.25"/>
    <n v="0"/>
    <n v="2"/>
    <n v="1"/>
    <n v="1"/>
    <n v="1"/>
    <n v="4"/>
    <n v="1"/>
    <n v="1"/>
    <n v="52"/>
    <n v="3840"/>
    <n v="70"/>
    <n v="411"/>
    <n v="45"/>
    <n v="50"/>
    <n v="1000000"/>
    <n v="1.2"/>
    <n v="80"/>
    <n v="50"/>
    <n v="50"/>
    <n v="666"/>
    <n v="90"/>
    <n v="50"/>
    <n v="89"/>
    <n v="17"/>
    <x v="5"/>
    <x v="0"/>
  </r>
  <r>
    <x v="666"/>
    <s v="Shishikoシシコ"/>
    <x v="1"/>
    <x v="18"/>
    <x v="485"/>
    <s v="Rivalry"/>
    <s v="Unnerve"/>
    <s v="Moxie"/>
    <s v=""/>
    <s v=""/>
    <s v=""/>
    <n v="0.5"/>
    <n v="1"/>
    <n v="1"/>
    <n v="1"/>
    <n v="0.5"/>
    <n v="2"/>
    <n v="0.5"/>
    <n v="1"/>
    <n v="0"/>
    <n v="0.5"/>
    <n v="2"/>
    <n v="0.5"/>
    <n v="1"/>
    <n v="1"/>
    <n v="1"/>
    <n v="2"/>
    <n v="0.5"/>
    <n v="2"/>
    <n v="50"/>
    <n v="5120"/>
    <n v="70"/>
    <n v="369"/>
    <n v="220"/>
    <n v="58"/>
    <n v="1059860"/>
    <n v="0.6"/>
    <n v="62"/>
    <n v="11.2"/>
    <n v="88.8"/>
    <n v="667"/>
    <n v="73"/>
    <n v="54"/>
    <n v="72"/>
    <n v="13.5"/>
    <x v="5"/>
    <x v="0"/>
  </r>
  <r>
    <x v="667"/>
    <s v="Kaenjishiカエンジシ"/>
    <x v="1"/>
    <x v="18"/>
    <x v="126"/>
    <s v="Rivalry"/>
    <s v="Unnerve"/>
    <s v="Moxie"/>
    <s v=""/>
    <s v=""/>
    <s v=""/>
    <n v="0.5"/>
    <n v="1"/>
    <n v="1"/>
    <n v="1"/>
    <n v="0.5"/>
    <n v="2"/>
    <n v="0.5"/>
    <n v="1"/>
    <n v="0"/>
    <n v="0.5"/>
    <n v="2"/>
    <n v="0.5"/>
    <n v="1"/>
    <n v="1"/>
    <n v="1"/>
    <n v="2"/>
    <n v="0.5"/>
    <n v="2"/>
    <n v="68"/>
    <n v="5120"/>
    <n v="70"/>
    <n v="507"/>
    <n v="65"/>
    <n v="72"/>
    <n v="1059860"/>
    <n v="1.5"/>
    <n v="86"/>
    <n v="11.2"/>
    <n v="88.8"/>
    <n v="668"/>
    <n v="109"/>
    <n v="66"/>
    <n v="106"/>
    <n v="81.5"/>
    <x v="5"/>
    <x v="0"/>
  </r>
  <r>
    <x v="668"/>
    <s v="Flabebeフラベベ"/>
    <x v="8"/>
    <x v="1"/>
    <x v="486"/>
    <s v="Flower Veil"/>
    <s v="Symbiosis"/>
    <s v=""/>
    <s v=""/>
    <s v=""/>
    <s v=""/>
    <n v="0.5"/>
    <n v="0.5"/>
    <n v="0"/>
    <n v="1"/>
    <n v="1"/>
    <n v="0.5"/>
    <n v="1"/>
    <n v="1"/>
    <n v="1"/>
    <n v="1"/>
    <n v="1"/>
    <n v="1"/>
    <n v="1"/>
    <n v="2"/>
    <n v="1"/>
    <n v="1"/>
    <n v="2"/>
    <n v="1"/>
    <n v="38"/>
    <n v="5120"/>
    <n v="70"/>
    <n v="303"/>
    <n v="225"/>
    <n v="39"/>
    <n v="1000000"/>
    <n v="0.1"/>
    <n v="44"/>
    <n v="0"/>
    <n v="100"/>
    <n v="669"/>
    <n v="61"/>
    <n v="79"/>
    <n v="42"/>
    <n v="0.1"/>
    <x v="5"/>
    <x v="0"/>
  </r>
  <r>
    <x v="669"/>
    <s v="Floetteフラエッテ"/>
    <x v="8"/>
    <x v="1"/>
    <x v="19"/>
    <s v="Flower Veil"/>
    <s v="Symbiosis"/>
    <s v=""/>
    <s v=""/>
    <s v=""/>
    <s v=""/>
    <n v="0.5"/>
    <n v="0.5"/>
    <n v="0"/>
    <n v="1"/>
    <n v="1"/>
    <n v="0.5"/>
    <n v="1"/>
    <n v="1"/>
    <n v="1"/>
    <n v="1"/>
    <n v="1"/>
    <n v="1"/>
    <n v="1"/>
    <n v="2"/>
    <n v="1"/>
    <n v="1"/>
    <n v="2"/>
    <n v="1"/>
    <n v="65"/>
    <n v="5120"/>
    <n v="70"/>
    <n v="551"/>
    <n v="120"/>
    <n v="67"/>
    <n v="1000000"/>
    <n v="0.2"/>
    <n v="74"/>
    <n v="0"/>
    <n v="100"/>
    <n v="670"/>
    <n v="125"/>
    <n v="128"/>
    <n v="92"/>
    <n v="0.9"/>
    <x v="5"/>
    <x v="0"/>
  </r>
  <r>
    <x v="670"/>
    <s v="Florgesフラージェス"/>
    <x v="8"/>
    <x v="1"/>
    <x v="487"/>
    <s v="Flower Veil"/>
    <s v="Symbiosis"/>
    <s v=""/>
    <s v=""/>
    <s v=""/>
    <s v=""/>
    <n v="0.5"/>
    <n v="0.5"/>
    <n v="0"/>
    <n v="1"/>
    <n v="1"/>
    <n v="0.5"/>
    <n v="1"/>
    <n v="1"/>
    <n v="1"/>
    <n v="1"/>
    <n v="1"/>
    <n v="1"/>
    <n v="1"/>
    <n v="2"/>
    <n v="1"/>
    <n v="1"/>
    <n v="2"/>
    <n v="1"/>
    <n v="65"/>
    <n v="5120"/>
    <n v="70"/>
    <n v="552"/>
    <n v="45"/>
    <n v="68"/>
    <n v="1000000"/>
    <n v="1.1000000000000001"/>
    <n v="78"/>
    <n v="0"/>
    <n v="100"/>
    <n v="671"/>
    <n v="112"/>
    <n v="154"/>
    <n v="75"/>
    <n v="10"/>
    <x v="5"/>
    <x v="0"/>
  </r>
  <r>
    <x v="671"/>
    <s v="Meecleメェークル"/>
    <x v="0"/>
    <x v="1"/>
    <x v="488"/>
    <s v="Sap Sipper"/>
    <s v="Grass Pelt"/>
    <s v=""/>
    <s v=""/>
    <s v=""/>
    <s v=""/>
    <n v="2"/>
    <n v="1"/>
    <n v="1"/>
    <n v="0.5"/>
    <n v="1"/>
    <n v="1"/>
    <n v="2"/>
    <n v="2"/>
    <n v="1"/>
    <n v="0.5"/>
    <n v="0.5"/>
    <n v="2"/>
    <n v="1"/>
    <n v="2"/>
    <n v="1"/>
    <n v="1"/>
    <n v="1"/>
    <n v="0.5"/>
    <n v="65"/>
    <n v="5120"/>
    <n v="70"/>
    <n v="350"/>
    <n v="200"/>
    <n v="48"/>
    <n v="1000000"/>
    <n v="0.9"/>
    <n v="66"/>
    <n v="50"/>
    <n v="50"/>
    <n v="672"/>
    <n v="62"/>
    <n v="57"/>
    <n v="52"/>
    <n v="31"/>
    <x v="5"/>
    <x v="0"/>
  </r>
  <r>
    <x v="672"/>
    <s v="Gogoatゴーゴート"/>
    <x v="0"/>
    <x v="1"/>
    <x v="488"/>
    <s v="Sap Sipper"/>
    <s v="Grass Pelt"/>
    <s v=""/>
    <s v=""/>
    <s v=""/>
    <s v=""/>
    <n v="2"/>
    <n v="1"/>
    <n v="1"/>
    <n v="0.5"/>
    <n v="1"/>
    <n v="1"/>
    <n v="2"/>
    <n v="2"/>
    <n v="1"/>
    <n v="0.5"/>
    <n v="0.5"/>
    <n v="2"/>
    <n v="1"/>
    <n v="2"/>
    <n v="1"/>
    <n v="1"/>
    <n v="1"/>
    <n v="0.5"/>
    <n v="100"/>
    <n v="5120"/>
    <n v="70"/>
    <n v="531"/>
    <n v="45"/>
    <n v="62"/>
    <n v="1000000"/>
    <n v="1.7"/>
    <n v="123"/>
    <n v="50"/>
    <n v="50"/>
    <n v="673"/>
    <n v="97"/>
    <n v="81"/>
    <n v="68"/>
    <n v="91"/>
    <x v="5"/>
    <x v="0"/>
  </r>
  <r>
    <x v="673"/>
    <s v="Yanchamヤンチャム"/>
    <x v="9"/>
    <x v="1"/>
    <x v="277"/>
    <s v="Iron Fist"/>
    <s v="Mold Breaker"/>
    <s v="Scrappy"/>
    <s v=""/>
    <s v=""/>
    <s v=""/>
    <n v="0.5"/>
    <n v="0.5"/>
    <n v="1"/>
    <n v="1"/>
    <n v="2"/>
    <n v="1"/>
    <n v="1"/>
    <n v="2"/>
    <n v="1"/>
    <n v="1"/>
    <n v="1"/>
    <n v="1"/>
    <n v="1"/>
    <n v="1"/>
    <n v="2"/>
    <n v="0.5"/>
    <n v="1"/>
    <n v="1"/>
    <n v="82"/>
    <n v="6400"/>
    <n v="70"/>
    <n v="348"/>
    <n v="220"/>
    <n v="62"/>
    <n v="1000000"/>
    <n v="0.6"/>
    <n v="67"/>
    <n v="50"/>
    <n v="50"/>
    <n v="674"/>
    <n v="46"/>
    <n v="48"/>
    <n v="43"/>
    <n v="8"/>
    <x v="5"/>
    <x v="0"/>
  </r>
  <r>
    <x v="674"/>
    <s v="Gorondaゴロンダ"/>
    <x v="9"/>
    <x v="3"/>
    <x v="489"/>
    <s v="Iron Fist"/>
    <s v="Mold Breaker"/>
    <s v="Scrappy"/>
    <s v=""/>
    <s v=""/>
    <s v=""/>
    <n v="1"/>
    <n v="0.25"/>
    <n v="1"/>
    <n v="1"/>
    <n v="4"/>
    <n v="2"/>
    <n v="1"/>
    <n v="2"/>
    <n v="0.5"/>
    <n v="1"/>
    <n v="1"/>
    <n v="1"/>
    <n v="1"/>
    <n v="1"/>
    <n v="0"/>
    <n v="0.5"/>
    <n v="1"/>
    <n v="1"/>
    <n v="124"/>
    <n v="6400"/>
    <n v="70"/>
    <n v="495"/>
    <n v="65"/>
    <n v="78"/>
    <n v="1000000"/>
    <n v="2.1"/>
    <n v="95"/>
    <n v="50"/>
    <n v="50"/>
    <n v="675"/>
    <n v="69"/>
    <n v="71"/>
    <n v="58"/>
    <n v="136"/>
    <x v="5"/>
    <x v="0"/>
  </r>
  <r>
    <x v="675"/>
    <s v="Trimmienトリミアン"/>
    <x v="4"/>
    <x v="1"/>
    <x v="490"/>
    <s v="Fur Coat"/>
    <s v=""/>
    <s v=""/>
    <s v=""/>
    <s v=""/>
    <s v=""/>
    <n v="1"/>
    <n v="1"/>
    <n v="1"/>
    <n v="1"/>
    <n v="1"/>
    <n v="2"/>
    <n v="1"/>
    <n v="1"/>
    <n v="0"/>
    <n v="1"/>
    <n v="1"/>
    <n v="1"/>
    <n v="1"/>
    <n v="1"/>
    <n v="1"/>
    <n v="1"/>
    <n v="1"/>
    <n v="1"/>
    <n v="80"/>
    <n v="5120"/>
    <n v="70"/>
    <n v="472"/>
    <n v="160"/>
    <n v="60"/>
    <n v="1000000"/>
    <n v="1.2"/>
    <n v="75"/>
    <n v="50"/>
    <n v="50"/>
    <n v="676"/>
    <n v="65"/>
    <n v="90"/>
    <n v="102"/>
    <n v="28"/>
    <x v="5"/>
    <x v="0"/>
  </r>
  <r>
    <x v="676"/>
    <s v="Nyasperニャスパー"/>
    <x v="10"/>
    <x v="1"/>
    <x v="491"/>
    <s v="Keen Eye"/>
    <s v="Infiltrator"/>
    <s v="Own Tempo"/>
    <s v=""/>
    <s v=""/>
    <s v=""/>
    <n v="2"/>
    <n v="2"/>
    <n v="1"/>
    <n v="1"/>
    <n v="1"/>
    <n v="0.5"/>
    <n v="1"/>
    <n v="1"/>
    <n v="2"/>
    <n v="1"/>
    <n v="1"/>
    <n v="1"/>
    <n v="1"/>
    <n v="1"/>
    <n v="0.5"/>
    <n v="1"/>
    <n v="1"/>
    <n v="1"/>
    <n v="48"/>
    <n v="5120"/>
    <n v="70"/>
    <n v="355"/>
    <n v="190"/>
    <n v="54"/>
    <n v="1000000"/>
    <n v="0.3"/>
    <n v="62"/>
    <n v="50"/>
    <n v="50"/>
    <n v="677"/>
    <n v="63"/>
    <n v="60"/>
    <n v="68"/>
    <n v="3.5"/>
    <x v="5"/>
    <x v="0"/>
  </r>
  <r>
    <x v="677"/>
    <s v="Nyaonixニャオニクス"/>
    <x v="10"/>
    <x v="1"/>
    <x v="492"/>
    <s v="Keen Eye"/>
    <s v="Infiltrator"/>
    <s v="Prankster"/>
    <s v="Competitive"/>
    <s v=""/>
    <s v=""/>
    <n v="2"/>
    <n v="2"/>
    <n v="1"/>
    <n v="1"/>
    <n v="1"/>
    <n v="0.5"/>
    <n v="1"/>
    <n v="1"/>
    <n v="2"/>
    <n v="1"/>
    <n v="1"/>
    <n v="1"/>
    <n v="1"/>
    <n v="1"/>
    <n v="0.5"/>
    <n v="1"/>
    <n v="1"/>
    <n v="1"/>
    <n v="48"/>
    <n v="5120"/>
    <n v="70"/>
    <n v="466"/>
    <n v="75"/>
    <n v="76"/>
    <n v="1000000"/>
    <n v="0.6"/>
    <n v="74"/>
    <n v="50"/>
    <n v="50"/>
    <n v="678"/>
    <n v="83"/>
    <n v="81"/>
    <n v="104"/>
    <n v="8.5"/>
    <x v="5"/>
    <x v="0"/>
  </r>
  <r>
    <x v="678"/>
    <s v="Hitotsukiヒトツキ"/>
    <x v="16"/>
    <x v="16"/>
    <x v="493"/>
    <s v="No Guard"/>
    <s v=""/>
    <s v=""/>
    <s v=""/>
    <s v=""/>
    <s v=""/>
    <n v="0.25"/>
    <n v="2"/>
    <n v="0.5"/>
    <n v="1"/>
    <n v="0.5"/>
    <n v="0"/>
    <n v="2"/>
    <n v="0.5"/>
    <n v="2"/>
    <n v="0.5"/>
    <n v="2"/>
    <n v="0.5"/>
    <n v="0"/>
    <n v="0"/>
    <n v="0.5"/>
    <n v="0.5"/>
    <n v="0.5"/>
    <n v="1"/>
    <n v="80"/>
    <n v="5120"/>
    <n v="70"/>
    <n v="325"/>
    <n v="180"/>
    <n v="100"/>
    <n v="1000000"/>
    <n v="0.8"/>
    <n v="45"/>
    <n v="50"/>
    <n v="50"/>
    <n v="679"/>
    <n v="35"/>
    <n v="37"/>
    <n v="28"/>
    <n v="2"/>
    <x v="5"/>
    <x v="0"/>
  </r>
  <r>
    <x v="679"/>
    <s v="Nidangillニダンギル"/>
    <x v="16"/>
    <x v="16"/>
    <x v="493"/>
    <s v="No Guard"/>
    <s v=""/>
    <s v=""/>
    <s v=""/>
    <s v=""/>
    <s v=""/>
    <n v="0.25"/>
    <n v="2"/>
    <n v="0.5"/>
    <n v="1"/>
    <n v="0.5"/>
    <n v="0"/>
    <n v="2"/>
    <n v="0.5"/>
    <n v="2"/>
    <n v="0.5"/>
    <n v="2"/>
    <n v="0.5"/>
    <n v="0"/>
    <n v="0"/>
    <n v="0.5"/>
    <n v="0.5"/>
    <n v="0.5"/>
    <n v="1"/>
    <n v="110"/>
    <n v="5120"/>
    <n v="70"/>
    <n v="448"/>
    <n v="90"/>
    <n v="150"/>
    <n v="1000000"/>
    <n v="0.8"/>
    <n v="59"/>
    <n v="50"/>
    <n v="50"/>
    <n v="680"/>
    <n v="45"/>
    <n v="49"/>
    <n v="35"/>
    <n v="4.5"/>
    <x v="5"/>
    <x v="0"/>
  </r>
  <r>
    <x v="680"/>
    <s v="Gillgardギルガルド"/>
    <x v="16"/>
    <x v="16"/>
    <x v="494"/>
    <s v="Stance Change"/>
    <s v=""/>
    <s v=""/>
    <s v=""/>
    <s v=""/>
    <s v=""/>
    <n v="0.25"/>
    <n v="2"/>
    <n v="0.5"/>
    <n v="1"/>
    <n v="0.5"/>
    <n v="0"/>
    <n v="2"/>
    <n v="0.5"/>
    <n v="2"/>
    <n v="0.5"/>
    <n v="2"/>
    <n v="0.5"/>
    <n v="0"/>
    <n v="0"/>
    <n v="0.5"/>
    <n v="0.5"/>
    <n v="0.5"/>
    <n v="1"/>
    <n v="150"/>
    <n v="5120"/>
    <n v="70"/>
    <n v="520"/>
    <n v="45"/>
    <n v="50"/>
    <n v="1000000"/>
    <n v="1.7"/>
    <n v="60"/>
    <n v="50"/>
    <n v="50"/>
    <n v="681"/>
    <n v="150"/>
    <n v="50"/>
    <n v="60"/>
    <n v="53"/>
    <x v="5"/>
    <x v="0"/>
  </r>
  <r>
    <x v="681"/>
    <s v="Shushupuシュシュプ"/>
    <x v="8"/>
    <x v="1"/>
    <x v="495"/>
    <s v="Healer"/>
    <s v="Aroma Veil"/>
    <s v=""/>
    <s v=""/>
    <s v=""/>
    <s v=""/>
    <n v="0.5"/>
    <n v="0.5"/>
    <n v="0"/>
    <n v="1"/>
    <n v="1"/>
    <n v="0.5"/>
    <n v="1"/>
    <n v="1"/>
    <n v="1"/>
    <n v="1"/>
    <n v="1"/>
    <n v="1"/>
    <n v="1"/>
    <n v="2"/>
    <n v="1"/>
    <n v="1"/>
    <n v="2"/>
    <n v="1"/>
    <n v="52"/>
    <n v="5120"/>
    <n v="70"/>
    <n v="341"/>
    <n v="200"/>
    <n v="60"/>
    <n v="1000000"/>
    <n v="0.2"/>
    <n v="78"/>
    <n v="50"/>
    <n v="50"/>
    <n v="682"/>
    <n v="63"/>
    <n v="65"/>
    <n v="23"/>
    <n v="0.5"/>
    <x v="5"/>
    <x v="0"/>
  </r>
  <r>
    <x v="682"/>
    <s v="Frefuwanフレフワン"/>
    <x v="8"/>
    <x v="1"/>
    <x v="496"/>
    <s v="Healer"/>
    <s v="Aroma Veil"/>
    <s v=""/>
    <s v=""/>
    <s v=""/>
    <s v=""/>
    <n v="0.5"/>
    <n v="0.5"/>
    <n v="0"/>
    <n v="1"/>
    <n v="1"/>
    <n v="0.5"/>
    <n v="1"/>
    <n v="1"/>
    <n v="1"/>
    <n v="1"/>
    <n v="1"/>
    <n v="1"/>
    <n v="1"/>
    <n v="2"/>
    <n v="1"/>
    <n v="1"/>
    <n v="2"/>
    <n v="1"/>
    <n v="72"/>
    <n v="5120"/>
    <n v="70"/>
    <n v="462"/>
    <n v="140"/>
    <n v="72"/>
    <n v="1000000"/>
    <n v="0.8"/>
    <n v="101"/>
    <n v="50"/>
    <n v="50"/>
    <n v="683"/>
    <n v="99"/>
    <n v="89"/>
    <n v="29"/>
    <n v="15.5"/>
    <x v="5"/>
    <x v="0"/>
  </r>
  <r>
    <x v="683"/>
    <s v="Peroppafuペロッパフ"/>
    <x v="8"/>
    <x v="1"/>
    <x v="497"/>
    <s v="Sweet Veil"/>
    <s v="Unburden"/>
    <s v=""/>
    <s v=""/>
    <s v=""/>
    <s v=""/>
    <n v="0.5"/>
    <n v="0.5"/>
    <n v="0"/>
    <n v="1"/>
    <n v="1"/>
    <n v="0.5"/>
    <n v="1"/>
    <n v="1"/>
    <n v="1"/>
    <n v="1"/>
    <n v="1"/>
    <n v="1"/>
    <n v="1"/>
    <n v="2"/>
    <n v="1"/>
    <n v="1"/>
    <n v="2"/>
    <n v="1"/>
    <n v="48"/>
    <n v="5120"/>
    <n v="70"/>
    <n v="341"/>
    <n v="200"/>
    <n v="66"/>
    <n v="1000000"/>
    <n v="0.4"/>
    <n v="62"/>
    <n v="50"/>
    <n v="50"/>
    <n v="684"/>
    <n v="59"/>
    <n v="57"/>
    <n v="49"/>
    <n v="3.5"/>
    <x v="5"/>
    <x v="0"/>
  </r>
  <r>
    <x v="684"/>
    <s v="Peroreamペロリーム"/>
    <x v="8"/>
    <x v="1"/>
    <x v="498"/>
    <s v="Sweet Veil"/>
    <s v="Unburden"/>
    <s v=""/>
    <s v=""/>
    <s v=""/>
    <s v=""/>
    <n v="0.5"/>
    <n v="0.5"/>
    <n v="0"/>
    <n v="1"/>
    <n v="1"/>
    <n v="0.5"/>
    <n v="1"/>
    <n v="1"/>
    <n v="1"/>
    <n v="1"/>
    <n v="1"/>
    <n v="1"/>
    <n v="1"/>
    <n v="2"/>
    <n v="1"/>
    <n v="1"/>
    <n v="2"/>
    <n v="1"/>
    <n v="80"/>
    <n v="5120"/>
    <n v="70"/>
    <n v="480"/>
    <n v="140"/>
    <n v="86"/>
    <n v="1000000"/>
    <n v="0.8"/>
    <n v="82"/>
    <n v="50"/>
    <n v="50"/>
    <n v="685"/>
    <n v="85"/>
    <n v="75"/>
    <n v="72"/>
    <n v="5"/>
    <x v="5"/>
    <x v="0"/>
  </r>
  <r>
    <x v="685"/>
    <s v="Maaiikaマーイーカ"/>
    <x v="15"/>
    <x v="10"/>
    <x v="499"/>
    <s v="Contrary"/>
    <s v="Suction Cups"/>
    <s v="Infiltrator"/>
    <s v=""/>
    <s v=""/>
    <s v=""/>
    <n v="4"/>
    <n v="1"/>
    <n v="1"/>
    <n v="1"/>
    <n v="2"/>
    <n v="1"/>
    <n v="1"/>
    <n v="1"/>
    <n v="1"/>
    <n v="1"/>
    <n v="1"/>
    <n v="1"/>
    <n v="1"/>
    <n v="1"/>
    <n v="0"/>
    <n v="1"/>
    <n v="1"/>
    <n v="1"/>
    <n v="54"/>
    <n v="5120"/>
    <n v="70"/>
    <n v="288"/>
    <n v="190"/>
    <n v="53"/>
    <n v="1000000"/>
    <n v="0.4"/>
    <n v="53"/>
    <n v="50"/>
    <n v="50"/>
    <n v="686"/>
    <n v="37"/>
    <n v="46"/>
    <n v="45"/>
    <n v="3.5"/>
    <x v="5"/>
    <x v="0"/>
  </r>
  <r>
    <x v="686"/>
    <s v="Calamaneroカラマネロ"/>
    <x v="15"/>
    <x v="10"/>
    <x v="500"/>
    <s v="Contrary"/>
    <s v="Suction Cups"/>
    <s v="Infiltrator"/>
    <s v=""/>
    <s v=""/>
    <s v=""/>
    <n v="4"/>
    <n v="1"/>
    <n v="1"/>
    <n v="1"/>
    <n v="2"/>
    <n v="1"/>
    <n v="1"/>
    <n v="1"/>
    <n v="1"/>
    <n v="1"/>
    <n v="1"/>
    <n v="1"/>
    <n v="1"/>
    <n v="1"/>
    <n v="0"/>
    <n v="1"/>
    <n v="1"/>
    <n v="1"/>
    <n v="92"/>
    <n v="5120"/>
    <n v="70"/>
    <n v="482"/>
    <n v="80"/>
    <n v="88"/>
    <n v="1000000"/>
    <n v="1.5"/>
    <n v="86"/>
    <n v="50"/>
    <n v="50"/>
    <n v="687"/>
    <n v="68"/>
    <n v="75"/>
    <n v="73"/>
    <n v="47"/>
    <x v="5"/>
    <x v="0"/>
  </r>
  <r>
    <x v="687"/>
    <s v="Kameteteカメテテ"/>
    <x v="11"/>
    <x v="14"/>
    <x v="501"/>
    <s v="Tough Claws"/>
    <s v="Sniper"/>
    <s v="Pickpocket"/>
    <s v=""/>
    <s v=""/>
    <s v=""/>
    <n v="1"/>
    <n v="1"/>
    <n v="1"/>
    <n v="2"/>
    <n v="1"/>
    <n v="2"/>
    <n v="0.25"/>
    <n v="0.5"/>
    <n v="1"/>
    <n v="4"/>
    <n v="2"/>
    <n v="0.5"/>
    <n v="0.5"/>
    <n v="0.5"/>
    <n v="1"/>
    <n v="1"/>
    <n v="1"/>
    <n v="1"/>
    <n v="52"/>
    <n v="5120"/>
    <n v="70"/>
    <n v="306"/>
    <n v="120"/>
    <n v="67"/>
    <n v="1000000"/>
    <n v="0.5"/>
    <n v="42"/>
    <n v="50"/>
    <n v="50"/>
    <n v="688"/>
    <n v="39"/>
    <n v="56"/>
    <n v="50"/>
    <n v="31"/>
    <x v="5"/>
    <x v="0"/>
  </r>
  <r>
    <x v="688"/>
    <s v="Gamenodesガメノデス"/>
    <x v="11"/>
    <x v="14"/>
    <x v="502"/>
    <s v="Tough Claws"/>
    <s v="Sniper"/>
    <s v="Pickpocket"/>
    <s v=""/>
    <s v=""/>
    <s v=""/>
    <n v="1"/>
    <n v="1"/>
    <n v="1"/>
    <n v="2"/>
    <n v="1"/>
    <n v="2"/>
    <n v="0.25"/>
    <n v="0.5"/>
    <n v="1"/>
    <n v="4"/>
    <n v="2"/>
    <n v="0.5"/>
    <n v="0.5"/>
    <n v="0.5"/>
    <n v="1"/>
    <n v="1"/>
    <n v="1"/>
    <n v="1"/>
    <n v="105"/>
    <n v="5120"/>
    <n v="70"/>
    <n v="500"/>
    <n v="45"/>
    <n v="115"/>
    <n v="1000000"/>
    <n v="1.3"/>
    <n v="72"/>
    <n v="50"/>
    <n v="50"/>
    <n v="689"/>
    <n v="54"/>
    <n v="86"/>
    <n v="68"/>
    <n v="96"/>
    <x v="5"/>
    <x v="0"/>
  </r>
  <r>
    <x v="689"/>
    <s v="Kuzumoクズモー"/>
    <x v="5"/>
    <x v="14"/>
    <x v="503"/>
    <s v="Poison Point"/>
    <s v="Poison Touch"/>
    <s v="Adaptability"/>
    <s v=""/>
    <s v=""/>
    <s v=""/>
    <n v="0.5"/>
    <n v="1"/>
    <n v="1"/>
    <n v="2"/>
    <n v="0.5"/>
    <n v="0.5"/>
    <n v="0.5"/>
    <n v="1"/>
    <n v="1"/>
    <n v="1"/>
    <n v="2"/>
    <n v="0.5"/>
    <n v="1"/>
    <n v="0.5"/>
    <n v="2"/>
    <n v="1"/>
    <n v="0.5"/>
    <n v="0.5"/>
    <n v="60"/>
    <n v="5120"/>
    <n v="70"/>
    <n v="320"/>
    <n v="225"/>
    <n v="60"/>
    <n v="1000000"/>
    <n v="0.5"/>
    <n v="50"/>
    <n v="50"/>
    <n v="50"/>
    <n v="690"/>
    <n v="60"/>
    <n v="60"/>
    <n v="30"/>
    <n v="7.3"/>
    <x v="5"/>
    <x v="0"/>
  </r>
  <r>
    <x v="690"/>
    <s v="Dramidoroドラミドロ"/>
    <x v="5"/>
    <x v="15"/>
    <x v="503"/>
    <s v="Poison Point"/>
    <s v="Poison Touch"/>
    <s v="Adaptability"/>
    <s v=""/>
    <s v=""/>
    <s v=""/>
    <n v="0.5"/>
    <n v="1"/>
    <n v="2"/>
    <n v="0.5"/>
    <n v="1"/>
    <n v="0.5"/>
    <n v="0.5"/>
    <n v="1"/>
    <n v="1"/>
    <n v="0.25"/>
    <n v="2"/>
    <n v="2"/>
    <n v="1"/>
    <n v="0.5"/>
    <n v="2"/>
    <n v="1"/>
    <n v="1"/>
    <n v="0.5"/>
    <n v="75"/>
    <n v="5120"/>
    <n v="70"/>
    <n v="494"/>
    <n v="55"/>
    <n v="90"/>
    <n v="1000000"/>
    <n v="1.8"/>
    <n v="65"/>
    <n v="50"/>
    <n v="50"/>
    <n v="691"/>
    <n v="97"/>
    <n v="123"/>
    <n v="44"/>
    <n v="81.5"/>
    <x v="5"/>
    <x v="0"/>
  </r>
  <r>
    <x v="691"/>
    <s v="Udeppouウデッポウ"/>
    <x v="2"/>
    <x v="1"/>
    <x v="504"/>
    <s v="Mega Launcher"/>
    <s v=""/>
    <s v=""/>
    <s v=""/>
    <s v=""/>
    <s v=""/>
    <n v="1"/>
    <n v="1"/>
    <n v="1"/>
    <n v="2"/>
    <n v="1"/>
    <n v="1"/>
    <n v="0.5"/>
    <n v="1"/>
    <n v="1"/>
    <n v="2"/>
    <n v="1"/>
    <n v="0.5"/>
    <n v="1"/>
    <n v="1"/>
    <n v="1"/>
    <n v="1"/>
    <n v="0.5"/>
    <n v="0.5"/>
    <n v="53"/>
    <n v="3840"/>
    <n v="70"/>
    <n v="330"/>
    <n v="225"/>
    <n v="62"/>
    <n v="1250000"/>
    <n v="0.5"/>
    <n v="50"/>
    <n v="50"/>
    <n v="50"/>
    <n v="692"/>
    <n v="58"/>
    <n v="63"/>
    <n v="44"/>
    <n v="8.3000000000000007"/>
    <x v="5"/>
    <x v="0"/>
  </r>
  <r>
    <x v="692"/>
    <s v="Blosterブロスター"/>
    <x v="2"/>
    <x v="1"/>
    <x v="505"/>
    <s v="Mega Launcher"/>
    <s v=""/>
    <s v=""/>
    <s v=""/>
    <s v=""/>
    <s v=""/>
    <n v="1"/>
    <n v="1"/>
    <n v="1"/>
    <n v="2"/>
    <n v="1"/>
    <n v="1"/>
    <n v="0.5"/>
    <n v="1"/>
    <n v="1"/>
    <n v="2"/>
    <n v="1"/>
    <n v="0.5"/>
    <n v="1"/>
    <n v="1"/>
    <n v="1"/>
    <n v="1"/>
    <n v="0.5"/>
    <n v="0.5"/>
    <n v="73"/>
    <n v="3840"/>
    <n v="70"/>
    <n v="500"/>
    <n v="55"/>
    <n v="88"/>
    <n v="1250000"/>
    <n v="1.3"/>
    <n v="71"/>
    <n v="50"/>
    <n v="50"/>
    <n v="693"/>
    <n v="120"/>
    <n v="89"/>
    <n v="59"/>
    <n v="35.299999999999997"/>
    <x v="5"/>
    <x v="0"/>
  </r>
  <r>
    <x v="693"/>
    <s v="Erikiteruエリキテル"/>
    <x v="6"/>
    <x v="18"/>
    <x v="506"/>
    <s v="Dry Skin"/>
    <s v="Sand Veil"/>
    <s v="Solar Power"/>
    <s v=""/>
    <s v=""/>
    <s v=""/>
    <n v="1"/>
    <n v="1"/>
    <n v="1"/>
    <n v="0.5"/>
    <n v="1"/>
    <n v="2"/>
    <n v="1"/>
    <n v="0.5"/>
    <n v="0"/>
    <n v="1"/>
    <n v="2"/>
    <n v="1"/>
    <n v="1"/>
    <n v="1"/>
    <n v="1"/>
    <n v="1"/>
    <n v="0.5"/>
    <n v="1"/>
    <n v="38"/>
    <n v="5120"/>
    <n v="70"/>
    <n v="289"/>
    <n v="190"/>
    <n v="33"/>
    <n v="1000000"/>
    <n v="0.5"/>
    <n v="44"/>
    <n v="50"/>
    <n v="50"/>
    <n v="694"/>
    <n v="61"/>
    <n v="43"/>
    <n v="70"/>
    <n v="6"/>
    <x v="5"/>
    <x v="0"/>
  </r>
  <r>
    <x v="694"/>
    <s v="Elezardエレザード"/>
    <x v="6"/>
    <x v="18"/>
    <x v="506"/>
    <s v="Dry Skin"/>
    <s v="Sand Veil"/>
    <s v="Solar Power"/>
    <s v=""/>
    <s v=""/>
    <s v=""/>
    <n v="1"/>
    <n v="1"/>
    <n v="1"/>
    <n v="0.5"/>
    <n v="1"/>
    <n v="2"/>
    <n v="1"/>
    <n v="0.5"/>
    <n v="0"/>
    <n v="1"/>
    <n v="2"/>
    <n v="1"/>
    <n v="1"/>
    <n v="1"/>
    <n v="1"/>
    <n v="1"/>
    <n v="0.5"/>
    <n v="1"/>
    <n v="55"/>
    <n v="5120"/>
    <n v="70"/>
    <n v="481"/>
    <n v="75"/>
    <n v="52"/>
    <n v="1000000"/>
    <n v="1"/>
    <n v="62"/>
    <n v="50"/>
    <n v="50"/>
    <n v="695"/>
    <n v="109"/>
    <n v="94"/>
    <n v="109"/>
    <n v="21"/>
    <x v="5"/>
    <x v="0"/>
  </r>
  <r>
    <x v="695"/>
    <s v="Chigorasチゴラス"/>
    <x v="11"/>
    <x v="15"/>
    <x v="507"/>
    <s v="Strong Jaw"/>
    <s v="Sturdy"/>
    <s v=""/>
    <s v=""/>
    <s v=""/>
    <s v=""/>
    <n v="1"/>
    <n v="1"/>
    <n v="2"/>
    <n v="0.5"/>
    <n v="2"/>
    <n v="2"/>
    <n v="0.25"/>
    <n v="0.5"/>
    <n v="1"/>
    <n v="1"/>
    <n v="2"/>
    <n v="2"/>
    <n v="0.5"/>
    <n v="0.5"/>
    <n v="1"/>
    <n v="1"/>
    <n v="2"/>
    <n v="1"/>
    <n v="89"/>
    <n v="7680"/>
    <n v="70"/>
    <n v="362"/>
    <n v="45"/>
    <n v="77"/>
    <n v="1000000"/>
    <n v="0.8"/>
    <n v="58"/>
    <n v="88.1"/>
    <n v="11.900000000000006"/>
    <n v="696"/>
    <n v="45"/>
    <n v="45"/>
    <n v="48"/>
    <n v="26"/>
    <x v="5"/>
    <x v="0"/>
  </r>
  <r>
    <x v="696"/>
    <s v="Gachigorasガチゴラス"/>
    <x v="11"/>
    <x v="15"/>
    <x v="508"/>
    <s v="Strong Jaw"/>
    <s v="Rock Head"/>
    <s v=""/>
    <s v=""/>
    <s v=""/>
    <s v=""/>
    <n v="1"/>
    <n v="1"/>
    <n v="2"/>
    <n v="0.5"/>
    <n v="2"/>
    <n v="2"/>
    <n v="0.25"/>
    <n v="0.5"/>
    <n v="1"/>
    <n v="1"/>
    <n v="2"/>
    <n v="2"/>
    <n v="0.5"/>
    <n v="0.5"/>
    <n v="1"/>
    <n v="1"/>
    <n v="2"/>
    <n v="1"/>
    <n v="121"/>
    <n v="7680"/>
    <n v="70"/>
    <n v="521"/>
    <n v="45"/>
    <n v="119"/>
    <n v="1000000"/>
    <n v="2.5"/>
    <n v="82"/>
    <n v="88.1"/>
    <n v="11.900000000000006"/>
    <n v="697"/>
    <n v="69"/>
    <n v="59"/>
    <n v="71"/>
    <n v="270"/>
    <x v="5"/>
    <x v="0"/>
  </r>
  <r>
    <x v="697"/>
    <s v="Amarusアマルス"/>
    <x v="11"/>
    <x v="5"/>
    <x v="509"/>
    <s v="Refrigerate"/>
    <s v="Snow Warning"/>
    <s v=""/>
    <s v=""/>
    <s v=""/>
    <s v=""/>
    <n v="1"/>
    <n v="1"/>
    <n v="1"/>
    <n v="1"/>
    <n v="1"/>
    <n v="4"/>
    <n v="1"/>
    <n v="0.5"/>
    <n v="1"/>
    <n v="2"/>
    <n v="2"/>
    <n v="0.5"/>
    <n v="0.5"/>
    <n v="0.5"/>
    <n v="1"/>
    <n v="2"/>
    <n v="4"/>
    <n v="2"/>
    <n v="59"/>
    <n v="7680"/>
    <n v="70"/>
    <n v="362"/>
    <n v="45"/>
    <n v="50"/>
    <n v="1000000"/>
    <n v="1.3"/>
    <n v="77"/>
    <n v="88.1"/>
    <n v="11.900000000000006"/>
    <n v="698"/>
    <n v="67"/>
    <n v="63"/>
    <n v="46"/>
    <n v="25.2"/>
    <x v="5"/>
    <x v="0"/>
  </r>
  <r>
    <x v="698"/>
    <s v="Amarurugaアマルルガ"/>
    <x v="11"/>
    <x v="5"/>
    <x v="509"/>
    <s v="Refrigerate"/>
    <s v="Snow Warning"/>
    <s v=""/>
    <s v=""/>
    <s v=""/>
    <s v=""/>
    <n v="1"/>
    <n v="1"/>
    <n v="1"/>
    <n v="1"/>
    <n v="1"/>
    <n v="4"/>
    <n v="1"/>
    <n v="0.5"/>
    <n v="1"/>
    <n v="2"/>
    <n v="2"/>
    <n v="0.5"/>
    <n v="0.5"/>
    <n v="0.5"/>
    <n v="1"/>
    <n v="2"/>
    <n v="4"/>
    <n v="2"/>
    <n v="77"/>
    <n v="7680"/>
    <n v="70"/>
    <n v="521"/>
    <n v="45"/>
    <n v="72"/>
    <n v="1000000"/>
    <n v="2.7"/>
    <n v="123"/>
    <n v="88.1"/>
    <n v="11.900000000000006"/>
    <n v="699"/>
    <n v="99"/>
    <n v="92"/>
    <n v="58"/>
    <n v="225"/>
    <x v="5"/>
    <x v="0"/>
  </r>
  <r>
    <x v="699"/>
    <s v="Nymphiaニンフィア"/>
    <x v="8"/>
    <x v="1"/>
    <x v="510"/>
    <s v="Cute Charm"/>
    <s v="Pixilate"/>
    <s v=""/>
    <s v=""/>
    <s v=""/>
    <s v=""/>
    <n v="0.5"/>
    <n v="0.5"/>
    <n v="0"/>
    <n v="1"/>
    <n v="1"/>
    <n v="0.5"/>
    <n v="1"/>
    <n v="1"/>
    <n v="1"/>
    <n v="1"/>
    <n v="1"/>
    <n v="1"/>
    <n v="1"/>
    <n v="2"/>
    <n v="1"/>
    <n v="1"/>
    <n v="2"/>
    <n v="1"/>
    <n v="65"/>
    <n v="8960"/>
    <n v="70"/>
    <n v="525"/>
    <n v="45"/>
    <n v="65"/>
    <n v="1000000"/>
    <n v="1"/>
    <n v="95"/>
    <n v="88.1"/>
    <n v="11.900000000000006"/>
    <n v="700"/>
    <n v="110"/>
    <n v="130"/>
    <n v="60"/>
    <n v="23.5"/>
    <x v="5"/>
    <x v="0"/>
  </r>
  <r>
    <x v="700"/>
    <s v="Luchabullルチャブル"/>
    <x v="9"/>
    <x v="2"/>
    <x v="511"/>
    <s v="Limber"/>
    <s v="Unburden"/>
    <s v="Mold Breaker"/>
    <s v=""/>
    <s v=""/>
    <s v=""/>
    <n v="0.25"/>
    <n v="0.5"/>
    <n v="1"/>
    <n v="2"/>
    <n v="2"/>
    <n v="0.5"/>
    <n v="1"/>
    <n v="2"/>
    <n v="1"/>
    <n v="0.5"/>
    <n v="0"/>
    <n v="2"/>
    <n v="1"/>
    <n v="1"/>
    <n v="2"/>
    <n v="1"/>
    <n v="1"/>
    <n v="1"/>
    <n v="92"/>
    <n v="5120"/>
    <n v="70"/>
    <n v="500"/>
    <n v="100"/>
    <n v="75"/>
    <n v="1000000"/>
    <n v="0.8"/>
    <n v="78"/>
    <n v="50"/>
    <n v="50"/>
    <n v="701"/>
    <n v="74"/>
    <n v="63"/>
    <n v="118"/>
    <n v="21.5"/>
    <x v="5"/>
    <x v="0"/>
  </r>
  <r>
    <x v="701"/>
    <s v="Dedenneデデンネ"/>
    <x v="6"/>
    <x v="7"/>
    <x v="512"/>
    <s v="Cheek Pouch"/>
    <s v="Pickup"/>
    <s v="Plus"/>
    <s v=""/>
    <s v=""/>
    <s v=""/>
    <n v="0.5"/>
    <n v="0.5"/>
    <n v="0"/>
    <n v="0.5"/>
    <n v="1"/>
    <n v="0.5"/>
    <n v="1"/>
    <n v="0.5"/>
    <n v="1"/>
    <n v="1"/>
    <n v="2"/>
    <n v="1"/>
    <n v="1"/>
    <n v="2"/>
    <n v="1"/>
    <n v="1"/>
    <n v="1"/>
    <n v="1"/>
    <n v="58"/>
    <n v="5120"/>
    <n v="70"/>
    <n v="431"/>
    <n v="180"/>
    <n v="57"/>
    <n v="1000000"/>
    <n v="0.2"/>
    <n v="67"/>
    <n v="50"/>
    <n v="50"/>
    <n v="702"/>
    <n v="81"/>
    <n v="67"/>
    <n v="101"/>
    <n v="2.2000000000000002"/>
    <x v="5"/>
    <x v="0"/>
  </r>
  <r>
    <x v="702"/>
    <s v="Melecieメレシー"/>
    <x v="11"/>
    <x v="7"/>
    <x v="513"/>
    <s v="Clear Body"/>
    <s v="Sturdy"/>
    <s v=""/>
    <s v=""/>
    <s v=""/>
    <s v=""/>
    <n v="0.5"/>
    <n v="0.5"/>
    <n v="0"/>
    <n v="1"/>
    <n v="1"/>
    <n v="1"/>
    <n v="0.5"/>
    <n v="0.5"/>
    <n v="1"/>
    <n v="2"/>
    <n v="2"/>
    <n v="1"/>
    <n v="0.5"/>
    <n v="1"/>
    <n v="1"/>
    <n v="1"/>
    <n v="4"/>
    <n v="2"/>
    <n v="50"/>
    <n v="6400"/>
    <n v="70"/>
    <n v="500"/>
    <n v="60"/>
    <n v="150"/>
    <n v="1250000"/>
    <n v="0.3"/>
    <n v="50"/>
    <s v=""/>
    <s v=""/>
    <n v="703"/>
    <n v="50"/>
    <n v="150"/>
    <n v="50"/>
    <n v="5.7"/>
    <x v="5"/>
    <x v="0"/>
  </r>
  <r>
    <x v="703"/>
    <s v="Numeraヌメラ"/>
    <x v="14"/>
    <x v="1"/>
    <x v="514"/>
    <s v="Sap Sipper"/>
    <s v="Hydration"/>
    <s v="Gooey"/>
    <s v=""/>
    <s v=""/>
    <s v=""/>
    <n v="1"/>
    <n v="1"/>
    <n v="2"/>
    <n v="0.5"/>
    <n v="2"/>
    <n v="1"/>
    <n v="0.5"/>
    <n v="1"/>
    <n v="1"/>
    <n v="0.5"/>
    <n v="1"/>
    <n v="2"/>
    <n v="1"/>
    <n v="1"/>
    <n v="1"/>
    <n v="1"/>
    <n v="1"/>
    <n v="0.5"/>
    <n v="50"/>
    <n v="10240"/>
    <n v="35"/>
    <n v="300"/>
    <n v="45"/>
    <n v="35"/>
    <n v="1250000"/>
    <n v="0.3"/>
    <n v="45"/>
    <n v="50"/>
    <n v="50"/>
    <n v="704"/>
    <n v="55"/>
    <n v="75"/>
    <n v="40"/>
    <n v="2.8"/>
    <x v="5"/>
    <x v="0"/>
  </r>
  <r>
    <x v="704"/>
    <s v="Numeilヌメイル"/>
    <x v="14"/>
    <x v="1"/>
    <x v="514"/>
    <s v="Sap Sipper"/>
    <s v="Hydration"/>
    <s v="Gooey"/>
    <s v=""/>
    <s v=""/>
    <s v=""/>
    <n v="1"/>
    <n v="1"/>
    <n v="2"/>
    <n v="0.5"/>
    <n v="2"/>
    <n v="1"/>
    <n v="0.5"/>
    <n v="1"/>
    <n v="1"/>
    <n v="0.5"/>
    <n v="1"/>
    <n v="2"/>
    <n v="1"/>
    <n v="1"/>
    <n v="1"/>
    <n v="1"/>
    <n v="1"/>
    <n v="0.5"/>
    <n v="75"/>
    <n v="10240"/>
    <n v="35"/>
    <n v="452"/>
    <n v="45"/>
    <n v="53"/>
    <n v="1250000"/>
    <n v="0.8"/>
    <n v="68"/>
    <n v="50"/>
    <n v="50"/>
    <n v="705"/>
    <n v="83"/>
    <n v="113"/>
    <n v="60"/>
    <n v="17.5"/>
    <x v="5"/>
    <x v="0"/>
  </r>
  <r>
    <x v="705"/>
    <s v="Numelgonヌメルゴン"/>
    <x v="14"/>
    <x v="1"/>
    <x v="70"/>
    <s v="Sap Sipper"/>
    <s v="Hydration"/>
    <s v="Gooey"/>
    <s v=""/>
    <s v=""/>
    <s v=""/>
    <n v="1"/>
    <n v="1"/>
    <n v="2"/>
    <n v="0.5"/>
    <n v="2"/>
    <n v="1"/>
    <n v="0.5"/>
    <n v="1"/>
    <n v="1"/>
    <n v="0.5"/>
    <n v="1"/>
    <n v="2"/>
    <n v="1"/>
    <n v="1"/>
    <n v="1"/>
    <n v="1"/>
    <n v="1"/>
    <n v="0.5"/>
    <n v="100"/>
    <n v="10240"/>
    <n v="35"/>
    <n v="600"/>
    <n v="45"/>
    <n v="70"/>
    <n v="1250000"/>
    <n v="2"/>
    <n v="90"/>
    <n v="50"/>
    <n v="50"/>
    <n v="706"/>
    <n v="110"/>
    <n v="150"/>
    <n v="80"/>
    <n v="150.5"/>
    <x v="5"/>
    <x v="0"/>
  </r>
  <r>
    <x v="706"/>
    <s v="Cleffyクレッフィ"/>
    <x v="16"/>
    <x v="7"/>
    <x v="515"/>
    <s v="Prankster"/>
    <s v="Magician"/>
    <s v=""/>
    <s v=""/>
    <s v=""/>
    <s v=""/>
    <n v="0.25"/>
    <n v="0.5"/>
    <n v="0"/>
    <n v="1"/>
    <n v="0.5"/>
    <n v="1"/>
    <n v="2"/>
    <n v="0.5"/>
    <n v="1"/>
    <n v="0.5"/>
    <n v="2"/>
    <n v="0.5"/>
    <n v="0.5"/>
    <n v="0"/>
    <n v="0.5"/>
    <n v="0.5"/>
    <n v="1"/>
    <n v="1"/>
    <n v="80"/>
    <n v="5120"/>
    <n v="70"/>
    <n v="470"/>
    <n v="75"/>
    <n v="91"/>
    <n v="800000"/>
    <n v="0.2"/>
    <n v="57"/>
    <n v="50"/>
    <n v="50"/>
    <n v="707"/>
    <n v="80"/>
    <n v="87"/>
    <n v="75"/>
    <n v="3"/>
    <x v="5"/>
    <x v="0"/>
  </r>
  <r>
    <x v="707"/>
    <s v="Bokureiボクレー"/>
    <x v="12"/>
    <x v="8"/>
    <x v="516"/>
    <s v="Natural Cure"/>
    <s v="Frisk"/>
    <s v="Harvest"/>
    <s v=""/>
    <s v=""/>
    <s v=""/>
    <n v="1"/>
    <n v="2"/>
    <n v="1"/>
    <n v="0.5"/>
    <n v="1"/>
    <n v="0"/>
    <n v="2"/>
    <n v="2"/>
    <n v="2"/>
    <n v="0.5"/>
    <n v="0.5"/>
    <n v="2"/>
    <n v="0"/>
    <n v="1"/>
    <n v="1"/>
    <n v="1"/>
    <n v="1"/>
    <n v="0.5"/>
    <n v="70"/>
    <n v="5120"/>
    <n v="70"/>
    <n v="309"/>
    <n v="120"/>
    <n v="48"/>
    <n v="1000000"/>
    <n v="0.4"/>
    <n v="43"/>
    <n v="50"/>
    <n v="50"/>
    <n v="708"/>
    <n v="50"/>
    <n v="60"/>
    <n v="38"/>
    <n v="7"/>
    <x v="5"/>
    <x v="0"/>
  </r>
  <r>
    <x v="708"/>
    <s v="Ohrotオーロット"/>
    <x v="12"/>
    <x v="8"/>
    <x v="517"/>
    <s v="Natural Cure"/>
    <s v="Frisk"/>
    <s v="Harvest"/>
    <s v=""/>
    <s v=""/>
    <s v=""/>
    <n v="1"/>
    <n v="2"/>
    <n v="1"/>
    <n v="0.5"/>
    <n v="1"/>
    <n v="0"/>
    <n v="2"/>
    <n v="2"/>
    <n v="2"/>
    <n v="0.5"/>
    <n v="0.5"/>
    <n v="2"/>
    <n v="0"/>
    <n v="1"/>
    <n v="1"/>
    <n v="1"/>
    <n v="1"/>
    <n v="0.5"/>
    <n v="110"/>
    <n v="5120"/>
    <n v="70"/>
    <n v="474"/>
    <n v="60"/>
    <n v="76"/>
    <n v="1000000"/>
    <n v="1.5"/>
    <n v="85"/>
    <n v="50"/>
    <n v="50"/>
    <n v="709"/>
    <n v="65"/>
    <n v="82"/>
    <n v="56"/>
    <n v="71"/>
    <x v="5"/>
    <x v="0"/>
  </r>
  <r>
    <x v="709"/>
    <s v="Bakecchaバケッチャ"/>
    <x v="12"/>
    <x v="8"/>
    <x v="518"/>
    <s v="Pickup"/>
    <s v="Frisk"/>
    <s v="Insomnia"/>
    <s v=""/>
    <s v=""/>
    <s v=""/>
    <n v="1"/>
    <n v="2"/>
    <n v="1"/>
    <n v="0.5"/>
    <n v="1"/>
    <n v="0"/>
    <n v="2"/>
    <n v="2"/>
    <n v="2"/>
    <n v="0.5"/>
    <n v="0.5"/>
    <n v="2"/>
    <n v="0"/>
    <n v="1"/>
    <n v="1"/>
    <n v="1"/>
    <n v="1"/>
    <n v="0.5"/>
    <n v="66"/>
    <n v="5120"/>
    <n v="70"/>
    <n v="335"/>
    <n v="120"/>
    <n v="70"/>
    <n v="1000000"/>
    <n v="0.8"/>
    <n v="59"/>
    <n v="50"/>
    <n v="50"/>
    <n v="710"/>
    <n v="44"/>
    <n v="55"/>
    <n v="41"/>
    <n v="15"/>
    <x v="5"/>
    <x v="0"/>
  </r>
  <r>
    <x v="710"/>
    <s v="Pumpjinパンプジン"/>
    <x v="12"/>
    <x v="8"/>
    <x v="518"/>
    <s v="Pickup"/>
    <s v="Frisk"/>
    <s v="Insomnia"/>
    <s v=""/>
    <s v=""/>
    <s v=""/>
    <n v="1"/>
    <n v="2"/>
    <n v="1"/>
    <n v="0.5"/>
    <n v="1"/>
    <n v="0"/>
    <n v="2"/>
    <n v="2"/>
    <n v="2"/>
    <n v="0.5"/>
    <n v="0.5"/>
    <n v="2"/>
    <n v="0"/>
    <n v="1"/>
    <n v="1"/>
    <n v="1"/>
    <n v="1"/>
    <n v="0.5"/>
    <n v="100"/>
    <n v="5120"/>
    <n v="70"/>
    <n v="494"/>
    <n v="60"/>
    <n v="122"/>
    <n v="1000000"/>
    <n v="1.7"/>
    <n v="85"/>
    <n v="50"/>
    <n v="50"/>
    <n v="711"/>
    <n v="58"/>
    <n v="75"/>
    <n v="54"/>
    <n v="39"/>
    <x v="5"/>
    <x v="0"/>
  </r>
  <r>
    <x v="711"/>
    <s v="Kachikohruカチコール"/>
    <x v="13"/>
    <x v="1"/>
    <x v="519"/>
    <s v="Own Tempo"/>
    <s v="Ice Body"/>
    <s v="Sturdy"/>
    <s v=""/>
    <s v=""/>
    <s v=""/>
    <n v="1"/>
    <n v="1"/>
    <n v="1"/>
    <n v="1"/>
    <n v="1"/>
    <n v="2"/>
    <n v="2"/>
    <n v="1"/>
    <n v="1"/>
    <n v="1"/>
    <n v="1"/>
    <n v="0.5"/>
    <n v="1"/>
    <n v="1"/>
    <n v="1"/>
    <n v="2"/>
    <n v="2"/>
    <n v="1"/>
    <n v="69"/>
    <n v="5120"/>
    <n v="70"/>
    <n v="304"/>
    <n v="190"/>
    <n v="85"/>
    <n v="1000000"/>
    <n v="1"/>
    <n v="55"/>
    <n v="50"/>
    <n v="50"/>
    <n v="712"/>
    <n v="32"/>
    <n v="35"/>
    <n v="28"/>
    <n v="99.5"/>
    <x v="5"/>
    <x v="0"/>
  </r>
  <r>
    <x v="712"/>
    <s v="Crebaseクレベース"/>
    <x v="13"/>
    <x v="1"/>
    <x v="266"/>
    <s v="Own Tempo"/>
    <s v="Ice Body"/>
    <s v="Sturdy"/>
    <s v=""/>
    <s v=""/>
    <s v=""/>
    <n v="1"/>
    <n v="1"/>
    <n v="1"/>
    <n v="1"/>
    <n v="1"/>
    <n v="2"/>
    <n v="2"/>
    <n v="1"/>
    <n v="1"/>
    <n v="1"/>
    <n v="1"/>
    <n v="0.5"/>
    <n v="1"/>
    <n v="1"/>
    <n v="1"/>
    <n v="2"/>
    <n v="2"/>
    <n v="1"/>
    <n v="117"/>
    <n v="5120"/>
    <n v="70"/>
    <n v="514"/>
    <n v="55"/>
    <n v="184"/>
    <n v="1000000"/>
    <n v="2"/>
    <n v="95"/>
    <n v="50"/>
    <n v="50"/>
    <n v="713"/>
    <n v="44"/>
    <n v="46"/>
    <n v="28"/>
    <n v="505"/>
    <x v="5"/>
    <x v="0"/>
  </r>
  <r>
    <x v="713"/>
    <s v="Onbatオンバット"/>
    <x v="17"/>
    <x v="15"/>
    <x v="520"/>
    <s v="Frisk"/>
    <s v="Infiltrator"/>
    <s v="Telepathy"/>
    <s v=""/>
    <s v=""/>
    <s v=""/>
    <n v="0.5"/>
    <n v="1"/>
    <n v="2"/>
    <n v="1"/>
    <n v="2"/>
    <n v="0.5"/>
    <n v="0.5"/>
    <n v="1"/>
    <n v="1"/>
    <n v="0.25"/>
    <n v="0"/>
    <n v="4"/>
    <n v="1"/>
    <n v="1"/>
    <n v="1"/>
    <n v="2"/>
    <n v="1"/>
    <n v="0.5"/>
    <n v="30"/>
    <n v="5120"/>
    <n v="70"/>
    <n v="245"/>
    <n v="190"/>
    <n v="35"/>
    <n v="1000000"/>
    <n v="0.5"/>
    <n v="40"/>
    <n v="50"/>
    <n v="50"/>
    <n v="714"/>
    <n v="45"/>
    <n v="40"/>
    <n v="55"/>
    <n v="8"/>
    <x v="5"/>
    <x v="0"/>
  </r>
  <r>
    <x v="714"/>
    <s v="Onvernオンバーン"/>
    <x v="17"/>
    <x v="15"/>
    <x v="520"/>
    <s v="Frisk"/>
    <s v="Infiltrator"/>
    <s v="Telepathy"/>
    <s v=""/>
    <s v=""/>
    <s v=""/>
    <n v="0.5"/>
    <n v="1"/>
    <n v="2"/>
    <n v="1"/>
    <n v="2"/>
    <n v="0.5"/>
    <n v="0.5"/>
    <n v="1"/>
    <n v="1"/>
    <n v="0.25"/>
    <n v="0"/>
    <n v="4"/>
    <n v="1"/>
    <n v="1"/>
    <n v="1"/>
    <n v="2"/>
    <n v="1"/>
    <n v="0.5"/>
    <n v="70"/>
    <n v="5120"/>
    <n v="70"/>
    <n v="535"/>
    <n v="45"/>
    <n v="80"/>
    <n v="1000000"/>
    <n v="1.5"/>
    <n v="85"/>
    <n v="50"/>
    <n v="50"/>
    <n v="715"/>
    <n v="97"/>
    <n v="80"/>
    <n v="123"/>
    <n v="85"/>
    <x v="5"/>
    <x v="0"/>
  </r>
  <r>
    <x v="715"/>
    <s v="Xerneasゼルネアス"/>
    <x v="8"/>
    <x v="1"/>
    <x v="521"/>
    <s v="Fairy Aura"/>
    <s v=""/>
    <s v=""/>
    <s v=""/>
    <s v=""/>
    <s v=""/>
    <n v="0.5"/>
    <n v="0.5"/>
    <n v="0"/>
    <n v="1"/>
    <n v="1"/>
    <n v="0.5"/>
    <n v="1"/>
    <n v="1"/>
    <n v="1"/>
    <n v="1"/>
    <n v="1"/>
    <n v="1"/>
    <n v="1"/>
    <n v="2"/>
    <n v="1"/>
    <n v="1"/>
    <n v="2"/>
    <n v="1"/>
    <n v="131"/>
    <n v="30720"/>
    <n v="0"/>
    <n v="680"/>
    <n v="45"/>
    <n v="95"/>
    <n v="1250000"/>
    <n v="3"/>
    <n v="126"/>
    <s v=""/>
    <s v=""/>
    <n v="716"/>
    <n v="131"/>
    <n v="98"/>
    <n v="99"/>
    <n v="215"/>
    <x v="5"/>
    <x v="1"/>
  </r>
  <r>
    <x v="716"/>
    <s v="Yveltalイベルタル"/>
    <x v="15"/>
    <x v="2"/>
    <x v="522"/>
    <s v="Dark Aura"/>
    <s v=""/>
    <s v=""/>
    <s v=""/>
    <s v=""/>
    <s v=""/>
    <n v="1"/>
    <n v="0.5"/>
    <n v="1"/>
    <n v="2"/>
    <n v="2"/>
    <n v="1"/>
    <n v="1"/>
    <n v="1"/>
    <n v="0.5"/>
    <n v="0.5"/>
    <n v="0"/>
    <n v="2"/>
    <n v="1"/>
    <n v="1"/>
    <n v="0"/>
    <n v="2"/>
    <n v="1"/>
    <n v="1"/>
    <n v="131"/>
    <n v="30720"/>
    <n v="0"/>
    <n v="680"/>
    <n v="45"/>
    <n v="95"/>
    <n v="1250000"/>
    <n v="5.8"/>
    <n v="126"/>
    <s v=""/>
    <s v=""/>
    <n v="717"/>
    <n v="131"/>
    <n v="98"/>
    <n v="99"/>
    <n v="203"/>
    <x v="5"/>
    <x v="1"/>
  </r>
  <r>
    <x v="717"/>
    <s v="Zygarde (10% Forme)ジガルデ"/>
    <x v="14"/>
    <x v="6"/>
    <x v="523"/>
    <s v="Aura Break"/>
    <s v="Power Construct"/>
    <s v=""/>
    <s v=""/>
    <s v=""/>
    <s v=""/>
    <n v="1"/>
    <n v="1"/>
    <n v="2"/>
    <n v="0"/>
    <n v="2"/>
    <n v="1"/>
    <n v="0.5"/>
    <n v="1"/>
    <n v="1"/>
    <n v="1"/>
    <n v="1"/>
    <n v="4"/>
    <n v="1"/>
    <n v="0.5"/>
    <n v="1"/>
    <n v="0.5"/>
    <n v="1"/>
    <n v="1"/>
    <n v="100"/>
    <n v="30720"/>
    <n v="0"/>
    <n v="708"/>
    <n v="3"/>
    <n v="121"/>
    <n v="1250000"/>
    <n v="5"/>
    <n v="216"/>
    <s v=""/>
    <s v=""/>
    <n v="718"/>
    <n v="91"/>
    <n v="95"/>
    <n v="85"/>
    <n v="284.60000000000002"/>
    <x v="5"/>
    <x v="1"/>
  </r>
  <r>
    <x v="718"/>
    <s v="Diancieディアンシー"/>
    <x v="11"/>
    <x v="7"/>
    <x v="513"/>
    <s v="Clear Body"/>
    <s v=""/>
    <s v=""/>
    <s v=""/>
    <s v=""/>
    <s v=""/>
    <n v="0.5"/>
    <n v="0.5"/>
    <n v="0"/>
    <n v="1"/>
    <n v="1"/>
    <n v="1"/>
    <n v="0.5"/>
    <n v="0.5"/>
    <n v="1"/>
    <n v="2"/>
    <n v="2"/>
    <n v="1"/>
    <n v="0.5"/>
    <n v="1"/>
    <n v="1"/>
    <n v="1"/>
    <n v="4"/>
    <n v="2"/>
    <n v="160"/>
    <n v="6400"/>
    <n v="70"/>
    <n v="700"/>
    <n v="3"/>
    <n v="110"/>
    <n v="1250000"/>
    <n v="0.7"/>
    <n v="50"/>
    <s v=""/>
    <s v=""/>
    <n v="719"/>
    <n v="160"/>
    <n v="110"/>
    <n v="110"/>
    <n v="8.8000000000000007"/>
    <x v="5"/>
    <x v="1"/>
  </r>
  <r>
    <x v="719"/>
    <s v="Hoopa (imashimerareshi Hoopa)フーパ"/>
    <x v="10"/>
    <x v="16"/>
    <x v="524"/>
    <s v="Magician"/>
    <s v=""/>
    <s v=""/>
    <s v=""/>
    <s v=""/>
    <s v=""/>
    <n v="1"/>
    <n v="4"/>
    <n v="1"/>
    <n v="1"/>
    <n v="1"/>
    <n v="0"/>
    <n v="1"/>
    <n v="1"/>
    <n v="4"/>
    <n v="1"/>
    <n v="1"/>
    <n v="1"/>
    <n v="0"/>
    <n v="0.5"/>
    <n v="0.5"/>
    <n v="1"/>
    <n v="1"/>
    <n v="1"/>
    <n v="160"/>
    <n v="30720"/>
    <n v="100"/>
    <n v="680"/>
    <n v="3"/>
    <n v="60"/>
    <n v="1250000"/>
    <n v="0.5"/>
    <n v="80"/>
    <s v=""/>
    <s v=""/>
    <n v="720"/>
    <n v="170"/>
    <n v="130"/>
    <n v="80"/>
    <n v="9"/>
    <x v="5"/>
    <x v="1"/>
  </r>
  <r>
    <x v="720"/>
    <s v="Volcanionボルケニオン"/>
    <x v="1"/>
    <x v="14"/>
    <x v="525"/>
    <s v="Water Absorb"/>
    <s v=""/>
    <s v=""/>
    <s v=""/>
    <s v=""/>
    <s v=""/>
    <n v="0.5"/>
    <n v="1"/>
    <n v="1"/>
    <n v="2"/>
    <n v="0.5"/>
    <n v="1"/>
    <n v="0.25"/>
    <n v="1"/>
    <n v="1"/>
    <n v="1"/>
    <n v="2"/>
    <n v="0.25"/>
    <n v="1"/>
    <n v="1"/>
    <n v="1"/>
    <n v="2"/>
    <n v="0.25"/>
    <n v="1"/>
    <n v="110"/>
    <n v="30720"/>
    <n v="100"/>
    <n v="600"/>
    <n v="3"/>
    <n v="120"/>
    <n v="1250000"/>
    <n v="1.7"/>
    <n v="80"/>
    <s v=""/>
    <s v=""/>
    <n v="721"/>
    <n v="130"/>
    <n v="90"/>
    <n v="70"/>
    <n v="195"/>
    <x v="5"/>
    <x v="1"/>
  </r>
  <r>
    <x v="721"/>
    <s v="Mokurohモクロー"/>
    <x v="0"/>
    <x v="2"/>
    <x v="526"/>
    <s v="Overgrow"/>
    <s v="Long Reach"/>
    <s v=""/>
    <s v=""/>
    <s v=""/>
    <s v=""/>
    <n v="1"/>
    <n v="1"/>
    <n v="1"/>
    <n v="1"/>
    <n v="1"/>
    <n v="0.5"/>
    <n v="2"/>
    <n v="2"/>
    <n v="1"/>
    <n v="0.25"/>
    <n v="0"/>
    <n v="4"/>
    <n v="1"/>
    <n v="2"/>
    <n v="1"/>
    <n v="2"/>
    <n v="1"/>
    <n v="0.5"/>
    <n v="55"/>
    <n v="3840"/>
    <n v="70"/>
    <n v="320"/>
    <n v="45"/>
    <n v="55"/>
    <n v="1059860"/>
    <n v="0.3"/>
    <n v="68"/>
    <n v="88.1"/>
    <n v="11.900000000000006"/>
    <n v="722"/>
    <n v="50"/>
    <n v="50"/>
    <n v="42"/>
    <n v="1.5"/>
    <x v="6"/>
    <x v="0"/>
  </r>
  <r>
    <x v="722"/>
    <s v="Fukuthrowフクスロー"/>
    <x v="0"/>
    <x v="2"/>
    <x v="527"/>
    <s v="Overgrow"/>
    <s v="Long Reach"/>
    <s v=""/>
    <s v=""/>
    <s v=""/>
    <s v=""/>
    <n v="1"/>
    <n v="1"/>
    <n v="1"/>
    <n v="1"/>
    <n v="1"/>
    <n v="0.5"/>
    <n v="2"/>
    <n v="2"/>
    <n v="1"/>
    <n v="0.25"/>
    <n v="0"/>
    <n v="4"/>
    <n v="1"/>
    <n v="2"/>
    <n v="1"/>
    <n v="2"/>
    <n v="1"/>
    <n v="0.5"/>
    <n v="75"/>
    <n v="3840"/>
    <n v="70"/>
    <n v="420"/>
    <n v="45"/>
    <n v="75"/>
    <n v="1059860"/>
    <n v="0.7"/>
    <n v="78"/>
    <n v="88.1"/>
    <n v="11.900000000000006"/>
    <n v="723"/>
    <n v="70"/>
    <n v="70"/>
    <n v="52"/>
    <n v="16"/>
    <x v="6"/>
    <x v="0"/>
  </r>
  <r>
    <x v="723"/>
    <s v="Junaiperジュナイパー"/>
    <x v="0"/>
    <x v="16"/>
    <x v="528"/>
    <s v="Overgrow"/>
    <s v="Long Reach"/>
    <s v=""/>
    <s v=""/>
    <s v=""/>
    <s v=""/>
    <n v="1"/>
    <n v="2"/>
    <n v="1"/>
    <n v="0.5"/>
    <n v="1"/>
    <n v="0"/>
    <n v="2"/>
    <n v="2"/>
    <n v="2"/>
    <n v="0.5"/>
    <n v="0.5"/>
    <n v="2"/>
    <n v="0"/>
    <n v="1"/>
    <n v="1"/>
    <n v="1"/>
    <n v="1"/>
    <n v="0.5"/>
    <n v="107"/>
    <n v="3840"/>
    <n v="70"/>
    <n v="530"/>
    <n v="45"/>
    <n v="75"/>
    <n v="1059860"/>
    <n v="1.6"/>
    <n v="78"/>
    <n v="88.1"/>
    <n v="11.900000000000006"/>
    <n v="724"/>
    <n v="100"/>
    <n v="100"/>
    <n v="70"/>
    <n v="36.6"/>
    <x v="6"/>
    <x v="0"/>
  </r>
  <r>
    <x v="724"/>
    <s v="Nyabbyニャビー"/>
    <x v="1"/>
    <x v="1"/>
    <x v="529"/>
    <s v="Blaze"/>
    <s v="Intimidate"/>
    <s v=""/>
    <s v=""/>
    <s v=""/>
    <s v=""/>
    <n v="0.5"/>
    <n v="1"/>
    <n v="1"/>
    <n v="1"/>
    <n v="0.5"/>
    <n v="1"/>
    <n v="0.5"/>
    <n v="1"/>
    <n v="1"/>
    <n v="0.5"/>
    <n v="2"/>
    <n v="0.5"/>
    <n v="1"/>
    <n v="1"/>
    <n v="1"/>
    <n v="2"/>
    <n v="0.5"/>
    <n v="2"/>
    <n v="65"/>
    <n v="3840"/>
    <n v="70"/>
    <n v="320"/>
    <n v="45"/>
    <n v="40"/>
    <n v="1059860"/>
    <n v="0.4"/>
    <n v="45"/>
    <n v="88.1"/>
    <n v="11.900000000000006"/>
    <n v="725"/>
    <n v="60"/>
    <n v="40"/>
    <n v="70"/>
    <n v="4.3"/>
    <x v="6"/>
    <x v="0"/>
  </r>
  <r>
    <x v="725"/>
    <s v="Nyaheatニャヒート"/>
    <x v="1"/>
    <x v="1"/>
    <x v="529"/>
    <s v="Blaze"/>
    <s v="Intimidate"/>
    <s v=""/>
    <s v=""/>
    <s v=""/>
    <s v=""/>
    <n v="0.5"/>
    <n v="1"/>
    <n v="1"/>
    <n v="1"/>
    <n v="0.5"/>
    <n v="1"/>
    <n v="0.5"/>
    <n v="1"/>
    <n v="1"/>
    <n v="0.5"/>
    <n v="2"/>
    <n v="0.5"/>
    <n v="1"/>
    <n v="1"/>
    <n v="1"/>
    <n v="2"/>
    <n v="0.5"/>
    <n v="2"/>
    <n v="85"/>
    <n v="3840"/>
    <n v="70"/>
    <n v="420"/>
    <n v="45"/>
    <n v="50"/>
    <n v="1059860"/>
    <n v="0.7"/>
    <n v="65"/>
    <n v="88.1"/>
    <n v="11.900000000000006"/>
    <n v="726"/>
    <n v="80"/>
    <n v="50"/>
    <n v="90"/>
    <n v="25"/>
    <x v="6"/>
    <x v="0"/>
  </r>
  <r>
    <x v="726"/>
    <s v="Gaogaenガオガエン"/>
    <x v="1"/>
    <x v="3"/>
    <x v="530"/>
    <s v="Blaze"/>
    <s v="Intimidate"/>
    <s v=""/>
    <s v=""/>
    <s v=""/>
    <s v=""/>
    <n v="1"/>
    <n v="0.5"/>
    <n v="1"/>
    <n v="1"/>
    <n v="1"/>
    <n v="2"/>
    <n v="0.5"/>
    <n v="1"/>
    <n v="0.5"/>
    <n v="0.5"/>
    <n v="2"/>
    <n v="0.5"/>
    <n v="1"/>
    <n v="1"/>
    <n v="0"/>
    <n v="2"/>
    <n v="0.5"/>
    <n v="2"/>
    <n v="115"/>
    <n v="3840"/>
    <n v="70"/>
    <n v="530"/>
    <n v="45"/>
    <n v="90"/>
    <n v="1059860"/>
    <n v="1.8"/>
    <n v="95"/>
    <n v="88.1"/>
    <n v="11.900000000000006"/>
    <n v="727"/>
    <n v="80"/>
    <n v="90"/>
    <n v="60"/>
    <n v="83"/>
    <x v="6"/>
    <x v="0"/>
  </r>
  <r>
    <x v="727"/>
    <s v="Ashimariアシマリ"/>
    <x v="2"/>
    <x v="1"/>
    <x v="49"/>
    <s v="Torrent"/>
    <s v="Liquid Voice"/>
    <s v=""/>
    <s v=""/>
    <s v=""/>
    <s v=""/>
    <n v="1"/>
    <n v="1"/>
    <n v="1"/>
    <n v="2"/>
    <n v="1"/>
    <n v="1"/>
    <n v="0.5"/>
    <n v="1"/>
    <n v="1"/>
    <n v="2"/>
    <n v="1"/>
    <n v="0.5"/>
    <n v="1"/>
    <n v="1"/>
    <n v="1"/>
    <n v="1"/>
    <n v="0.5"/>
    <n v="0.5"/>
    <n v="54"/>
    <n v="3840"/>
    <n v="70"/>
    <n v="320"/>
    <n v="45"/>
    <n v="54"/>
    <n v="1059860"/>
    <n v="0.4"/>
    <n v="50"/>
    <n v="88.1"/>
    <n v="11.900000000000006"/>
    <n v="728"/>
    <n v="66"/>
    <n v="56"/>
    <n v="40"/>
    <n v="7.5"/>
    <x v="6"/>
    <x v="0"/>
  </r>
  <r>
    <x v="728"/>
    <s v="Osyamariオシャマリ"/>
    <x v="2"/>
    <x v="1"/>
    <x v="531"/>
    <s v="Torrent"/>
    <s v="Liquid Voice"/>
    <s v=""/>
    <s v=""/>
    <s v=""/>
    <s v=""/>
    <n v="1"/>
    <n v="1"/>
    <n v="1"/>
    <n v="2"/>
    <n v="1"/>
    <n v="1"/>
    <n v="0.5"/>
    <n v="1"/>
    <n v="1"/>
    <n v="2"/>
    <n v="1"/>
    <n v="0.5"/>
    <n v="1"/>
    <n v="1"/>
    <n v="1"/>
    <n v="1"/>
    <n v="0.5"/>
    <n v="0.5"/>
    <n v="69"/>
    <n v="3840"/>
    <n v="70"/>
    <n v="420"/>
    <n v="45"/>
    <n v="69"/>
    <n v="1059860"/>
    <n v="0.6"/>
    <n v="60"/>
    <n v="88.1"/>
    <n v="11.900000000000006"/>
    <n v="729"/>
    <n v="91"/>
    <n v="81"/>
    <n v="50"/>
    <n v="17.5"/>
    <x v="6"/>
    <x v="0"/>
  </r>
  <r>
    <x v="729"/>
    <s v="Ashireneアシレーヌ"/>
    <x v="2"/>
    <x v="7"/>
    <x v="532"/>
    <s v="Torrent"/>
    <s v="Liquid Voice"/>
    <s v=""/>
    <s v=""/>
    <s v=""/>
    <s v=""/>
    <n v="0.5"/>
    <n v="0.5"/>
    <n v="0"/>
    <n v="2"/>
    <n v="1"/>
    <n v="0.5"/>
    <n v="0.5"/>
    <n v="1"/>
    <n v="1"/>
    <n v="2"/>
    <n v="1"/>
    <n v="0.5"/>
    <n v="1"/>
    <n v="2"/>
    <n v="1"/>
    <n v="1"/>
    <n v="1"/>
    <n v="0.5"/>
    <n v="74"/>
    <n v="3840"/>
    <n v="70"/>
    <n v="530"/>
    <n v="45"/>
    <n v="74"/>
    <n v="1059860"/>
    <n v="1.8"/>
    <n v="80"/>
    <n v="88.1"/>
    <n v="11.900000000000006"/>
    <n v="730"/>
    <n v="126"/>
    <n v="116"/>
    <n v="60"/>
    <n v="44"/>
    <x v="6"/>
    <x v="0"/>
  </r>
  <r>
    <x v="730"/>
    <s v="Tsutsukeraツツケラ"/>
    <x v="4"/>
    <x v="2"/>
    <x v="533"/>
    <s v="Keen Eye"/>
    <s v="Skill Link"/>
    <s v="Pickup"/>
    <s v=""/>
    <s v=""/>
    <s v=""/>
    <n v="0.5"/>
    <n v="1"/>
    <n v="1"/>
    <n v="2"/>
    <n v="1"/>
    <n v="1"/>
    <n v="1"/>
    <n v="1"/>
    <n v="0"/>
    <n v="0.5"/>
    <n v="0"/>
    <n v="2"/>
    <n v="1"/>
    <n v="1"/>
    <n v="1"/>
    <n v="2"/>
    <n v="1"/>
    <n v="1"/>
    <n v="75"/>
    <n v="3840"/>
    <n v="70"/>
    <n v="265"/>
    <n v="255"/>
    <n v="30"/>
    <n v="1000000"/>
    <n v="0.3"/>
    <n v="35"/>
    <n v="50"/>
    <n v="50"/>
    <n v="731"/>
    <n v="30"/>
    <n v="30"/>
    <n v="65"/>
    <n v="1.2"/>
    <x v="6"/>
    <x v="0"/>
  </r>
  <r>
    <x v="731"/>
    <s v="Kerarappaケララッパ"/>
    <x v="4"/>
    <x v="2"/>
    <x v="534"/>
    <s v="Keen Eye"/>
    <s v="Skill Link"/>
    <s v="Pickup"/>
    <s v=""/>
    <s v=""/>
    <s v=""/>
    <n v="0.5"/>
    <n v="1"/>
    <n v="1"/>
    <n v="2"/>
    <n v="1"/>
    <n v="1"/>
    <n v="1"/>
    <n v="1"/>
    <n v="0"/>
    <n v="0.5"/>
    <n v="0"/>
    <n v="2"/>
    <n v="1"/>
    <n v="1"/>
    <n v="1"/>
    <n v="2"/>
    <n v="1"/>
    <n v="1"/>
    <n v="85"/>
    <n v="3840"/>
    <n v="70"/>
    <n v="355"/>
    <n v="120"/>
    <n v="50"/>
    <n v="1000000"/>
    <n v="0.6"/>
    <n v="55"/>
    <n v="50"/>
    <n v="50"/>
    <n v="732"/>
    <n v="40"/>
    <n v="50"/>
    <n v="75"/>
    <n v="14.8"/>
    <x v="6"/>
    <x v="0"/>
  </r>
  <r>
    <x v="732"/>
    <s v="Dodekabashiドデカバシ"/>
    <x v="4"/>
    <x v="2"/>
    <x v="535"/>
    <s v="Keen Eye"/>
    <s v="Skill Link"/>
    <s v="Sheer Force"/>
    <s v=""/>
    <s v=""/>
    <s v=""/>
    <n v="0.5"/>
    <n v="1"/>
    <n v="1"/>
    <n v="2"/>
    <n v="1"/>
    <n v="1"/>
    <n v="1"/>
    <n v="1"/>
    <n v="0"/>
    <n v="0.5"/>
    <n v="0"/>
    <n v="2"/>
    <n v="1"/>
    <n v="1"/>
    <n v="1"/>
    <n v="2"/>
    <n v="1"/>
    <n v="1"/>
    <n v="120"/>
    <n v="3840"/>
    <n v="70"/>
    <n v="485"/>
    <n v="45"/>
    <n v="75"/>
    <n v="1000000"/>
    <n v="1.1000000000000001"/>
    <n v="80"/>
    <n v="50"/>
    <n v="50"/>
    <n v="733"/>
    <n v="75"/>
    <n v="75"/>
    <n v="60"/>
    <n v="26"/>
    <x v="6"/>
    <x v="0"/>
  </r>
  <r>
    <x v="733"/>
    <s v="Youngooseヤングース"/>
    <x v="4"/>
    <x v="1"/>
    <x v="536"/>
    <s v="Stakeout"/>
    <s v="Strong Jaw"/>
    <s v="Adaptability"/>
    <s v=""/>
    <s v=""/>
    <s v=""/>
    <n v="1"/>
    <n v="1"/>
    <n v="1"/>
    <n v="1"/>
    <n v="1"/>
    <n v="2"/>
    <n v="1"/>
    <n v="1"/>
    <n v="0"/>
    <n v="1"/>
    <n v="1"/>
    <n v="1"/>
    <n v="1"/>
    <n v="1"/>
    <n v="1"/>
    <n v="1"/>
    <n v="1"/>
    <n v="1"/>
    <n v="70"/>
    <n v="3840"/>
    <n v="70"/>
    <n v="253"/>
    <n v="255"/>
    <n v="30"/>
    <n v="1000000"/>
    <n v="0.4"/>
    <n v="48"/>
    <n v="50"/>
    <n v="50"/>
    <n v="734"/>
    <n v="30"/>
    <n v="30"/>
    <n v="45"/>
    <n v="6"/>
    <x v="6"/>
    <x v="0"/>
  </r>
  <r>
    <x v="734"/>
    <s v="Dekagooseデカグース"/>
    <x v="4"/>
    <x v="1"/>
    <x v="537"/>
    <s v="Stakeout"/>
    <s v="Strong Jaw"/>
    <s v="Adaptability"/>
    <s v=""/>
    <s v=""/>
    <s v=""/>
    <n v="1"/>
    <n v="1"/>
    <n v="1"/>
    <n v="1"/>
    <n v="1"/>
    <n v="2"/>
    <n v="1"/>
    <n v="1"/>
    <n v="0"/>
    <n v="1"/>
    <n v="1"/>
    <n v="1"/>
    <n v="1"/>
    <n v="1"/>
    <n v="1"/>
    <n v="1"/>
    <n v="1"/>
    <n v="1"/>
    <n v="110"/>
    <n v="3840"/>
    <n v="70"/>
    <n v="418"/>
    <n v="127"/>
    <n v="60"/>
    <n v="1000000"/>
    <n v="0.7"/>
    <n v="88"/>
    <n v="50"/>
    <n v="50"/>
    <n v="735"/>
    <n v="55"/>
    <n v="60"/>
    <n v="45"/>
    <n v="14.2"/>
    <x v="6"/>
    <x v="0"/>
  </r>
  <r>
    <x v="735"/>
    <s v="Agojimushiアゴジムシ"/>
    <x v="3"/>
    <x v="1"/>
    <x v="538"/>
    <s v="Swarm"/>
    <s v=""/>
    <s v=""/>
    <s v=""/>
    <s v=""/>
    <s v=""/>
    <n v="1"/>
    <n v="1"/>
    <n v="1"/>
    <n v="1"/>
    <n v="1"/>
    <n v="0.5"/>
    <n v="2"/>
    <n v="2"/>
    <n v="1"/>
    <n v="0.5"/>
    <n v="0.5"/>
    <n v="1"/>
    <n v="1"/>
    <n v="1"/>
    <n v="1"/>
    <n v="2"/>
    <n v="1"/>
    <n v="1"/>
    <n v="62"/>
    <n v="3840"/>
    <n v="70"/>
    <n v="300"/>
    <n v="255"/>
    <n v="45"/>
    <n v="1000000"/>
    <n v="0.4"/>
    <n v="47"/>
    <n v="50"/>
    <n v="50"/>
    <n v="736"/>
    <n v="55"/>
    <n v="45"/>
    <n v="46"/>
    <n v="4.4000000000000004"/>
    <x v="6"/>
    <x v="0"/>
  </r>
  <r>
    <x v="736"/>
    <s v="Dendimushiデンヂムシ"/>
    <x v="3"/>
    <x v="4"/>
    <x v="539"/>
    <s v="Battery"/>
    <s v=""/>
    <s v=""/>
    <s v=""/>
    <s v=""/>
    <s v=""/>
    <n v="1"/>
    <n v="1"/>
    <n v="1"/>
    <n v="0.5"/>
    <n v="1"/>
    <n v="0.5"/>
    <n v="2"/>
    <n v="1"/>
    <n v="1"/>
    <n v="0.5"/>
    <n v="1"/>
    <n v="1"/>
    <n v="1"/>
    <n v="1"/>
    <n v="1"/>
    <n v="2"/>
    <n v="0.5"/>
    <n v="1"/>
    <n v="82"/>
    <n v="3840"/>
    <n v="70"/>
    <n v="400"/>
    <n v="120"/>
    <n v="95"/>
    <n v="1000000"/>
    <n v="0.5"/>
    <n v="57"/>
    <n v="50"/>
    <n v="50"/>
    <n v="737"/>
    <n v="55"/>
    <n v="75"/>
    <n v="36"/>
    <n v="10.5"/>
    <x v="6"/>
    <x v="0"/>
  </r>
  <r>
    <x v="737"/>
    <s v="Kuwagannonクワガノン"/>
    <x v="3"/>
    <x v="4"/>
    <x v="540"/>
    <s v="Levitate"/>
    <s v=""/>
    <s v=""/>
    <s v=""/>
    <s v=""/>
    <s v=""/>
    <n v="1"/>
    <n v="1"/>
    <n v="1"/>
    <n v="0.5"/>
    <n v="1"/>
    <n v="0.5"/>
    <n v="2"/>
    <n v="1"/>
    <n v="1"/>
    <n v="0.5"/>
    <n v="1"/>
    <n v="1"/>
    <n v="1"/>
    <n v="1"/>
    <n v="1"/>
    <n v="2"/>
    <n v="0.5"/>
    <n v="1"/>
    <n v="70"/>
    <n v="3840"/>
    <n v="70"/>
    <n v="500"/>
    <n v="45"/>
    <n v="90"/>
    <n v="1000000"/>
    <n v="1.5"/>
    <n v="77"/>
    <n v="50"/>
    <n v="50"/>
    <n v="738"/>
    <n v="145"/>
    <n v="75"/>
    <n v="43"/>
    <n v="45"/>
    <x v="6"/>
    <x v="0"/>
  </r>
  <r>
    <x v="738"/>
    <s v="Makenkaniマケンカニ"/>
    <x v="9"/>
    <x v="1"/>
    <x v="541"/>
    <s v="Hyper Cutter"/>
    <s v="Iron Fist"/>
    <s v="Anger Point"/>
    <s v=""/>
    <s v=""/>
    <s v=""/>
    <n v="0.5"/>
    <n v="0.5"/>
    <n v="1"/>
    <n v="1"/>
    <n v="2"/>
    <n v="1"/>
    <n v="1"/>
    <n v="2"/>
    <n v="1"/>
    <n v="1"/>
    <n v="1"/>
    <n v="1"/>
    <n v="1"/>
    <n v="1"/>
    <n v="2"/>
    <n v="0.5"/>
    <n v="1"/>
    <n v="1"/>
    <n v="82"/>
    <n v="5120"/>
    <n v="70"/>
    <n v="338"/>
    <n v="225"/>
    <n v="57"/>
    <n v="1000000"/>
    <n v="0.6"/>
    <n v="47"/>
    <n v="50"/>
    <n v="50"/>
    <n v="739"/>
    <n v="42"/>
    <n v="47"/>
    <n v="63"/>
    <n v="7"/>
    <x v="6"/>
    <x v="0"/>
  </r>
  <r>
    <x v="739"/>
    <s v="Kekenkaniケケンカニ"/>
    <x v="9"/>
    <x v="5"/>
    <x v="542"/>
    <s v="Hyper Cutter"/>
    <s v="Iron Fist"/>
    <s v="Anger Point"/>
    <s v=""/>
    <s v=""/>
    <s v=""/>
    <n v="0.5"/>
    <n v="0.5"/>
    <n v="1"/>
    <n v="1"/>
    <n v="2"/>
    <n v="2"/>
    <n v="2"/>
    <n v="2"/>
    <n v="1"/>
    <n v="1"/>
    <n v="1"/>
    <n v="0.5"/>
    <n v="1"/>
    <n v="1"/>
    <n v="2"/>
    <n v="1"/>
    <n v="2"/>
    <n v="1"/>
    <n v="132"/>
    <n v="5120"/>
    <n v="70"/>
    <n v="478"/>
    <n v="60"/>
    <n v="77"/>
    <n v="1000000"/>
    <n v="1.7"/>
    <n v="97"/>
    <n v="50"/>
    <n v="50"/>
    <n v="740"/>
    <n v="62"/>
    <n v="67"/>
    <n v="43"/>
    <n v="180"/>
    <x v="6"/>
    <x v="0"/>
  </r>
  <r>
    <x v="740"/>
    <s v="Odoridori (pachipachi Style)オドリドリ"/>
    <x v="1"/>
    <x v="2"/>
    <x v="543"/>
    <s v="Dancer"/>
    <s v=""/>
    <s v=""/>
    <s v=""/>
    <s v=""/>
    <s v=""/>
    <n v="0.25"/>
    <n v="1"/>
    <n v="1"/>
    <n v="2"/>
    <n v="0.5"/>
    <n v="0.5"/>
    <n v="0.5"/>
    <n v="1"/>
    <n v="1"/>
    <n v="0.25"/>
    <n v="0"/>
    <n v="1"/>
    <n v="1"/>
    <n v="1"/>
    <n v="1"/>
    <n v="4"/>
    <n v="0.5"/>
    <n v="2"/>
    <n v="70"/>
    <n v="5120"/>
    <n v="70"/>
    <n v="476"/>
    <n v="45"/>
    <n v="70"/>
    <n v="1000000"/>
    <n v="0.6"/>
    <n v="75"/>
    <n v="24.6"/>
    <n v="75.400000000000006"/>
    <n v="741"/>
    <n v="98"/>
    <n v="70"/>
    <n v="93"/>
    <n v="3.4"/>
    <x v="6"/>
    <x v="0"/>
  </r>
  <r>
    <x v="741"/>
    <s v="Abulyアブリー"/>
    <x v="3"/>
    <x v="7"/>
    <x v="544"/>
    <s v="Honey Gather"/>
    <s v="Shield Dust"/>
    <s v="Sweet Veil"/>
    <s v=""/>
    <s v=""/>
    <s v=""/>
    <n v="0.5"/>
    <n v="0.5"/>
    <n v="0"/>
    <n v="1"/>
    <n v="1"/>
    <n v="0.25"/>
    <n v="2"/>
    <n v="2"/>
    <n v="1"/>
    <n v="0.5"/>
    <n v="0.5"/>
    <n v="1"/>
    <n v="1"/>
    <n v="2"/>
    <n v="1"/>
    <n v="2"/>
    <n v="2"/>
    <n v="1"/>
    <n v="45"/>
    <n v="5120"/>
    <n v="70"/>
    <n v="304"/>
    <n v="190"/>
    <n v="40"/>
    <n v="1000000"/>
    <n v="0.1"/>
    <n v="40"/>
    <n v="50"/>
    <n v="50"/>
    <n v="742"/>
    <n v="55"/>
    <n v="40"/>
    <n v="84"/>
    <n v="0.2"/>
    <x v="6"/>
    <x v="0"/>
  </r>
  <r>
    <x v="742"/>
    <s v="Aburibbonアブリボン"/>
    <x v="3"/>
    <x v="7"/>
    <x v="544"/>
    <s v="Honey Gather"/>
    <s v="Shield Dust"/>
    <s v="Sweet Veil"/>
    <s v=""/>
    <s v=""/>
    <s v=""/>
    <n v="0.5"/>
    <n v="0.5"/>
    <n v="0"/>
    <n v="1"/>
    <n v="1"/>
    <n v="0.25"/>
    <n v="2"/>
    <n v="2"/>
    <n v="1"/>
    <n v="0.5"/>
    <n v="0.5"/>
    <n v="1"/>
    <n v="1"/>
    <n v="2"/>
    <n v="1"/>
    <n v="2"/>
    <n v="2"/>
    <n v="1"/>
    <n v="55"/>
    <n v="5120"/>
    <n v="70"/>
    <n v="464"/>
    <n v="75"/>
    <n v="60"/>
    <n v="1000000"/>
    <n v="0.2"/>
    <n v="60"/>
    <n v="50"/>
    <n v="50"/>
    <n v="743"/>
    <n v="95"/>
    <n v="70"/>
    <n v="124"/>
    <n v="0.5"/>
    <x v="6"/>
    <x v="0"/>
  </r>
  <r>
    <x v="743"/>
    <s v="Iwankoイワンコ"/>
    <x v="11"/>
    <x v="1"/>
    <x v="33"/>
    <s v="Keen Eye"/>
    <s v="Vital Spirit"/>
    <s v="Steadfast"/>
    <s v=""/>
    <s v=""/>
    <s v=""/>
    <n v="1"/>
    <n v="1"/>
    <n v="1"/>
    <n v="1"/>
    <n v="1"/>
    <n v="2"/>
    <n v="0.5"/>
    <n v="0.5"/>
    <n v="1"/>
    <n v="2"/>
    <n v="2"/>
    <n v="1"/>
    <n v="0.5"/>
    <n v="0.5"/>
    <n v="1"/>
    <n v="1"/>
    <n v="2"/>
    <n v="2"/>
    <n v="65"/>
    <n v="3840"/>
    <n v="70"/>
    <n v="280"/>
    <n v="190"/>
    <n v="40"/>
    <n v="1000000"/>
    <n v="0.5"/>
    <n v="45"/>
    <n v="50"/>
    <n v="50"/>
    <n v="744"/>
    <n v="30"/>
    <n v="40"/>
    <n v="60"/>
    <n v="9.1999999999999993"/>
    <x v="6"/>
    <x v="0"/>
  </r>
  <r>
    <x v="744"/>
    <s v="Lugarugan (mahiru No Sugata)ルガルガン"/>
    <x v="11"/>
    <x v="1"/>
    <x v="545"/>
    <s v="Keen Eye"/>
    <s v="Sand Rush"/>
    <s v="Steadfast"/>
    <s v="Keen Eye"/>
    <s v="Vital Spirit"/>
    <s v="No Guard"/>
    <n v="1"/>
    <n v="1"/>
    <n v="1"/>
    <n v="1"/>
    <n v="1"/>
    <n v="2"/>
    <n v="0.5"/>
    <n v="0.5"/>
    <n v="1"/>
    <n v="2"/>
    <n v="2"/>
    <n v="1"/>
    <n v="0.5"/>
    <n v="0.5"/>
    <n v="1"/>
    <n v="1"/>
    <n v="2"/>
    <n v="2"/>
    <n v="115"/>
    <n v="3840"/>
    <n v="70"/>
    <n v="487"/>
    <n v="90"/>
    <n v="75"/>
    <n v="1000000"/>
    <n v="0.8"/>
    <n v="85"/>
    <n v="50"/>
    <n v="50"/>
    <n v="745"/>
    <n v="55"/>
    <n v="75"/>
    <n v="82"/>
    <n v="25"/>
    <x v="6"/>
    <x v="0"/>
  </r>
  <r>
    <x v="745"/>
    <s v="Yowashi (tandoku No Sugata)ヨワシ"/>
    <x v="2"/>
    <x v="1"/>
    <x v="546"/>
    <s v="Schooling"/>
    <s v=""/>
    <s v=""/>
    <s v=""/>
    <s v=""/>
    <s v=""/>
    <n v="1"/>
    <n v="1"/>
    <n v="1"/>
    <n v="2"/>
    <n v="1"/>
    <n v="1"/>
    <n v="0.5"/>
    <n v="1"/>
    <n v="1"/>
    <n v="2"/>
    <n v="1"/>
    <n v="0.5"/>
    <n v="1"/>
    <n v="1"/>
    <n v="1"/>
    <n v="1"/>
    <n v="0.5"/>
    <n v="0.5"/>
    <n v="140"/>
    <n v="3840"/>
    <n v="70"/>
    <n v="620"/>
    <n v="60"/>
    <n v="130"/>
    <n v="800000"/>
    <n v="0.2"/>
    <n v="45"/>
    <n v="50"/>
    <n v="50"/>
    <n v="746"/>
    <n v="140"/>
    <n v="135"/>
    <n v="30"/>
    <n v="0.3"/>
    <x v="6"/>
    <x v="0"/>
  </r>
  <r>
    <x v="746"/>
    <s v="Hidoideヒドイデ"/>
    <x v="5"/>
    <x v="14"/>
    <x v="547"/>
    <s v="Merciless"/>
    <s v="Limber"/>
    <s v="Regenerator"/>
    <s v=""/>
    <s v=""/>
    <s v=""/>
    <n v="0.5"/>
    <n v="1"/>
    <n v="1"/>
    <n v="2"/>
    <n v="0.5"/>
    <n v="0.5"/>
    <n v="0.5"/>
    <n v="1"/>
    <n v="1"/>
    <n v="1"/>
    <n v="2"/>
    <n v="0.5"/>
    <n v="1"/>
    <n v="0.5"/>
    <n v="2"/>
    <n v="1"/>
    <n v="0.5"/>
    <n v="0.5"/>
    <n v="53"/>
    <n v="5120"/>
    <n v="70"/>
    <n v="305"/>
    <n v="190"/>
    <n v="62"/>
    <n v="1000000"/>
    <n v="0.4"/>
    <n v="50"/>
    <n v="50"/>
    <n v="50"/>
    <n v="747"/>
    <n v="43"/>
    <n v="52"/>
    <n v="45"/>
    <n v="8"/>
    <x v="6"/>
    <x v="0"/>
  </r>
  <r>
    <x v="747"/>
    <s v="Dohidoideドヒドイデ"/>
    <x v="5"/>
    <x v="14"/>
    <x v="547"/>
    <s v="Merciless"/>
    <s v="Limber"/>
    <s v="Regenerator"/>
    <s v=""/>
    <s v=""/>
    <s v=""/>
    <n v="0.5"/>
    <n v="1"/>
    <n v="1"/>
    <n v="2"/>
    <n v="0.5"/>
    <n v="0.5"/>
    <n v="0.5"/>
    <n v="1"/>
    <n v="1"/>
    <n v="1"/>
    <n v="2"/>
    <n v="0.5"/>
    <n v="1"/>
    <n v="0.5"/>
    <n v="2"/>
    <n v="1"/>
    <n v="0.5"/>
    <n v="0.5"/>
    <n v="63"/>
    <n v="5120"/>
    <n v="70"/>
    <n v="495"/>
    <n v="75"/>
    <n v="152"/>
    <n v="1000000"/>
    <n v="0.7"/>
    <n v="50"/>
    <n v="50"/>
    <n v="50"/>
    <n v="748"/>
    <n v="53"/>
    <n v="142"/>
    <n v="35"/>
    <n v="14.5"/>
    <x v="6"/>
    <x v="0"/>
  </r>
  <r>
    <x v="748"/>
    <s v="Dorobankoドロバンコ"/>
    <x v="7"/>
    <x v="1"/>
    <x v="548"/>
    <s v="Own Tempo"/>
    <s v="Stamina"/>
    <s v="Inner Focus"/>
    <s v=""/>
    <s v=""/>
    <s v=""/>
    <n v="1"/>
    <n v="1"/>
    <n v="1"/>
    <n v="0"/>
    <n v="1"/>
    <n v="1"/>
    <n v="1"/>
    <n v="1"/>
    <n v="1"/>
    <n v="2"/>
    <n v="1"/>
    <n v="2"/>
    <n v="1"/>
    <n v="0.5"/>
    <n v="1"/>
    <n v="0.5"/>
    <n v="1"/>
    <n v="2"/>
    <n v="100"/>
    <n v="5120"/>
    <n v="70"/>
    <n v="385"/>
    <n v="190"/>
    <n v="70"/>
    <n v="1000000"/>
    <n v="1"/>
    <n v="70"/>
    <n v="50"/>
    <n v="50"/>
    <n v="749"/>
    <n v="45"/>
    <n v="55"/>
    <n v="45"/>
    <n v="110"/>
    <x v="6"/>
    <x v="0"/>
  </r>
  <r>
    <x v="749"/>
    <s v="Banbadoroバンバドロ"/>
    <x v="7"/>
    <x v="1"/>
    <x v="549"/>
    <s v="Own Tempo"/>
    <s v="Stamina"/>
    <s v="Inner Focus"/>
    <s v=""/>
    <s v=""/>
    <s v=""/>
    <n v="1"/>
    <n v="1"/>
    <n v="1"/>
    <n v="0"/>
    <n v="1"/>
    <n v="1"/>
    <n v="1"/>
    <n v="1"/>
    <n v="1"/>
    <n v="2"/>
    <n v="1"/>
    <n v="2"/>
    <n v="1"/>
    <n v="0.5"/>
    <n v="1"/>
    <n v="0.5"/>
    <n v="1"/>
    <n v="2"/>
    <n v="125"/>
    <n v="5120"/>
    <n v="70"/>
    <n v="500"/>
    <n v="60"/>
    <n v="100"/>
    <n v="1000000"/>
    <n v="2.5"/>
    <n v="100"/>
    <n v="50"/>
    <n v="50"/>
    <n v="750"/>
    <n v="55"/>
    <n v="85"/>
    <n v="35"/>
    <n v="920"/>
    <x v="6"/>
    <x v="0"/>
  </r>
  <r>
    <x v="750"/>
    <s v="Shizukumoシズクモ"/>
    <x v="2"/>
    <x v="17"/>
    <x v="550"/>
    <s v="Water Bubble"/>
    <s v="Water Absorb"/>
    <s v=""/>
    <s v=""/>
    <s v=""/>
    <s v=""/>
    <n v="1"/>
    <n v="1"/>
    <n v="1"/>
    <n v="2"/>
    <n v="1"/>
    <n v="0.5"/>
    <n v="1"/>
    <n v="2"/>
    <n v="1"/>
    <n v="1"/>
    <n v="0.5"/>
    <n v="0.5"/>
    <n v="1"/>
    <n v="1"/>
    <n v="1"/>
    <n v="2"/>
    <n v="0.5"/>
    <n v="0.5"/>
    <n v="40"/>
    <n v="3840"/>
    <n v="70"/>
    <n v="269"/>
    <n v="200"/>
    <n v="52"/>
    <n v="1000000"/>
    <n v="0.3"/>
    <n v="38"/>
    <n v="50"/>
    <n v="50"/>
    <n v="751"/>
    <n v="40"/>
    <n v="72"/>
    <n v="27"/>
    <n v="4"/>
    <x v="6"/>
    <x v="0"/>
  </r>
  <r>
    <x v="751"/>
    <s v="Onishizukumoオニシズクモ"/>
    <x v="2"/>
    <x v="17"/>
    <x v="550"/>
    <s v="Water Bubble"/>
    <s v="Water Absorb"/>
    <s v=""/>
    <s v=""/>
    <s v=""/>
    <s v=""/>
    <n v="1"/>
    <n v="1"/>
    <n v="1"/>
    <n v="2"/>
    <n v="1"/>
    <n v="0.5"/>
    <n v="1"/>
    <n v="2"/>
    <n v="1"/>
    <n v="1"/>
    <n v="0.5"/>
    <n v="0.5"/>
    <n v="1"/>
    <n v="1"/>
    <n v="1"/>
    <n v="2"/>
    <n v="0.5"/>
    <n v="0.5"/>
    <n v="70"/>
    <n v="3840"/>
    <n v="70"/>
    <n v="454"/>
    <n v="100"/>
    <n v="92"/>
    <n v="1000000"/>
    <n v="1.8"/>
    <n v="68"/>
    <n v="50"/>
    <n v="50"/>
    <n v="752"/>
    <n v="50"/>
    <n v="132"/>
    <n v="42"/>
    <n v="82"/>
    <x v="6"/>
    <x v="0"/>
  </r>
  <r>
    <x v="752"/>
    <s v="Karikiriカリキリ"/>
    <x v="0"/>
    <x v="1"/>
    <x v="551"/>
    <s v="Leaf Guard"/>
    <s v="Contrary"/>
    <s v=""/>
    <s v=""/>
    <s v=""/>
    <s v=""/>
    <n v="2"/>
    <n v="1"/>
    <n v="1"/>
    <n v="0.5"/>
    <n v="1"/>
    <n v="1"/>
    <n v="2"/>
    <n v="2"/>
    <n v="1"/>
    <n v="0.5"/>
    <n v="0.5"/>
    <n v="2"/>
    <n v="1"/>
    <n v="2"/>
    <n v="1"/>
    <n v="1"/>
    <n v="1"/>
    <n v="0.5"/>
    <n v="55"/>
    <n v="5120"/>
    <n v="70"/>
    <n v="250"/>
    <n v="190"/>
    <n v="35"/>
    <n v="1000000"/>
    <n v="0.3"/>
    <n v="40"/>
    <n v="50"/>
    <n v="50"/>
    <n v="753"/>
    <n v="50"/>
    <n v="35"/>
    <n v="35"/>
    <n v="1.5"/>
    <x v="6"/>
    <x v="0"/>
  </r>
  <r>
    <x v="753"/>
    <s v="Lalantesラランテス"/>
    <x v="0"/>
    <x v="1"/>
    <x v="552"/>
    <s v="Leaf Guard"/>
    <s v="Contrary"/>
    <s v=""/>
    <s v=""/>
    <s v=""/>
    <s v=""/>
    <n v="2"/>
    <n v="1"/>
    <n v="1"/>
    <n v="0.5"/>
    <n v="1"/>
    <n v="1"/>
    <n v="2"/>
    <n v="2"/>
    <n v="1"/>
    <n v="0.5"/>
    <n v="0.5"/>
    <n v="2"/>
    <n v="1"/>
    <n v="2"/>
    <n v="1"/>
    <n v="1"/>
    <n v="1"/>
    <n v="0.5"/>
    <n v="105"/>
    <n v="5120"/>
    <n v="70"/>
    <n v="480"/>
    <n v="75"/>
    <n v="90"/>
    <n v="1000000"/>
    <n v="0.9"/>
    <n v="70"/>
    <n v="50"/>
    <n v="50"/>
    <n v="754"/>
    <n v="80"/>
    <n v="90"/>
    <n v="45"/>
    <n v="18.5"/>
    <x v="6"/>
    <x v="0"/>
  </r>
  <r>
    <x v="754"/>
    <s v="Nemasyuネマシュ"/>
    <x v="0"/>
    <x v="7"/>
    <x v="553"/>
    <s v="Illuminate"/>
    <s v="Effect Spore"/>
    <s v="Rain Dish"/>
    <s v=""/>
    <s v=""/>
    <s v=""/>
    <n v="1"/>
    <n v="0.5"/>
    <n v="0"/>
    <n v="0.5"/>
    <n v="1"/>
    <n v="0.5"/>
    <n v="2"/>
    <n v="2"/>
    <n v="1"/>
    <n v="0.5"/>
    <n v="0.5"/>
    <n v="2"/>
    <n v="1"/>
    <n v="4"/>
    <n v="1"/>
    <n v="1"/>
    <n v="2"/>
    <n v="0.5"/>
    <n v="35"/>
    <n v="5120"/>
    <n v="70"/>
    <n v="285"/>
    <n v="190"/>
    <n v="55"/>
    <n v="1000000"/>
    <n v="0.2"/>
    <n v="40"/>
    <n v="50"/>
    <n v="50"/>
    <n v="755"/>
    <n v="65"/>
    <n v="75"/>
    <n v="15"/>
    <n v="1.5"/>
    <x v="6"/>
    <x v="0"/>
  </r>
  <r>
    <x v="755"/>
    <s v="Mashadeマシェード"/>
    <x v="0"/>
    <x v="7"/>
    <x v="553"/>
    <s v="Illuminate"/>
    <s v="Effect Spore"/>
    <s v="Rain Dish"/>
    <s v=""/>
    <s v=""/>
    <s v=""/>
    <n v="1"/>
    <n v="0.5"/>
    <n v="0"/>
    <n v="0.5"/>
    <n v="1"/>
    <n v="0.5"/>
    <n v="2"/>
    <n v="2"/>
    <n v="1"/>
    <n v="0.5"/>
    <n v="0.5"/>
    <n v="2"/>
    <n v="1"/>
    <n v="4"/>
    <n v="1"/>
    <n v="1"/>
    <n v="2"/>
    <n v="0.5"/>
    <n v="45"/>
    <n v="5120"/>
    <n v="70"/>
    <n v="405"/>
    <n v="75"/>
    <n v="80"/>
    <n v="1000000"/>
    <n v="1"/>
    <n v="60"/>
    <n v="50"/>
    <n v="50"/>
    <n v="756"/>
    <n v="90"/>
    <n v="100"/>
    <n v="30"/>
    <n v="11.5"/>
    <x v="6"/>
    <x v="0"/>
  </r>
  <r>
    <x v="756"/>
    <s v="Yatoumoriヤトウモリ"/>
    <x v="5"/>
    <x v="12"/>
    <x v="554"/>
    <s v="Corrosion"/>
    <s v="Oblivious"/>
    <s v=""/>
    <s v=""/>
    <s v=""/>
    <s v=""/>
    <n v="0.25"/>
    <n v="1"/>
    <n v="1"/>
    <n v="1"/>
    <n v="0.25"/>
    <n v="0.5"/>
    <n v="0.5"/>
    <n v="1"/>
    <n v="1"/>
    <n v="0.25"/>
    <n v="4"/>
    <n v="0.5"/>
    <n v="1"/>
    <n v="0.5"/>
    <n v="2"/>
    <n v="2"/>
    <n v="0.5"/>
    <n v="2"/>
    <n v="44"/>
    <n v="5120"/>
    <n v="70"/>
    <n v="320"/>
    <n v="120"/>
    <n v="40"/>
    <n v="1000000"/>
    <n v="0.6"/>
    <n v="48"/>
    <n v="88.1"/>
    <n v="11.900000000000006"/>
    <n v="757"/>
    <n v="71"/>
    <n v="40"/>
    <n v="77"/>
    <n v="4.8"/>
    <x v="6"/>
    <x v="0"/>
  </r>
  <r>
    <x v="757"/>
    <s v="Ennewtエンニュート"/>
    <x v="5"/>
    <x v="12"/>
    <x v="554"/>
    <s v="Corrosion"/>
    <s v="Oblivious"/>
    <s v=""/>
    <s v=""/>
    <s v=""/>
    <s v=""/>
    <n v="0.25"/>
    <n v="1"/>
    <n v="1"/>
    <n v="1"/>
    <n v="0.25"/>
    <n v="0.5"/>
    <n v="0.5"/>
    <n v="1"/>
    <n v="1"/>
    <n v="0.25"/>
    <n v="4"/>
    <n v="0.5"/>
    <n v="1"/>
    <n v="0.5"/>
    <n v="2"/>
    <n v="2"/>
    <n v="0.5"/>
    <n v="2"/>
    <n v="64"/>
    <n v="5120"/>
    <n v="70"/>
    <n v="480"/>
    <n v="45"/>
    <n v="60"/>
    <n v="1000000"/>
    <n v="1.2"/>
    <n v="68"/>
    <n v="0"/>
    <n v="100"/>
    <n v="758"/>
    <n v="111"/>
    <n v="60"/>
    <n v="117"/>
    <n v="22.2"/>
    <x v="6"/>
    <x v="0"/>
  </r>
  <r>
    <x v="758"/>
    <s v="Nuikogumaヌイコグマ"/>
    <x v="4"/>
    <x v="9"/>
    <x v="555"/>
    <s v="Fluffy"/>
    <s v="Klutz"/>
    <s v="Cute Charm"/>
    <s v=""/>
    <s v=""/>
    <s v=""/>
    <n v="0.5"/>
    <n v="0.5"/>
    <n v="1"/>
    <n v="1"/>
    <n v="2"/>
    <n v="2"/>
    <n v="1"/>
    <n v="2"/>
    <n v="0"/>
    <n v="1"/>
    <n v="1"/>
    <n v="1"/>
    <n v="1"/>
    <n v="1"/>
    <n v="2"/>
    <n v="0.5"/>
    <n v="1"/>
    <n v="1"/>
    <n v="75"/>
    <n v="3840"/>
    <n v="70"/>
    <n v="340"/>
    <n v="140"/>
    <n v="50"/>
    <n v="1000000"/>
    <n v="0.5"/>
    <n v="70"/>
    <n v="50"/>
    <n v="50"/>
    <n v="759"/>
    <n v="45"/>
    <n v="50"/>
    <n v="50"/>
    <n v="6.8"/>
    <x v="6"/>
    <x v="0"/>
  </r>
  <r>
    <x v="759"/>
    <s v="Kiterugumaキテルグマ"/>
    <x v="4"/>
    <x v="9"/>
    <x v="556"/>
    <s v="Fluffy"/>
    <s v="Klutz"/>
    <s v="Unnerve"/>
    <s v=""/>
    <s v=""/>
    <s v=""/>
    <n v="0.5"/>
    <n v="0.5"/>
    <n v="1"/>
    <n v="1"/>
    <n v="2"/>
    <n v="2"/>
    <n v="1"/>
    <n v="2"/>
    <n v="0"/>
    <n v="1"/>
    <n v="1"/>
    <n v="1"/>
    <n v="1"/>
    <n v="1"/>
    <n v="2"/>
    <n v="0.5"/>
    <n v="1"/>
    <n v="1"/>
    <n v="125"/>
    <n v="3840"/>
    <n v="70"/>
    <n v="500"/>
    <n v="70"/>
    <n v="80"/>
    <n v="1000000"/>
    <n v="2.1"/>
    <n v="120"/>
    <n v="50"/>
    <n v="50"/>
    <n v="760"/>
    <n v="55"/>
    <n v="60"/>
    <n v="60"/>
    <n v="135"/>
    <x v="6"/>
    <x v="0"/>
  </r>
  <r>
    <x v="760"/>
    <s v="Amakajiアマカジ"/>
    <x v="0"/>
    <x v="1"/>
    <x v="247"/>
    <s v="Leaf Guard"/>
    <s v="Oblivious"/>
    <s v="Sweet Veil"/>
    <s v=""/>
    <s v=""/>
    <s v=""/>
    <n v="2"/>
    <n v="1"/>
    <n v="1"/>
    <n v="0.5"/>
    <n v="1"/>
    <n v="1"/>
    <n v="2"/>
    <n v="2"/>
    <n v="1"/>
    <n v="0.5"/>
    <n v="0.5"/>
    <n v="2"/>
    <n v="1"/>
    <n v="2"/>
    <n v="1"/>
    <n v="1"/>
    <n v="1"/>
    <n v="0.5"/>
    <n v="30"/>
    <n v="5120"/>
    <n v="70"/>
    <n v="210"/>
    <n v="235"/>
    <n v="38"/>
    <n v="1059860"/>
    <n v="0.3"/>
    <n v="42"/>
    <n v="0"/>
    <n v="100"/>
    <n v="761"/>
    <n v="30"/>
    <n v="38"/>
    <n v="32"/>
    <n v="3.2"/>
    <x v="6"/>
    <x v="0"/>
  </r>
  <r>
    <x v="761"/>
    <s v="Amamaikoアママイコ"/>
    <x v="0"/>
    <x v="1"/>
    <x v="247"/>
    <s v="Leaf Guard"/>
    <s v="Oblivious"/>
    <s v="Sweet Veil"/>
    <s v=""/>
    <s v=""/>
    <s v=""/>
    <n v="2"/>
    <n v="1"/>
    <n v="1"/>
    <n v="0.5"/>
    <n v="1"/>
    <n v="1"/>
    <n v="2"/>
    <n v="2"/>
    <n v="1"/>
    <n v="0.5"/>
    <n v="0.5"/>
    <n v="2"/>
    <n v="1"/>
    <n v="2"/>
    <n v="1"/>
    <n v="1"/>
    <n v="1"/>
    <n v="0.5"/>
    <n v="40"/>
    <n v="5120"/>
    <n v="70"/>
    <n v="290"/>
    <n v="120"/>
    <n v="48"/>
    <n v="1059860"/>
    <n v="0.7"/>
    <n v="52"/>
    <n v="0"/>
    <n v="100"/>
    <n v="762"/>
    <n v="40"/>
    <n v="48"/>
    <n v="62"/>
    <n v="8.1999999999999993"/>
    <x v="6"/>
    <x v="0"/>
  </r>
  <r>
    <x v="762"/>
    <s v="Amajoアマージョ"/>
    <x v="0"/>
    <x v="1"/>
    <x v="247"/>
    <s v="Leaf Guard"/>
    <s v="Queenly Majesty"/>
    <s v="Sweet Veil"/>
    <s v=""/>
    <s v=""/>
    <s v=""/>
    <n v="2"/>
    <n v="1"/>
    <n v="1"/>
    <n v="0.5"/>
    <n v="1"/>
    <n v="1"/>
    <n v="2"/>
    <n v="2"/>
    <n v="1"/>
    <n v="0.5"/>
    <n v="0.5"/>
    <n v="2"/>
    <n v="1"/>
    <n v="2"/>
    <n v="1"/>
    <n v="1"/>
    <n v="1"/>
    <n v="0.5"/>
    <n v="120"/>
    <n v="5120"/>
    <n v="70"/>
    <n v="510"/>
    <n v="45"/>
    <n v="98"/>
    <n v="1059860"/>
    <n v="1.2"/>
    <n v="72"/>
    <n v="0"/>
    <n v="100"/>
    <n v="763"/>
    <n v="50"/>
    <n v="98"/>
    <n v="72"/>
    <n v="21.4"/>
    <x v="6"/>
    <x v="0"/>
  </r>
  <r>
    <x v="763"/>
    <s v="Cuwawaキュワワー"/>
    <x v="8"/>
    <x v="1"/>
    <x v="557"/>
    <s v="Flower Veil"/>
    <s v="Triage"/>
    <s v="Natural Cure"/>
    <s v=""/>
    <s v=""/>
    <s v=""/>
    <n v="0.5"/>
    <n v="0.5"/>
    <n v="0"/>
    <n v="1"/>
    <n v="1"/>
    <n v="0.5"/>
    <n v="1"/>
    <n v="1"/>
    <n v="1"/>
    <n v="1"/>
    <n v="1"/>
    <n v="1"/>
    <n v="1"/>
    <n v="2"/>
    <n v="1"/>
    <n v="1"/>
    <n v="2"/>
    <n v="1"/>
    <n v="52"/>
    <n v="5120"/>
    <n v="70"/>
    <n v="485"/>
    <n v="60"/>
    <n v="90"/>
    <n v="800000"/>
    <n v="0.1"/>
    <n v="51"/>
    <n v="24.6"/>
    <n v="75.400000000000006"/>
    <n v="764"/>
    <n v="82"/>
    <n v="110"/>
    <n v="100"/>
    <n v="0.3"/>
    <x v="6"/>
    <x v="0"/>
  </r>
  <r>
    <x v="764"/>
    <s v="Yareyuutanヤレユータン"/>
    <x v="4"/>
    <x v="10"/>
    <x v="558"/>
    <s v="Inner Focus"/>
    <s v="Telepathy"/>
    <s v="Symbiosis"/>
    <s v=""/>
    <s v=""/>
    <s v=""/>
    <n v="2"/>
    <n v="2"/>
    <n v="1"/>
    <n v="1"/>
    <n v="1"/>
    <n v="1"/>
    <n v="1"/>
    <n v="1"/>
    <n v="0"/>
    <n v="1"/>
    <n v="1"/>
    <n v="1"/>
    <n v="1"/>
    <n v="1"/>
    <n v="0.5"/>
    <n v="1"/>
    <n v="1"/>
    <n v="1"/>
    <n v="60"/>
    <n v="5120"/>
    <n v="70"/>
    <n v="490"/>
    <n v="45"/>
    <n v="80"/>
    <n v="1250000"/>
    <n v="1.5"/>
    <n v="90"/>
    <n v="50"/>
    <n v="50"/>
    <n v="765"/>
    <n v="90"/>
    <n v="110"/>
    <n v="60"/>
    <n v="76"/>
    <x v="6"/>
    <x v="0"/>
  </r>
  <r>
    <x v="765"/>
    <s v="Nagetukesaruナゲツケサル"/>
    <x v="9"/>
    <x v="1"/>
    <x v="559"/>
    <s v="Receiver"/>
    <s v="Defiant"/>
    <s v=""/>
    <s v=""/>
    <s v=""/>
    <s v=""/>
    <n v="0.5"/>
    <n v="0.5"/>
    <n v="1"/>
    <n v="1"/>
    <n v="2"/>
    <n v="1"/>
    <n v="1"/>
    <n v="2"/>
    <n v="1"/>
    <n v="1"/>
    <n v="1"/>
    <n v="1"/>
    <n v="1"/>
    <n v="1"/>
    <n v="2"/>
    <n v="0.5"/>
    <n v="1"/>
    <n v="1"/>
    <n v="120"/>
    <n v="5120"/>
    <n v="70"/>
    <n v="490"/>
    <n v="45"/>
    <n v="90"/>
    <n v="1250000"/>
    <n v="2"/>
    <n v="100"/>
    <n v="50"/>
    <n v="50"/>
    <n v="766"/>
    <n v="40"/>
    <n v="60"/>
    <n v="80"/>
    <n v="82.8"/>
    <x v="6"/>
    <x v="0"/>
  </r>
  <r>
    <x v="766"/>
    <s v="Kosokumushiコソクムシ"/>
    <x v="3"/>
    <x v="14"/>
    <x v="560"/>
    <s v="Wimp Out"/>
    <s v=""/>
    <s v=""/>
    <s v=""/>
    <s v=""/>
    <s v=""/>
    <n v="1"/>
    <n v="1"/>
    <n v="1"/>
    <n v="2"/>
    <n v="1"/>
    <n v="0.5"/>
    <n v="1"/>
    <n v="2"/>
    <n v="1"/>
    <n v="1"/>
    <n v="0.5"/>
    <n v="0.5"/>
    <n v="1"/>
    <n v="1"/>
    <n v="1"/>
    <n v="2"/>
    <n v="0.5"/>
    <n v="0.5"/>
    <n v="35"/>
    <n v="5120"/>
    <n v="70"/>
    <n v="230"/>
    <n v="90"/>
    <n v="40"/>
    <n v="1000000"/>
    <n v="0.5"/>
    <n v="25"/>
    <n v="50"/>
    <n v="50"/>
    <n v="767"/>
    <n v="20"/>
    <n v="30"/>
    <n v="80"/>
    <n v="12"/>
    <x v="6"/>
    <x v="0"/>
  </r>
  <r>
    <x v="767"/>
    <s v="Gusokumushaグソクムシャ"/>
    <x v="3"/>
    <x v="14"/>
    <x v="561"/>
    <s v="Emergency Exit"/>
    <s v=""/>
    <s v=""/>
    <s v=""/>
    <s v=""/>
    <s v=""/>
    <n v="1"/>
    <n v="1"/>
    <n v="1"/>
    <n v="2"/>
    <n v="1"/>
    <n v="0.5"/>
    <n v="1"/>
    <n v="2"/>
    <n v="1"/>
    <n v="1"/>
    <n v="0.5"/>
    <n v="0.5"/>
    <n v="1"/>
    <n v="1"/>
    <n v="1"/>
    <n v="2"/>
    <n v="0.5"/>
    <n v="0.5"/>
    <n v="125"/>
    <n v="5120"/>
    <n v="70"/>
    <n v="530"/>
    <n v="45"/>
    <n v="140"/>
    <n v="1000000"/>
    <n v="2"/>
    <n v="75"/>
    <n v="50"/>
    <n v="50"/>
    <n v="768"/>
    <n v="60"/>
    <n v="90"/>
    <n v="40"/>
    <n v="108"/>
    <x v="6"/>
    <x v="0"/>
  </r>
  <r>
    <x v="768"/>
    <s v="Sunabaスナバァ"/>
    <x v="12"/>
    <x v="6"/>
    <x v="562"/>
    <s v="Water Compaction"/>
    <s v="Sand Veil"/>
    <s v=""/>
    <s v=""/>
    <s v=""/>
    <s v=""/>
    <n v="0.5"/>
    <n v="2"/>
    <n v="1"/>
    <n v="0"/>
    <n v="1"/>
    <n v="0"/>
    <n v="1"/>
    <n v="1"/>
    <n v="2"/>
    <n v="2"/>
    <n v="1"/>
    <n v="2"/>
    <n v="0"/>
    <n v="0.25"/>
    <n v="1"/>
    <n v="0.5"/>
    <n v="1"/>
    <n v="2"/>
    <n v="55"/>
    <n v="3840"/>
    <n v="70"/>
    <n v="320"/>
    <n v="140"/>
    <n v="80"/>
    <n v="1000000"/>
    <n v="0.5"/>
    <n v="55"/>
    <n v="50"/>
    <n v="50"/>
    <n v="769"/>
    <n v="70"/>
    <n v="45"/>
    <n v="15"/>
    <n v="70"/>
    <x v="6"/>
    <x v="0"/>
  </r>
  <r>
    <x v="769"/>
    <s v="Sirodethnaシロデスナ"/>
    <x v="12"/>
    <x v="6"/>
    <x v="563"/>
    <s v="Water Compaction"/>
    <s v="Sand Veil"/>
    <s v=""/>
    <s v=""/>
    <s v=""/>
    <s v=""/>
    <n v="0.5"/>
    <n v="2"/>
    <n v="1"/>
    <n v="0"/>
    <n v="1"/>
    <n v="0"/>
    <n v="1"/>
    <n v="1"/>
    <n v="2"/>
    <n v="2"/>
    <n v="1"/>
    <n v="2"/>
    <n v="0"/>
    <n v="0.25"/>
    <n v="1"/>
    <n v="0.5"/>
    <n v="1"/>
    <n v="2"/>
    <n v="75"/>
    <n v="3840"/>
    <n v="70"/>
    <n v="480"/>
    <n v="60"/>
    <n v="110"/>
    <n v="1000000"/>
    <n v="1.3"/>
    <n v="85"/>
    <n v="50"/>
    <n v="50"/>
    <n v="770"/>
    <n v="100"/>
    <n v="75"/>
    <n v="35"/>
    <n v="250"/>
    <x v="6"/>
    <x v="0"/>
  </r>
  <r>
    <x v="770"/>
    <s v="Namakobushiナマコブシ"/>
    <x v="2"/>
    <x v="1"/>
    <x v="564"/>
    <s v="Innards Out"/>
    <s v="Unaware"/>
    <s v=""/>
    <s v=""/>
    <s v=""/>
    <s v=""/>
    <n v="1"/>
    <n v="1"/>
    <n v="1"/>
    <n v="2"/>
    <n v="1"/>
    <n v="1"/>
    <n v="0.5"/>
    <n v="1"/>
    <n v="1"/>
    <n v="2"/>
    <n v="1"/>
    <n v="0.5"/>
    <n v="1"/>
    <n v="1"/>
    <n v="1"/>
    <n v="1"/>
    <n v="0.5"/>
    <n v="0.5"/>
    <n v="60"/>
    <n v="3840"/>
    <n v="70"/>
    <n v="410"/>
    <n v="60"/>
    <n v="130"/>
    <n v="800000"/>
    <n v="0.3"/>
    <n v="55"/>
    <n v="50"/>
    <n v="50"/>
    <n v="771"/>
    <n v="30"/>
    <n v="130"/>
    <n v="5"/>
    <n v="1.2"/>
    <x v="6"/>
    <x v="0"/>
  </r>
  <r>
    <x v="771"/>
    <s v="Type: Nullタイプ：ヌル"/>
    <x v="4"/>
    <x v="1"/>
    <x v="565"/>
    <s v="Battle Armor"/>
    <s v=""/>
    <s v=""/>
    <s v=""/>
    <s v=""/>
    <s v=""/>
    <n v="1"/>
    <n v="1"/>
    <n v="1"/>
    <n v="1"/>
    <n v="1"/>
    <n v="2"/>
    <n v="1"/>
    <n v="1"/>
    <n v="0"/>
    <n v="1"/>
    <n v="1"/>
    <n v="1"/>
    <n v="1"/>
    <n v="1"/>
    <n v="1"/>
    <n v="1"/>
    <n v="1"/>
    <n v="1"/>
    <n v="95"/>
    <n v="30720"/>
    <n v="0"/>
    <n v="534"/>
    <n v="3"/>
    <n v="95"/>
    <n v="1250000"/>
    <n v="1.9"/>
    <n v="95"/>
    <s v=""/>
    <s v=""/>
    <n v="772"/>
    <n v="95"/>
    <n v="95"/>
    <n v="59"/>
    <n v="120.5"/>
    <x v="6"/>
    <x v="0"/>
  </r>
  <r>
    <x v="772"/>
    <s v="Silvadyシルヴァディ"/>
    <x v="4"/>
    <x v="1"/>
    <x v="565"/>
    <s v="RKS System"/>
    <s v=""/>
    <s v=""/>
    <s v=""/>
    <s v=""/>
    <s v=""/>
    <n v="1"/>
    <n v="1"/>
    <n v="1"/>
    <n v="1"/>
    <n v="1"/>
    <n v="2"/>
    <n v="1"/>
    <n v="1"/>
    <n v="0"/>
    <n v="1"/>
    <n v="1"/>
    <n v="1"/>
    <n v="1"/>
    <n v="1"/>
    <n v="1"/>
    <n v="1"/>
    <n v="1"/>
    <n v="1"/>
    <n v="95"/>
    <n v="30720"/>
    <n v="0"/>
    <n v="570"/>
    <n v="3"/>
    <n v="95"/>
    <n v="1250000"/>
    <n v="2.2999999999999998"/>
    <n v="95"/>
    <s v=""/>
    <s v=""/>
    <n v="773"/>
    <n v="95"/>
    <n v="95"/>
    <n v="95"/>
    <n v="100.5"/>
    <x v="6"/>
    <x v="0"/>
  </r>
  <r>
    <x v="773"/>
    <s v="Metenoメテノ"/>
    <x v="11"/>
    <x v="2"/>
    <x v="566"/>
    <s v="Shields Down"/>
    <s v=""/>
    <s v=""/>
    <s v=""/>
    <s v=""/>
    <s v=""/>
    <n v="0.5"/>
    <n v="1"/>
    <n v="1"/>
    <n v="2"/>
    <n v="1"/>
    <n v="1"/>
    <n v="0.5"/>
    <n v="0.5"/>
    <n v="1"/>
    <n v="1"/>
    <n v="0"/>
    <n v="2"/>
    <n v="0.5"/>
    <n v="0.5"/>
    <n v="1"/>
    <n v="2"/>
    <n v="2"/>
    <n v="2"/>
    <n v="100"/>
    <n v="6400"/>
    <n v="70"/>
    <n v="500"/>
    <m/>
    <n v="60"/>
    <n v="1059860"/>
    <n v="0.3"/>
    <n v="60"/>
    <s v=""/>
    <s v=""/>
    <n v="774"/>
    <n v="100"/>
    <n v="60"/>
    <n v="120"/>
    <n v="40"/>
    <x v="6"/>
    <x v="0"/>
  </r>
  <r>
    <x v="774"/>
    <s v="Nekkoaraネッコアラ"/>
    <x v="4"/>
    <x v="1"/>
    <x v="376"/>
    <s v="Comatose"/>
    <s v=""/>
    <s v=""/>
    <s v=""/>
    <s v=""/>
    <s v=""/>
    <n v="1"/>
    <n v="1"/>
    <n v="1"/>
    <n v="1"/>
    <n v="1"/>
    <n v="2"/>
    <n v="1"/>
    <n v="1"/>
    <n v="0"/>
    <n v="1"/>
    <n v="1"/>
    <n v="1"/>
    <n v="1"/>
    <n v="1"/>
    <n v="1"/>
    <n v="1"/>
    <n v="1"/>
    <n v="1"/>
    <n v="115"/>
    <n v="5120"/>
    <n v="70"/>
    <n v="480"/>
    <n v="45"/>
    <n v="65"/>
    <n v="1250000"/>
    <n v="0.4"/>
    <n v="65"/>
    <n v="50"/>
    <n v="50"/>
    <n v="775"/>
    <n v="75"/>
    <n v="95"/>
    <n v="65"/>
    <n v="19.899999999999999"/>
    <x v="6"/>
    <x v="0"/>
  </r>
  <r>
    <x v="775"/>
    <s v="Bakugamesバクガメス"/>
    <x v="1"/>
    <x v="15"/>
    <x v="567"/>
    <s v="Shell Armor"/>
    <s v=""/>
    <s v=""/>
    <s v=""/>
    <s v=""/>
    <s v=""/>
    <n v="0.5"/>
    <n v="1"/>
    <n v="2"/>
    <n v="0.5"/>
    <n v="1"/>
    <n v="1"/>
    <n v="0.25"/>
    <n v="1"/>
    <n v="1"/>
    <n v="0.25"/>
    <n v="2"/>
    <n v="1"/>
    <n v="1"/>
    <n v="1"/>
    <n v="1"/>
    <n v="2"/>
    <n v="0.5"/>
    <n v="1"/>
    <n v="78"/>
    <n v="5120"/>
    <n v="70"/>
    <n v="485"/>
    <n v="70"/>
    <n v="135"/>
    <n v="1000000"/>
    <n v="2"/>
    <n v="60"/>
    <n v="50"/>
    <n v="50"/>
    <n v="776"/>
    <n v="91"/>
    <n v="85"/>
    <n v="36"/>
    <n v="212"/>
    <x v="6"/>
    <x v="0"/>
  </r>
  <r>
    <x v="776"/>
    <s v="Togedemaruトゲデマル"/>
    <x v="6"/>
    <x v="11"/>
    <x v="568"/>
    <s v="Iron Barbs"/>
    <s v="Lightningrod"/>
    <s v="Sturdy"/>
    <s v=""/>
    <s v=""/>
    <s v=""/>
    <n v="0.5"/>
    <n v="1"/>
    <n v="0.5"/>
    <n v="0.5"/>
    <n v="0.5"/>
    <n v="2"/>
    <n v="2"/>
    <n v="0.25"/>
    <n v="1"/>
    <n v="0.5"/>
    <n v="4"/>
    <n v="0.5"/>
    <n v="0.5"/>
    <n v="0"/>
    <n v="0.5"/>
    <n v="0.5"/>
    <n v="0.25"/>
    <n v="1"/>
    <n v="98"/>
    <n v="2560"/>
    <n v="70"/>
    <n v="435"/>
    <n v="180"/>
    <n v="63"/>
    <n v="1000000"/>
    <n v="0.3"/>
    <n v="65"/>
    <n v="50"/>
    <n v="50"/>
    <n v="777"/>
    <n v="40"/>
    <n v="73"/>
    <n v="96"/>
    <n v="3.3"/>
    <x v="6"/>
    <x v="0"/>
  </r>
  <r>
    <x v="777"/>
    <s v="Mimikkyuミミッキュ"/>
    <x v="12"/>
    <x v="7"/>
    <x v="569"/>
    <s v="Disguise"/>
    <s v=""/>
    <s v=""/>
    <s v=""/>
    <s v=""/>
    <s v=""/>
    <n v="0.25"/>
    <n v="1"/>
    <n v="0"/>
    <n v="1"/>
    <n v="1"/>
    <n v="0"/>
    <n v="1"/>
    <n v="1"/>
    <n v="2"/>
    <n v="1"/>
    <n v="1"/>
    <n v="1"/>
    <n v="0"/>
    <n v="1"/>
    <n v="1"/>
    <n v="1"/>
    <n v="2"/>
    <n v="1"/>
    <n v="90"/>
    <n v="5120"/>
    <n v="70"/>
    <n v="476"/>
    <n v="45"/>
    <n v="80"/>
    <n v="1000000"/>
    <n v="0.2"/>
    <n v="55"/>
    <n v="50"/>
    <n v="50"/>
    <n v="778"/>
    <n v="50"/>
    <n v="105"/>
    <n v="96"/>
    <n v="0.7"/>
    <x v="6"/>
    <x v="0"/>
  </r>
  <r>
    <x v="778"/>
    <s v="Hagigishiriハギギシリ"/>
    <x v="2"/>
    <x v="10"/>
    <x v="570"/>
    <s v="Dazzling"/>
    <s v="Strong Jaw"/>
    <s v="Wonder Skin"/>
    <s v=""/>
    <s v=""/>
    <s v=""/>
    <n v="2"/>
    <n v="2"/>
    <n v="1"/>
    <n v="2"/>
    <n v="1"/>
    <n v="0.5"/>
    <n v="0.5"/>
    <n v="1"/>
    <n v="2"/>
    <n v="2"/>
    <n v="1"/>
    <n v="0.5"/>
    <n v="1"/>
    <n v="1"/>
    <n v="0.5"/>
    <n v="1"/>
    <n v="0.5"/>
    <n v="0.5"/>
    <n v="105"/>
    <n v="3840"/>
    <n v="70"/>
    <n v="475"/>
    <n v="80"/>
    <n v="70"/>
    <n v="1000000"/>
    <n v="0.9"/>
    <n v="68"/>
    <n v="50"/>
    <n v="50"/>
    <n v="779"/>
    <n v="70"/>
    <n v="70"/>
    <n v="92"/>
    <n v="19"/>
    <x v="6"/>
    <x v="0"/>
  </r>
  <r>
    <x v="779"/>
    <s v="Jijilongジジーロン"/>
    <x v="4"/>
    <x v="15"/>
    <x v="571"/>
    <s v="Berserk"/>
    <s v="Sap Sipper"/>
    <s v="Cloud Nine"/>
    <s v=""/>
    <s v=""/>
    <s v=""/>
    <n v="1"/>
    <n v="1"/>
    <n v="2"/>
    <n v="0.5"/>
    <n v="2"/>
    <n v="2"/>
    <n v="0.5"/>
    <n v="1"/>
    <n v="0"/>
    <n v="0.5"/>
    <n v="1"/>
    <n v="2"/>
    <n v="1"/>
    <n v="1"/>
    <n v="1"/>
    <n v="1"/>
    <n v="1"/>
    <n v="0.5"/>
    <n v="60"/>
    <n v="5120"/>
    <n v="70"/>
    <n v="485"/>
    <n v="70"/>
    <n v="85"/>
    <n v="1000000"/>
    <n v="3"/>
    <n v="78"/>
    <n v="50"/>
    <n v="50"/>
    <n v="780"/>
    <n v="135"/>
    <n v="91"/>
    <n v="36"/>
    <n v="185"/>
    <x v="6"/>
    <x v="0"/>
  </r>
  <r>
    <x v="780"/>
    <s v="Dadarinダダリン"/>
    <x v="12"/>
    <x v="8"/>
    <x v="572"/>
    <s v="Steelworker"/>
    <s v=""/>
    <s v=""/>
    <s v=""/>
    <s v=""/>
    <s v=""/>
    <n v="1"/>
    <n v="2"/>
    <n v="1"/>
    <n v="0.5"/>
    <n v="1"/>
    <n v="0"/>
    <n v="2"/>
    <n v="2"/>
    <n v="2"/>
    <n v="0.5"/>
    <n v="0.5"/>
    <n v="2"/>
    <n v="0"/>
    <n v="1"/>
    <n v="1"/>
    <n v="1"/>
    <n v="1"/>
    <n v="0.5"/>
    <n v="131"/>
    <n v="6400"/>
    <n v="70"/>
    <n v="517"/>
    <n v="25"/>
    <n v="100"/>
    <n v="1000000"/>
    <n v="3.9"/>
    <n v="70"/>
    <s v=""/>
    <s v=""/>
    <n v="781"/>
    <n v="86"/>
    <n v="90"/>
    <n v="40"/>
    <n v="210"/>
    <x v="6"/>
    <x v="0"/>
  </r>
  <r>
    <x v="781"/>
    <s v="Jyarakoジャラコ"/>
    <x v="14"/>
    <x v="1"/>
    <x v="573"/>
    <s v="Bulletproof"/>
    <s v="Soundproof"/>
    <s v="Overcoat"/>
    <s v=""/>
    <s v=""/>
    <s v=""/>
    <n v="1"/>
    <n v="1"/>
    <n v="2"/>
    <n v="0.5"/>
    <n v="2"/>
    <n v="1"/>
    <n v="0.5"/>
    <n v="1"/>
    <n v="1"/>
    <n v="0.5"/>
    <n v="1"/>
    <n v="2"/>
    <n v="1"/>
    <n v="1"/>
    <n v="1"/>
    <n v="1"/>
    <n v="1"/>
    <n v="0.5"/>
    <n v="55"/>
    <n v="10240"/>
    <n v="70"/>
    <n v="300"/>
    <n v="45"/>
    <n v="65"/>
    <n v="1250000"/>
    <n v="0.6"/>
    <n v="45"/>
    <n v="50"/>
    <n v="50"/>
    <n v="782"/>
    <n v="45"/>
    <n v="45"/>
    <n v="45"/>
    <n v="29.7"/>
    <x v="6"/>
    <x v="0"/>
  </r>
  <r>
    <x v="782"/>
    <s v="Jyarangoジャランゴ"/>
    <x v="14"/>
    <x v="9"/>
    <x v="573"/>
    <s v="Bulletproof"/>
    <s v="Soundproof"/>
    <s v="Overcoat"/>
    <s v=""/>
    <s v=""/>
    <s v=""/>
    <n v="0.5"/>
    <n v="0.5"/>
    <n v="2"/>
    <n v="0.5"/>
    <n v="4"/>
    <n v="1"/>
    <n v="0.5"/>
    <n v="2"/>
    <n v="1"/>
    <n v="0.5"/>
    <n v="1"/>
    <n v="2"/>
    <n v="1"/>
    <n v="1"/>
    <n v="2"/>
    <n v="0.5"/>
    <n v="1"/>
    <n v="0.5"/>
    <n v="75"/>
    <n v="10240"/>
    <n v="70"/>
    <n v="420"/>
    <n v="45"/>
    <n v="90"/>
    <n v="1250000"/>
    <n v="1.2"/>
    <n v="55"/>
    <n v="50"/>
    <n v="50"/>
    <n v="783"/>
    <n v="65"/>
    <n v="70"/>
    <n v="65"/>
    <n v="47"/>
    <x v="6"/>
    <x v="0"/>
  </r>
  <r>
    <x v="783"/>
    <s v="Jyararangaジャラランガ"/>
    <x v="14"/>
    <x v="9"/>
    <x v="573"/>
    <s v="Bulletproof"/>
    <s v="Soundproof"/>
    <s v="Overcoat"/>
    <s v=""/>
    <s v=""/>
    <s v=""/>
    <n v="0.5"/>
    <n v="0.5"/>
    <n v="2"/>
    <n v="0.5"/>
    <n v="4"/>
    <n v="1"/>
    <n v="0.5"/>
    <n v="2"/>
    <n v="1"/>
    <n v="0.5"/>
    <n v="1"/>
    <n v="2"/>
    <n v="1"/>
    <n v="1"/>
    <n v="2"/>
    <n v="0.5"/>
    <n v="1"/>
    <n v="0.5"/>
    <n v="110"/>
    <n v="10240"/>
    <n v="70"/>
    <n v="600"/>
    <n v="45"/>
    <n v="125"/>
    <n v="1250000"/>
    <n v="1.6"/>
    <n v="75"/>
    <n v="50"/>
    <n v="50"/>
    <n v="784"/>
    <n v="100"/>
    <n v="105"/>
    <n v="85"/>
    <n v="78.2"/>
    <x v="6"/>
    <x v="0"/>
  </r>
  <r>
    <x v="784"/>
    <s v="Kapu-kokekoカプ・コケコ"/>
    <x v="6"/>
    <x v="7"/>
    <x v="574"/>
    <s v="Electric Surge"/>
    <s v="Telepathy"/>
    <s v=""/>
    <s v=""/>
    <s v=""/>
    <s v=""/>
    <n v="0.5"/>
    <n v="0.5"/>
    <n v="0"/>
    <n v="0.5"/>
    <n v="1"/>
    <n v="0.5"/>
    <n v="1"/>
    <n v="0.5"/>
    <n v="1"/>
    <n v="1"/>
    <n v="2"/>
    <n v="1"/>
    <n v="1"/>
    <n v="2"/>
    <n v="1"/>
    <n v="1"/>
    <n v="1"/>
    <n v="1"/>
    <n v="115"/>
    <n v="3840"/>
    <n v="70"/>
    <n v="570"/>
    <n v="3"/>
    <n v="85"/>
    <n v="1250000"/>
    <n v="1.8"/>
    <n v="70"/>
    <s v=""/>
    <s v=""/>
    <n v="785"/>
    <n v="95"/>
    <n v="75"/>
    <n v="130"/>
    <n v="20.5"/>
    <x v="6"/>
    <x v="1"/>
  </r>
  <r>
    <x v="785"/>
    <s v="Kapu-tetefuカプ・テテフ"/>
    <x v="10"/>
    <x v="7"/>
    <x v="574"/>
    <s v="Psychic Surge"/>
    <s v="Telepathy"/>
    <s v=""/>
    <s v=""/>
    <s v=""/>
    <s v=""/>
    <n v="1"/>
    <n v="1"/>
    <n v="0"/>
    <n v="1"/>
    <n v="1"/>
    <n v="0.25"/>
    <n v="1"/>
    <n v="1"/>
    <n v="2"/>
    <n v="1"/>
    <n v="1"/>
    <n v="1"/>
    <n v="1"/>
    <n v="2"/>
    <n v="0.5"/>
    <n v="1"/>
    <n v="2"/>
    <n v="1"/>
    <n v="85"/>
    <n v="3840"/>
    <n v="70"/>
    <n v="570"/>
    <n v="3"/>
    <n v="75"/>
    <n v="1250000"/>
    <n v="1.2"/>
    <n v="70"/>
    <s v=""/>
    <s v=""/>
    <n v="786"/>
    <n v="130"/>
    <n v="115"/>
    <n v="95"/>
    <n v="18.600000000000001"/>
    <x v="6"/>
    <x v="1"/>
  </r>
  <r>
    <x v="786"/>
    <s v="Kapu-bululカプ・ブルル"/>
    <x v="0"/>
    <x v="7"/>
    <x v="574"/>
    <s v="Grassy Surge"/>
    <s v="Telepathy"/>
    <s v=""/>
    <s v=""/>
    <s v=""/>
    <s v=""/>
    <n v="1"/>
    <n v="0.5"/>
    <n v="0"/>
    <n v="0.5"/>
    <n v="1"/>
    <n v="0.5"/>
    <n v="2"/>
    <n v="2"/>
    <n v="1"/>
    <n v="0.5"/>
    <n v="0.5"/>
    <n v="2"/>
    <n v="1"/>
    <n v="4"/>
    <n v="1"/>
    <n v="1"/>
    <n v="2"/>
    <n v="0.5"/>
    <n v="130"/>
    <n v="3840"/>
    <n v="70"/>
    <n v="570"/>
    <n v="3"/>
    <n v="115"/>
    <n v="1250000"/>
    <n v="1.9"/>
    <n v="70"/>
    <s v=""/>
    <s v=""/>
    <n v="787"/>
    <n v="85"/>
    <n v="95"/>
    <n v="75"/>
    <n v="45.5"/>
    <x v="6"/>
    <x v="1"/>
  </r>
  <r>
    <x v="787"/>
    <s v="Kapu-rehireカプ・レヒレ"/>
    <x v="2"/>
    <x v="7"/>
    <x v="574"/>
    <s v="Misty Surge"/>
    <s v="Telepathy"/>
    <s v=""/>
    <s v=""/>
    <s v=""/>
    <s v=""/>
    <n v="0.5"/>
    <n v="0.5"/>
    <n v="0"/>
    <n v="2"/>
    <n v="1"/>
    <n v="0.5"/>
    <n v="0.5"/>
    <n v="1"/>
    <n v="1"/>
    <n v="2"/>
    <n v="1"/>
    <n v="0.5"/>
    <n v="1"/>
    <n v="2"/>
    <n v="1"/>
    <n v="1"/>
    <n v="1"/>
    <n v="0.5"/>
    <n v="75"/>
    <n v="3840"/>
    <n v="70"/>
    <n v="570"/>
    <n v="3"/>
    <n v="115"/>
    <n v="1250000"/>
    <n v="1.3"/>
    <n v="70"/>
    <s v=""/>
    <s v=""/>
    <n v="788"/>
    <n v="95"/>
    <n v="130"/>
    <n v="85"/>
    <n v="21.2"/>
    <x v="6"/>
    <x v="1"/>
  </r>
  <r>
    <x v="788"/>
    <s v="Cosmogコスモッグ"/>
    <x v="10"/>
    <x v="1"/>
    <x v="575"/>
    <s v="Unaware"/>
    <s v=""/>
    <s v=""/>
    <s v=""/>
    <s v=""/>
    <s v=""/>
    <n v="2"/>
    <n v="2"/>
    <n v="1"/>
    <n v="1"/>
    <n v="1"/>
    <n v="0.5"/>
    <n v="1"/>
    <n v="1"/>
    <n v="2"/>
    <n v="1"/>
    <n v="1"/>
    <n v="1"/>
    <n v="1"/>
    <n v="1"/>
    <n v="0.5"/>
    <n v="1"/>
    <n v="1"/>
    <n v="1"/>
    <n v="29"/>
    <n v="30720"/>
    <n v="0"/>
    <n v="200"/>
    <n v="45"/>
    <n v="31"/>
    <n v="1250000"/>
    <n v="0.2"/>
    <n v="43"/>
    <s v=""/>
    <s v=""/>
    <n v="789"/>
    <n v="29"/>
    <n v="31"/>
    <n v="37"/>
    <n v="0.1"/>
    <x v="6"/>
    <x v="1"/>
  </r>
  <r>
    <x v="789"/>
    <s v="Cosmovumコスモウム"/>
    <x v="10"/>
    <x v="1"/>
    <x v="576"/>
    <s v="Sturdy"/>
    <s v=""/>
    <s v=""/>
    <s v=""/>
    <s v=""/>
    <s v=""/>
    <n v="2"/>
    <n v="2"/>
    <n v="1"/>
    <n v="1"/>
    <n v="1"/>
    <n v="0.5"/>
    <n v="1"/>
    <n v="1"/>
    <n v="2"/>
    <n v="1"/>
    <n v="1"/>
    <n v="1"/>
    <n v="1"/>
    <n v="1"/>
    <n v="0.5"/>
    <n v="1"/>
    <n v="1"/>
    <n v="1"/>
    <n v="29"/>
    <n v="30720"/>
    <n v="0"/>
    <n v="400"/>
    <n v="45"/>
    <n v="131"/>
    <n v="1250000"/>
    <n v="0.1"/>
    <n v="43"/>
    <s v=""/>
    <s v=""/>
    <n v="790"/>
    <n v="29"/>
    <n v="131"/>
    <n v="37"/>
    <n v="999.9"/>
    <x v="6"/>
    <x v="1"/>
  </r>
  <r>
    <x v="790"/>
    <s v="Solgaleoソルガレオ"/>
    <x v="10"/>
    <x v="11"/>
    <x v="577"/>
    <s v="Full Metal Body"/>
    <s v=""/>
    <s v=""/>
    <s v=""/>
    <s v=""/>
    <s v=""/>
    <n v="1"/>
    <n v="2"/>
    <n v="0.5"/>
    <n v="1"/>
    <n v="0.5"/>
    <n v="1"/>
    <n v="2"/>
    <n v="0.5"/>
    <n v="2"/>
    <n v="0.5"/>
    <n v="2"/>
    <n v="0.5"/>
    <n v="0.5"/>
    <n v="0"/>
    <n v="0.25"/>
    <n v="0.5"/>
    <n v="0.5"/>
    <n v="1"/>
    <n v="137"/>
    <n v="30720"/>
    <n v="0"/>
    <n v="680"/>
    <n v="45"/>
    <n v="107"/>
    <n v="1250000"/>
    <n v="3.4"/>
    <n v="137"/>
    <s v=""/>
    <s v=""/>
    <n v="791"/>
    <n v="113"/>
    <n v="89"/>
    <n v="97"/>
    <n v="230"/>
    <x v="6"/>
    <x v="1"/>
  </r>
  <r>
    <x v="791"/>
    <s v="Lunalaルナアーラ"/>
    <x v="10"/>
    <x v="16"/>
    <x v="578"/>
    <s v="Shadow Shield"/>
    <s v=""/>
    <s v=""/>
    <s v=""/>
    <s v=""/>
    <s v=""/>
    <n v="1"/>
    <n v="4"/>
    <n v="1"/>
    <n v="1"/>
    <n v="1"/>
    <n v="0"/>
    <n v="1"/>
    <n v="1"/>
    <n v="4"/>
    <n v="1"/>
    <n v="1"/>
    <n v="1"/>
    <n v="0"/>
    <n v="0.5"/>
    <n v="0.5"/>
    <n v="1"/>
    <n v="1"/>
    <n v="1"/>
    <n v="113"/>
    <n v="30720"/>
    <n v="0"/>
    <n v="680"/>
    <n v="45"/>
    <n v="89"/>
    <n v="1250000"/>
    <n v="4"/>
    <n v="137"/>
    <s v=""/>
    <s v=""/>
    <n v="792"/>
    <n v="137"/>
    <n v="107"/>
    <n v="97"/>
    <n v="120"/>
    <x v="6"/>
    <x v="1"/>
  </r>
  <r>
    <x v="792"/>
    <s v="Uturoidウツロイド"/>
    <x v="11"/>
    <x v="0"/>
    <x v="579"/>
    <s v="Beast Boost"/>
    <s v=""/>
    <s v=""/>
    <s v=""/>
    <s v=""/>
    <s v=""/>
    <n v="0.5"/>
    <n v="1"/>
    <n v="1"/>
    <n v="1"/>
    <n v="0.5"/>
    <n v="1"/>
    <n v="0.5"/>
    <n v="0.5"/>
    <n v="1"/>
    <n v="1"/>
    <n v="4"/>
    <n v="1"/>
    <n v="0.5"/>
    <n v="0.25"/>
    <n v="2"/>
    <n v="1"/>
    <n v="2"/>
    <n v="2"/>
    <n v="53"/>
    <n v="30720"/>
    <n v="0"/>
    <n v="570"/>
    <n v="45"/>
    <n v="47"/>
    <n v="1250000"/>
    <n v="1.2"/>
    <n v="109"/>
    <s v=""/>
    <s v=""/>
    <n v="793"/>
    <n v="127"/>
    <n v="131"/>
    <n v="103"/>
    <n v="55.5"/>
    <x v="6"/>
    <x v="1"/>
  </r>
  <r>
    <x v="793"/>
    <s v="Massivoonマッシブーン"/>
    <x v="3"/>
    <x v="9"/>
    <x v="580"/>
    <s v="Beast Boost"/>
    <s v=""/>
    <s v=""/>
    <s v=""/>
    <s v=""/>
    <s v=""/>
    <n v="0.5"/>
    <n v="0.5"/>
    <n v="1"/>
    <n v="1"/>
    <n v="2"/>
    <n v="0.5"/>
    <n v="2"/>
    <n v="4"/>
    <n v="1"/>
    <n v="0.5"/>
    <n v="0.5"/>
    <n v="1"/>
    <n v="1"/>
    <n v="1"/>
    <n v="2"/>
    <n v="1"/>
    <n v="1"/>
    <n v="1"/>
    <n v="139"/>
    <n v="30720"/>
    <n v="0"/>
    <n v="570"/>
    <n v="25"/>
    <n v="139"/>
    <n v="1250000"/>
    <n v="2.4"/>
    <n v="107"/>
    <s v=""/>
    <s v=""/>
    <n v="794"/>
    <n v="53"/>
    <n v="53"/>
    <n v="79"/>
    <n v="333.6"/>
    <x v="6"/>
    <x v="1"/>
  </r>
  <r>
    <x v="794"/>
    <s v="Pheroacheフェローチェ"/>
    <x v="3"/>
    <x v="9"/>
    <x v="581"/>
    <s v="Beast Boost"/>
    <s v=""/>
    <s v=""/>
    <s v=""/>
    <s v=""/>
    <s v=""/>
    <n v="0.5"/>
    <n v="0.5"/>
    <n v="1"/>
    <n v="1"/>
    <n v="2"/>
    <n v="0.5"/>
    <n v="2"/>
    <n v="4"/>
    <n v="1"/>
    <n v="0.5"/>
    <n v="0.5"/>
    <n v="1"/>
    <n v="1"/>
    <n v="1"/>
    <n v="2"/>
    <n v="1"/>
    <n v="1"/>
    <n v="1"/>
    <n v="137"/>
    <n v="30720"/>
    <n v="0"/>
    <n v="570"/>
    <n v="255"/>
    <n v="37"/>
    <n v="1250000"/>
    <n v="1.8"/>
    <n v="71"/>
    <s v=""/>
    <s v=""/>
    <n v="795"/>
    <n v="137"/>
    <n v="37"/>
    <n v="151"/>
    <n v="25"/>
    <x v="6"/>
    <x v="1"/>
  </r>
  <r>
    <x v="795"/>
    <s v="Denjyumokuデンジュモク"/>
    <x v="6"/>
    <x v="1"/>
    <x v="582"/>
    <s v="Beast Boost"/>
    <s v=""/>
    <s v=""/>
    <s v=""/>
    <s v=""/>
    <s v=""/>
    <n v="1"/>
    <n v="1"/>
    <n v="1"/>
    <n v="0.5"/>
    <n v="1"/>
    <n v="1"/>
    <n v="1"/>
    <n v="0.5"/>
    <n v="1"/>
    <n v="1"/>
    <n v="2"/>
    <n v="1"/>
    <n v="1"/>
    <n v="1"/>
    <n v="1"/>
    <n v="1"/>
    <n v="0.5"/>
    <n v="1"/>
    <n v="89"/>
    <n v="30720"/>
    <n v="0"/>
    <n v="570"/>
    <n v="30"/>
    <n v="71"/>
    <n v="1250000"/>
    <n v="3.8"/>
    <n v="83"/>
    <s v=""/>
    <s v=""/>
    <n v="796"/>
    <n v="173"/>
    <n v="71"/>
    <n v="83"/>
    <n v="100"/>
    <x v="6"/>
    <x v="1"/>
  </r>
  <r>
    <x v="796"/>
    <s v="Tekkaguyaテッカグヤ"/>
    <x v="16"/>
    <x v="2"/>
    <x v="583"/>
    <s v="Beast Boost"/>
    <s v=""/>
    <s v=""/>
    <s v=""/>
    <s v=""/>
    <s v=""/>
    <n v="0.25"/>
    <n v="1"/>
    <n v="0.5"/>
    <n v="2"/>
    <n v="0.5"/>
    <n v="1"/>
    <n v="2"/>
    <n v="0.5"/>
    <n v="1"/>
    <n v="0.25"/>
    <n v="0"/>
    <n v="1"/>
    <n v="0.5"/>
    <n v="0"/>
    <n v="0.5"/>
    <n v="1"/>
    <n v="0.5"/>
    <n v="1"/>
    <n v="101"/>
    <n v="30720"/>
    <n v="0"/>
    <n v="570"/>
    <n v="25"/>
    <n v="103"/>
    <n v="1250000"/>
    <n v="9.1999999999999993"/>
    <n v="97"/>
    <s v=""/>
    <s v=""/>
    <n v="797"/>
    <n v="107"/>
    <n v="101"/>
    <n v="61"/>
    <n v="999.9"/>
    <x v="6"/>
    <x v="1"/>
  </r>
  <r>
    <x v="797"/>
    <s v="Kamiturugiカミツルギ"/>
    <x v="0"/>
    <x v="11"/>
    <x v="584"/>
    <s v="Beast Boost"/>
    <s v=""/>
    <s v=""/>
    <s v=""/>
    <s v=""/>
    <s v=""/>
    <n v="1"/>
    <n v="1"/>
    <n v="0.5"/>
    <n v="0.5"/>
    <n v="0.5"/>
    <n v="2"/>
    <n v="4"/>
    <n v="1"/>
    <n v="1"/>
    <n v="0.25"/>
    <n v="1"/>
    <n v="1"/>
    <n v="0.5"/>
    <n v="0"/>
    <n v="0.5"/>
    <n v="0.5"/>
    <n v="0.5"/>
    <n v="0.5"/>
    <n v="181"/>
    <n v="30720"/>
    <n v="0"/>
    <n v="570"/>
    <n v="255"/>
    <n v="131"/>
    <n v="1250000"/>
    <n v="0.3"/>
    <n v="59"/>
    <s v=""/>
    <s v=""/>
    <n v="798"/>
    <n v="59"/>
    <n v="31"/>
    <n v="109"/>
    <n v="0.1"/>
    <x v="6"/>
    <x v="1"/>
  </r>
  <r>
    <x v="798"/>
    <s v="Akuzikingアクジキング"/>
    <x v="15"/>
    <x v="15"/>
    <x v="585"/>
    <s v="Beast Boost"/>
    <s v=""/>
    <s v=""/>
    <s v=""/>
    <s v=""/>
    <s v=""/>
    <n v="2"/>
    <n v="0.5"/>
    <n v="2"/>
    <n v="0.5"/>
    <n v="4"/>
    <n v="2"/>
    <n v="0.5"/>
    <n v="1"/>
    <n v="0.5"/>
    <n v="0.5"/>
    <n v="1"/>
    <n v="2"/>
    <n v="1"/>
    <n v="1"/>
    <n v="0"/>
    <n v="1"/>
    <n v="1"/>
    <n v="0.5"/>
    <n v="101"/>
    <n v="30720"/>
    <n v="0"/>
    <n v="570"/>
    <n v="15"/>
    <n v="53"/>
    <n v="1250000"/>
    <n v="5.5"/>
    <n v="223"/>
    <s v=""/>
    <s v=""/>
    <n v="799"/>
    <n v="97"/>
    <n v="53"/>
    <n v="43"/>
    <n v="888"/>
    <x v="6"/>
    <x v="1"/>
  </r>
  <r>
    <x v="799"/>
    <s v="Necrozmaネクロズマ"/>
    <x v="10"/>
    <x v="1"/>
    <x v="586"/>
    <s v="Prism Armor"/>
    <s v=""/>
    <s v=""/>
    <s v=""/>
    <s v=""/>
    <s v=""/>
    <n v="2"/>
    <n v="2"/>
    <n v="1"/>
    <n v="1"/>
    <n v="1"/>
    <n v="0.5"/>
    <n v="1"/>
    <n v="1"/>
    <n v="2"/>
    <n v="1"/>
    <n v="1"/>
    <n v="1"/>
    <n v="1"/>
    <n v="1"/>
    <n v="0.5"/>
    <n v="1"/>
    <n v="1"/>
    <n v="1"/>
    <n v="107"/>
    <n v="30720"/>
    <n v="0"/>
    <n v="600"/>
    <n v="3"/>
    <n v="101"/>
    <n v="1250000"/>
    <n v="2.4"/>
    <n v="97"/>
    <s v=""/>
    <s v=""/>
    <n v="800"/>
    <n v="127"/>
    <n v="89"/>
    <n v="79"/>
    <n v="230"/>
    <x v="6"/>
    <x v="1"/>
  </r>
  <r>
    <x v="800"/>
    <s v="Magearnaマギアナ"/>
    <x v="16"/>
    <x v="7"/>
    <x v="587"/>
    <s v="Soul-Heart"/>
    <s v=""/>
    <s v=""/>
    <s v=""/>
    <s v=""/>
    <s v=""/>
    <n v="0.25"/>
    <n v="0.5"/>
    <n v="0"/>
    <n v="1"/>
    <n v="0.5"/>
    <n v="1"/>
    <n v="2"/>
    <n v="0.5"/>
    <n v="1"/>
    <n v="0.5"/>
    <n v="2"/>
    <n v="0.5"/>
    <n v="0.5"/>
    <n v="0"/>
    <n v="0.5"/>
    <n v="0.5"/>
    <n v="1"/>
    <n v="1"/>
    <n v="95"/>
    <n v="30720"/>
    <n v="0"/>
    <n v="600"/>
    <n v="3"/>
    <n v="115"/>
    <n v="1250000"/>
    <n v="1"/>
    <n v="80"/>
    <s v=""/>
    <s v=""/>
    <n v="801"/>
    <n v="130"/>
    <n v="115"/>
    <n v="65"/>
    <n v="80.5"/>
    <x v="6"/>
    <x v="1"/>
  </r>
</pivotCacheRecords>
</file>

<file path=xl/pivotTables/_rels/pivotTable1.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2.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3.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4.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5.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6.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7.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pivotTable1.xml><?xml version="1.0" encoding="utf-8"?>
<pivotTableDefinition xmlns="http://schemas.openxmlformats.org/spreadsheetml/2006/main" xmlns:mc="http://schemas.openxmlformats.org/markup-compatibility/2006" xmlns:xr="http://schemas.microsoft.com/office/spreadsheetml/2014/revision" mc:Ignorable="xr" xr:uid="{89BC8DBD-22EB-4E70-89EE-B1743F74F492}" name="Pokémon type" cacheId="0" applyNumberFormats="0" applyBorderFormats="0" applyFontFormats="0" applyPatternFormats="0" applyAlignmentFormats="0" applyWidthHeightFormats="1" dataCaption="Values" updatedVersion="8" minRefreshableVersion="3" useAutoFormatting="1" itemPrintTitles="1" createdVersion="8" indent="0" outline="1" outlineData="1" multipleFieldFilters="0" chartFormat="5">
  <location ref="D2:E21" firstHeaderRow="1" firstDataRow="1" firstDataCol="1"/>
  <pivotFields count="47">
    <pivotField dataField="1" showAll="0">
      <items count="802">
        <item x="459"/>
        <item x="62"/>
        <item x="358"/>
        <item x="616"/>
        <item x="680"/>
        <item x="141"/>
        <item x="305"/>
        <item x="189"/>
        <item x="64"/>
        <item x="593"/>
        <item x="333"/>
        <item x="697"/>
        <item x="423"/>
        <item x="590"/>
        <item x="180"/>
        <item x="346"/>
        <item x="751"/>
        <item x="23"/>
        <item x="58"/>
        <item x="492"/>
        <item x="565"/>
        <item x="566"/>
        <item x="167"/>
        <item x="347"/>
        <item x="682"/>
        <item x="303"/>
        <item x="143"/>
        <item x="530"/>
        <item x="698"/>
        <item x="712"/>
        <item x="609"/>
        <item x="481"/>
        <item x="183"/>
        <item x="297"/>
        <item x="370"/>
        <item x="342"/>
        <item x="353"/>
        <item x="688"/>
        <item x="338"/>
        <item x="549"/>
        <item x="410"/>
        <item x="152"/>
        <item x="613"/>
        <item x="266"/>
        <item x="14"/>
        <item x="605"/>
        <item x="373"/>
        <item x="181"/>
        <item x="68"/>
        <item x="711"/>
        <item x="759"/>
        <item x="399"/>
        <item x="398"/>
        <item x="687"/>
        <item x="624"/>
        <item x="8"/>
        <item x="256"/>
        <item x="241"/>
        <item x="521"/>
        <item x="524"/>
        <item x="437"/>
        <item x="625"/>
        <item x="760"/>
        <item x="653"/>
        <item x="627"/>
        <item x="285"/>
        <item x="728"/>
        <item x="436"/>
        <item x="435"/>
        <item x="778"/>
        <item x="405"/>
        <item x="417"/>
        <item x="0"/>
        <item x="426"/>
        <item x="658"/>
        <item x="411"/>
        <item x="11"/>
        <item x="793"/>
        <item x="330"/>
        <item x="331"/>
        <item x="322"/>
        <item x="702"/>
        <item x="454"/>
        <item x="564"/>
        <item x="317"/>
        <item x="267"/>
        <item x="350"/>
        <item x="9"/>
        <item x="250"/>
        <item x="796"/>
        <item x="608"/>
        <item x="112"/>
        <item x="5"/>
        <item x="736"/>
        <item x="3"/>
        <item x="4"/>
        <item x="440"/>
        <item x="420"/>
        <item x="419"/>
        <item x="651"/>
        <item x="649"/>
        <item x="151"/>
        <item x="389"/>
        <item x="357"/>
        <item x="169"/>
        <item x="432"/>
        <item x="572"/>
        <item x="365"/>
        <item x="691"/>
        <item x="692"/>
        <item x="343"/>
        <item x="35"/>
        <item x="34"/>
        <item x="172"/>
        <item x="90"/>
        <item x="637"/>
        <item x="562"/>
        <item x="414"/>
        <item x="255"/>
        <item x="763"/>
        <item x="533"/>
        <item x="340"/>
        <item x="221"/>
        <item x="789"/>
        <item x="788"/>
        <item x="545"/>
        <item x="739"/>
        <item x="738"/>
        <item x="345"/>
        <item x="407"/>
        <item x="341"/>
        <item x="487"/>
        <item x="452"/>
        <item x="168"/>
        <item x="158"/>
        <item x="557"/>
        <item x="614"/>
        <item x="612"/>
        <item x="103"/>
        <item x="741"/>
        <item x="154"/>
        <item x="490"/>
        <item x="554"/>
        <item x="722"/>
        <item x="553"/>
        <item x="723"/>
        <item x="701"/>
        <item x="584"/>
        <item x="632"/>
        <item x="300"/>
        <item x="224"/>
        <item x="654"/>
        <item x="385"/>
        <item x="86"/>
        <item x="501"/>
        <item x="750"/>
        <item x="780"/>
        <item x="482"/>
        <item x="718"/>
        <item x="659"/>
        <item x="49"/>
        <item x="131"/>
        <item x="84"/>
        <item x="83"/>
        <item x="231"/>
        <item x="679"/>
        <item x="690"/>
        <item x="147"/>
        <item x="148"/>
        <item x="779"/>
        <item x="451"/>
        <item x="146"/>
        <item x="425"/>
        <item x="424"/>
        <item x="528"/>
        <item x="95"/>
        <item x="620"/>
        <item x="579"/>
        <item x="50"/>
        <item x="205"/>
        <item x="577"/>
        <item x="631"/>
        <item x="355"/>
        <item x="476"/>
        <item x="354"/>
        <item x="268"/>
        <item x="556"/>
        <item x="602"/>
        <item x="603"/>
        <item x="132"/>
        <item x="22"/>
        <item x="124"/>
        <item x="465"/>
        <item x="308"/>
        <item x="100"/>
        <item x="238"/>
        <item x="604"/>
        <item x="499"/>
        <item x="586"/>
        <item x="394"/>
        <item x="243"/>
        <item x="588"/>
        <item x="195"/>
        <item x="676"/>
        <item x="529"/>
        <item x="101"/>
        <item x="102"/>
        <item x="294"/>
        <item x="82"/>
        <item x="21"/>
        <item x="348"/>
        <item x="652"/>
        <item x="159"/>
        <item x="596"/>
        <item x="597"/>
        <item x="455"/>
        <item x="179"/>
        <item x="668"/>
        <item x="135"/>
        <item x="661"/>
        <item x="660"/>
        <item x="418"/>
        <item x="669"/>
        <item x="670"/>
        <item x="329"/>
        <item x="752"/>
        <item x="589"/>
        <item x="204"/>
        <item x="610"/>
        <item x="591"/>
        <item x="655"/>
        <item x="656"/>
        <item x="477"/>
        <item x="675"/>
        <item x="161"/>
        <item x="443"/>
        <item x="474"/>
        <item x="595"/>
        <item x="568"/>
        <item x="444"/>
        <item x="281"/>
        <item x="91"/>
        <item x="422"/>
        <item x="648"/>
        <item x="93"/>
        <item x="73"/>
        <item x="442"/>
        <item x="525"/>
        <item x="202"/>
        <item x="486"/>
        <item x="470"/>
        <item x="361"/>
        <item x="430"/>
        <item x="206"/>
        <item x="471"/>
        <item x="43"/>
        <item x="672"/>
        <item x="41"/>
        <item x="117"/>
        <item x="54"/>
        <item x="75"/>
        <item x="621"/>
        <item x="767"/>
        <item x="622"/>
        <item x="705"/>
        <item x="703"/>
        <item x="367"/>
        <item x="573"/>
        <item x="575"/>
        <item x="574"/>
        <item x="710"/>
        <item x="209"/>
        <item x="74"/>
        <item x="657"/>
        <item x="87"/>
        <item x="387"/>
        <item x="382"/>
        <item x="252"/>
        <item x="57"/>
        <item x="735"/>
        <item x="325"/>
        <item x="315"/>
        <item x="734"/>
        <item x="532"/>
        <item x="798"/>
        <item x="129"/>
        <item x="782"/>
        <item x="439"/>
        <item x="296"/>
        <item x="92"/>
        <item x="700"/>
        <item x="611"/>
        <item x="630"/>
        <item x="484"/>
        <item x="694"/>
        <item x="693"/>
        <item x="213"/>
        <item x="506"/>
        <item x="448"/>
        <item x="449"/>
        <item x="106"/>
        <item x="105"/>
        <item x="236"/>
        <item x="429"/>
        <item x="678"/>
        <item x="249"/>
        <item x="719"/>
        <item x="162"/>
        <item x="186"/>
        <item x="115"/>
        <item x="228"/>
        <item x="227"/>
        <item x="366"/>
        <item x="634"/>
        <item x="96"/>
        <item x="173"/>
        <item x="313"/>
        <item x="726"/>
        <item x="391"/>
        <item x="685"/>
        <item x="1"/>
        <item x="781"/>
        <item x="592"/>
        <item x="38"/>
        <item x="384"/>
        <item x="134"/>
        <item x="594"/>
        <item x="188"/>
        <item x="123"/>
        <item x="139"/>
        <item x="140"/>
        <item x="63"/>
        <item x="13"/>
        <item x="114"/>
        <item x="587"/>
        <item x="797"/>
        <item x="351"/>
        <item x="646"/>
        <item x="229"/>
        <item x="98"/>
        <item x="280"/>
        <item x="599"/>
        <item x="706"/>
        <item x="598"/>
        <item x="600"/>
        <item x="108"/>
        <item x="774"/>
        <item x="783"/>
        <item x="97"/>
        <item x="400"/>
        <item x="401"/>
        <item x="551"/>
        <item x="552"/>
        <item x="381"/>
        <item x="645"/>
        <item x="304"/>
        <item x="607"/>
        <item x="644"/>
        <item x="170"/>
        <item x="130"/>
        <item x="635"/>
        <item x="245"/>
        <item x="379"/>
        <item x="380"/>
        <item x="469"/>
        <item x="541"/>
        <item x="165"/>
        <item x="164"/>
        <item x="462"/>
        <item x="107"/>
        <item x="509"/>
        <item x="344"/>
        <item x="548"/>
        <item x="505"/>
        <item x="263"/>
        <item x="666"/>
        <item x="724"/>
        <item x="606"/>
        <item x="270"/>
        <item x="427"/>
        <item x="269"/>
        <item x="293"/>
        <item x="447"/>
        <item x="271"/>
        <item x="248"/>
        <item x="456"/>
        <item x="791"/>
        <item x="336"/>
        <item x="753"/>
        <item x="369"/>
        <item x="403"/>
        <item x="404"/>
        <item x="744"/>
        <item x="67"/>
        <item x="66"/>
        <item x="65"/>
        <item x="239"/>
        <item x="218"/>
        <item x="800"/>
        <item x="128"/>
        <item x="125"/>
        <item x="466"/>
        <item x="80"/>
        <item x="81"/>
        <item x="461"/>
        <item x="295"/>
        <item x="686"/>
        <item x="472"/>
        <item x="489"/>
        <item x="629"/>
        <item x="309"/>
        <item x="55"/>
        <item x="225"/>
        <item x="457"/>
        <item x="555"/>
        <item x="746"/>
        <item x="178"/>
        <item x="182"/>
        <item x="104"/>
        <item x="258"/>
        <item x="283"/>
        <item x="302"/>
        <item x="307"/>
        <item x="306"/>
        <item x="153"/>
        <item x="647"/>
        <item x="677"/>
        <item x="51"/>
        <item x="480"/>
        <item x="375"/>
        <item x="374"/>
        <item x="10"/>
        <item x="150"/>
        <item x="149"/>
        <item x="618"/>
        <item x="619"/>
        <item x="261"/>
        <item x="349"/>
        <item x="240"/>
        <item x="438"/>
        <item x="777"/>
        <item x="571"/>
        <item x="773"/>
        <item x="311"/>
        <item x="199"/>
        <item x="428"/>
        <item x="145"/>
        <item x="390"/>
        <item x="754"/>
        <item x="413"/>
        <item x="121"/>
        <item x="748"/>
        <item x="257"/>
        <item x="749"/>
        <item x="88"/>
        <item x="445"/>
        <item x="516"/>
        <item x="197"/>
        <item x="517"/>
        <item x="176"/>
        <item x="799"/>
        <item x="33"/>
        <item x="30"/>
        <item x="28"/>
        <item x="31"/>
        <item x="29"/>
        <item x="32"/>
        <item x="792"/>
        <item x="289"/>
        <item x="37"/>
        <item x="290"/>
        <item x="163"/>
        <item x="713"/>
        <item x="714"/>
        <item x="298"/>
        <item x="321"/>
        <item x="273"/>
        <item x="223"/>
        <item x="42"/>
        <item x="137"/>
        <item x="138"/>
        <item x="94"/>
        <item x="764"/>
        <item x="740"/>
        <item x="500"/>
        <item x="416"/>
        <item x="483"/>
        <item x="769"/>
        <item x="535"/>
        <item x="673"/>
        <item x="674"/>
        <item x="514"/>
        <item x="510"/>
        <item x="512"/>
        <item x="45"/>
        <item x="46"/>
        <item x="765"/>
        <item x="503"/>
        <item x="623"/>
        <item x="278"/>
        <item x="52"/>
        <item x="547"/>
        <item x="230"/>
        <item x="707"/>
        <item x="794"/>
        <item x="488"/>
        <item x="171"/>
        <item x="17"/>
        <item x="16"/>
        <item x="15"/>
        <item x="518"/>
        <item x="498"/>
        <item x="24"/>
        <item x="730"/>
        <item x="220"/>
        <item x="203"/>
        <item x="126"/>
        <item x="392"/>
        <item x="310"/>
        <item x="185"/>
        <item x="59"/>
        <item x="60"/>
        <item x="61"/>
        <item x="76"/>
        <item x="260"/>
        <item x="727"/>
        <item x="136"/>
        <item x="232"/>
        <item x="473"/>
        <item x="729"/>
        <item x="56"/>
        <item x="393"/>
        <item x="475"/>
        <item x="53"/>
        <item x="709"/>
        <item x="246"/>
        <item x="508"/>
        <item x="431"/>
        <item x="667"/>
        <item x="770"/>
        <item x="194"/>
        <item x="155"/>
        <item x="650"/>
        <item x="210"/>
        <item x="25"/>
        <item x="242"/>
        <item x="279"/>
        <item x="408"/>
        <item x="77"/>
        <item x="19"/>
        <item x="18"/>
        <item x="383"/>
        <item x="377"/>
        <item x="485"/>
        <item x="376"/>
        <item x="378"/>
        <item x="368"/>
        <item x="222"/>
        <item x="642"/>
        <item x="578"/>
        <item x="111"/>
        <item x="110"/>
        <item x="463"/>
        <item x="742"/>
        <item x="446"/>
        <item x="743"/>
        <item x="523"/>
        <item x="314"/>
        <item x="406"/>
        <item x="478"/>
        <item x="721"/>
        <item x="626"/>
        <item x="301"/>
        <item x="372"/>
        <item x="756"/>
        <item x="757"/>
        <item x="502"/>
        <item x="550"/>
        <item x="26"/>
        <item x="27"/>
        <item x="768"/>
        <item x="538"/>
        <item x="585"/>
        <item x="663"/>
        <item x="253"/>
        <item x="211"/>
        <item x="544"/>
        <item x="559"/>
        <item x="558"/>
        <item x="122"/>
        <item x="116"/>
        <item x="118"/>
        <item x="363"/>
        <item x="272"/>
        <item x="85"/>
        <item x="536"/>
        <item x="160"/>
        <item x="496"/>
        <item x="495"/>
        <item x="335"/>
        <item x="539"/>
        <item x="318"/>
        <item x="491"/>
        <item x="291"/>
        <item x="371"/>
        <item x="89"/>
        <item x="421"/>
        <item x="615"/>
        <item x="409"/>
        <item x="274"/>
        <item x="755"/>
        <item x="402"/>
        <item x="284"/>
        <item x="212"/>
        <item x="352"/>
        <item x="560"/>
        <item x="265"/>
        <item x="772"/>
        <item x="515"/>
        <item x="511"/>
        <item x="513"/>
        <item x="226"/>
        <item x="671"/>
        <item x="187"/>
        <item x="299"/>
        <item x="450"/>
        <item x="689"/>
        <item x="434"/>
        <item x="288"/>
        <item x="286"/>
        <item x="704"/>
        <item x="79"/>
        <item x="198"/>
        <item x="78"/>
        <item x="217"/>
        <item x="684"/>
        <item x="234"/>
        <item x="237"/>
        <item x="214"/>
        <item x="494"/>
        <item x="142"/>
        <item x="360"/>
        <item x="458"/>
        <item x="208"/>
        <item x="790"/>
        <item x="576"/>
        <item x="337"/>
        <item x="20"/>
        <item x="664"/>
        <item x="362"/>
        <item x="166"/>
        <item x="326"/>
        <item x="441"/>
        <item x="324"/>
        <item x="681"/>
        <item x="6"/>
        <item x="233"/>
        <item x="397"/>
        <item x="396"/>
        <item x="395"/>
        <item x="120"/>
        <item x="119"/>
        <item x="207"/>
        <item x="761"/>
        <item x="507"/>
        <item x="758"/>
        <item x="617"/>
        <item x="433"/>
        <item x="184"/>
        <item x="244"/>
        <item x="191"/>
        <item x="190"/>
        <item x="282"/>
        <item x="332"/>
        <item x="540"/>
        <item x="316"/>
        <item x="259"/>
        <item x="580"/>
        <item x="276"/>
        <item x="219"/>
        <item x="683"/>
        <item x="527"/>
        <item x="699"/>
        <item x="275"/>
        <item x="662"/>
        <item x="113"/>
        <item x="464"/>
        <item x="786"/>
        <item x="787"/>
        <item x="784"/>
        <item x="785"/>
        <item x="127"/>
        <item x="215"/>
        <item x="71"/>
        <item x="72"/>
        <item x="497"/>
        <item x="638"/>
        <item x="537"/>
        <item x="641"/>
        <item x="531"/>
        <item x="563"/>
        <item x="776"/>
        <item x="467"/>
        <item x="174"/>
        <item x="175"/>
        <item x="254"/>
        <item x="323"/>
        <item x="640"/>
        <item x="725"/>
        <item x="388"/>
        <item x="157"/>
        <item x="732"/>
        <item x="747"/>
        <item x="453"/>
        <item x="519"/>
        <item x="327"/>
        <item x="251"/>
        <item x="708"/>
        <item x="356"/>
        <item x="567"/>
        <item x="731"/>
        <item x="762"/>
        <item x="775"/>
        <item x="386"/>
        <item x="534"/>
        <item x="601"/>
        <item x="771"/>
        <item x="156"/>
        <item x="247"/>
        <item x="696"/>
        <item x="235"/>
        <item x="695"/>
        <item x="196"/>
        <item x="520"/>
        <item x="200"/>
        <item x="216"/>
        <item x="479"/>
        <item x="582"/>
        <item x="581"/>
        <item x="583"/>
        <item x="133"/>
        <item x="542"/>
        <item x="48"/>
        <item x="47"/>
        <item x="2"/>
        <item x="415"/>
        <item x="328"/>
        <item x="493"/>
        <item x="70"/>
        <item x="287"/>
        <item x="737"/>
        <item x="44"/>
        <item x="639"/>
        <item x="665"/>
        <item x="312"/>
        <item x="720"/>
        <item x="636"/>
        <item x="99"/>
        <item x="628"/>
        <item x="36"/>
        <item x="319"/>
        <item x="320"/>
        <item x="364"/>
        <item x="7"/>
        <item x="504"/>
        <item x="460"/>
        <item x="12"/>
        <item x="69"/>
        <item x="109"/>
        <item x="546"/>
        <item x="543"/>
        <item x="339"/>
        <item x="292"/>
        <item x="39"/>
        <item x="766"/>
        <item x="277"/>
        <item x="745"/>
        <item x="201"/>
        <item x="526"/>
        <item x="193"/>
        <item x="412"/>
        <item x="264"/>
        <item x="359"/>
        <item x="177"/>
        <item x="715"/>
        <item x="795"/>
        <item x="561"/>
        <item x="192"/>
        <item x="468"/>
        <item x="733"/>
        <item x="716"/>
        <item x="334"/>
        <item x="144"/>
        <item x="522"/>
        <item x="643"/>
        <item x="262"/>
        <item x="570"/>
        <item x="569"/>
        <item x="40"/>
        <item x="633"/>
        <item x="717"/>
        <item t="default"/>
      </items>
    </pivotField>
    <pivotField showAll="0"/>
    <pivotField axis="axisRow" showAll="0">
      <items count="19">
        <item x="3"/>
        <item x="15"/>
        <item x="14"/>
        <item x="6"/>
        <item x="8"/>
        <item x="9"/>
        <item x="1"/>
        <item x="17"/>
        <item x="12"/>
        <item x="0"/>
        <item x="7"/>
        <item x="13"/>
        <item x="4"/>
        <item x="5"/>
        <item x="10"/>
        <item x="11"/>
        <item x="16"/>
        <item x="2"/>
        <item t="default"/>
      </items>
    </pivotField>
    <pivotField showAll="0"/>
    <pivotField showAll="0"/>
    <pivotField showAll="0"/>
    <pivotField showAll="0"/>
    <pivotField showAll="0"/>
    <pivotField showAll="0"/>
    <pivotField showAll="0"/>
    <pivotField showAll="0"/>
    <pivotField numFmtId="2" showAll="0"/>
    <pivotField numFmtId="2" showAll="0"/>
    <pivotField numFmtId="2" showAll="0"/>
    <pivotField numFmtId="2" showAll="0"/>
    <pivotField numFmtId="2" showAll="0"/>
    <pivotField numFmtId="2" showAll="0"/>
    <pivotField numFmtId="2" showAll="0"/>
    <pivotField numFmtId="2" showAll="0"/>
    <pivotField numFmtId="2" showAll="0"/>
    <pivotField numFmtId="2" showAll="0"/>
    <pivotField numFmtId="2" showAll="0"/>
    <pivotField numFmtId="2" showAll="0"/>
    <pivotField numFmtId="2" showAll="0"/>
    <pivotField numFmtId="2" showAll="0"/>
    <pivotField numFmtId="2" showAll="0"/>
    <pivotField numFmtId="2" showAll="0"/>
    <pivotField numFmtId="2" showAll="0"/>
    <pivotField numFmtId="2" showAll="0"/>
    <pivotField numFmtId="2" showAll="0"/>
    <pivotField numFmtId="2" showAll="0"/>
    <pivotField numFmtId="2" showAll="0"/>
    <pivotField numFmtId="2" showAll="0"/>
    <pivotField showAll="0"/>
    <pivotField numFmtId="2" showAll="0"/>
    <pivotField showAll="0"/>
    <pivotField showAll="0"/>
    <pivotField showAll="0"/>
    <pivotField showAll="0"/>
    <pivotField showAll="0"/>
    <pivotField numFmtId="1" showAll="0"/>
    <pivotField numFmtId="1" showAll="0"/>
    <pivotField numFmtId="1" showAll="0"/>
    <pivotField numFmtId="1" showAll="0"/>
    <pivotField showAll="0"/>
    <pivotField numFmtId="1" showAll="0">
      <items count="8">
        <item x="0"/>
        <item x="1"/>
        <item x="2"/>
        <item x="3"/>
        <item x="4"/>
        <item x="5"/>
        <item x="6"/>
        <item t="default"/>
      </items>
    </pivotField>
    <pivotField showAll="0">
      <items count="3">
        <item x="0"/>
        <item x="1"/>
        <item t="default"/>
      </items>
    </pivotField>
  </pivotFields>
  <rowFields count="1">
    <field x="2"/>
  </rowFields>
  <rowItems count="19">
    <i>
      <x/>
    </i>
    <i>
      <x v="1"/>
    </i>
    <i>
      <x v="2"/>
    </i>
    <i>
      <x v="3"/>
    </i>
    <i>
      <x v="4"/>
    </i>
    <i>
      <x v="5"/>
    </i>
    <i>
      <x v="6"/>
    </i>
    <i>
      <x v="7"/>
    </i>
    <i>
      <x v="8"/>
    </i>
    <i>
      <x v="9"/>
    </i>
    <i>
      <x v="10"/>
    </i>
    <i>
      <x v="11"/>
    </i>
    <i>
      <x v="12"/>
    </i>
    <i>
      <x v="13"/>
    </i>
    <i>
      <x v="14"/>
    </i>
    <i>
      <x v="15"/>
    </i>
    <i>
      <x v="16"/>
    </i>
    <i>
      <x v="17"/>
    </i>
    <i t="grand">
      <x/>
    </i>
  </rowItems>
  <colItems count="1">
    <i/>
  </colItems>
  <dataFields count="1">
    <dataField name="Count of name" fld="0" subtotal="count" baseField="0" baseItem="0"/>
  </dataFields>
  <chartFormats count="1">
    <chartFormat chart="4" format="2" series="1">
      <pivotArea type="data" outline="0" fieldPosition="0">
        <references count="1">
          <reference field="4294967294" count="1" selected="0">
            <x v="0"/>
          </reference>
        </references>
      </pivotArea>
    </chartFormat>
  </chartFormat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2.xml><?xml version="1.0" encoding="utf-8"?>
<pivotTableDefinition xmlns="http://schemas.openxmlformats.org/spreadsheetml/2006/main" xmlns:mc="http://schemas.openxmlformats.org/markup-compatibility/2006" xmlns:xr="http://schemas.microsoft.com/office/spreadsheetml/2014/revision" mc:Ignorable="xr" xr:uid="{7072E7C8-8742-4A45-8ACF-0E00E7AA4B69}" name="Legendary_vs_Non-legendary" cacheId="0" applyNumberFormats="0" applyBorderFormats="0" applyFontFormats="0" applyPatternFormats="0" applyAlignmentFormats="0" applyWidthHeightFormats="1" dataCaption="Values" updatedVersion="8" minRefreshableVersion="3" useAutoFormatting="1" itemPrintTitles="1" createdVersion="8" indent="0" outline="1" outlineData="1" multipleFieldFilters="0" chartFormat="5">
  <location ref="A16:B19" firstHeaderRow="1" firstDataRow="1" firstDataCol="1"/>
  <pivotFields count="47">
    <pivotField dataField="1" showAll="0"/>
    <pivotField showAll="0"/>
    <pivotField showAll="0"/>
    <pivotField showAll="0"/>
    <pivotField showAll="0"/>
    <pivotField showAll="0"/>
    <pivotField showAll="0"/>
    <pivotField showAll="0"/>
    <pivotField showAll="0"/>
    <pivotField showAll="0"/>
    <pivotField showAll="0"/>
    <pivotField numFmtId="2" showAll="0"/>
    <pivotField numFmtId="2" showAll="0"/>
    <pivotField numFmtId="2" showAll="0"/>
    <pivotField numFmtId="2" showAll="0"/>
    <pivotField numFmtId="2" showAll="0"/>
    <pivotField numFmtId="2" showAll="0"/>
    <pivotField numFmtId="2" showAll="0"/>
    <pivotField numFmtId="2" showAll="0"/>
    <pivotField numFmtId="2" showAll="0"/>
    <pivotField numFmtId="2" showAll="0"/>
    <pivotField numFmtId="2" showAll="0"/>
    <pivotField numFmtId="2" showAll="0"/>
    <pivotField numFmtId="2" showAll="0"/>
    <pivotField numFmtId="2" showAll="0"/>
    <pivotField numFmtId="2" showAll="0"/>
    <pivotField numFmtId="2" showAll="0"/>
    <pivotField numFmtId="2" showAll="0"/>
    <pivotField numFmtId="2" showAll="0"/>
    <pivotField numFmtId="2" showAll="0"/>
    <pivotField numFmtId="2" showAll="0"/>
    <pivotField numFmtId="2" showAll="0"/>
    <pivotField numFmtId="2" showAll="0"/>
    <pivotField showAll="0"/>
    <pivotField numFmtId="2" showAll="0"/>
    <pivotField showAll="0"/>
    <pivotField showAll="0"/>
    <pivotField showAll="0"/>
    <pivotField showAll="0"/>
    <pivotField showAll="0"/>
    <pivotField numFmtId="1" showAll="0"/>
    <pivotField numFmtId="1" showAll="0"/>
    <pivotField numFmtId="1" showAll="0"/>
    <pivotField numFmtId="1" showAll="0"/>
    <pivotField showAll="0"/>
    <pivotField numFmtId="1" showAll="0">
      <items count="8">
        <item x="0"/>
        <item x="1"/>
        <item x="2"/>
        <item x="3"/>
        <item x="4"/>
        <item x="5"/>
        <item x="6"/>
        <item t="default"/>
      </items>
    </pivotField>
    <pivotField axis="axisRow" showAll="0">
      <items count="3">
        <item x="0"/>
        <item x="1"/>
        <item t="default"/>
      </items>
    </pivotField>
  </pivotFields>
  <rowFields count="1">
    <field x="46"/>
  </rowFields>
  <rowItems count="3">
    <i>
      <x/>
    </i>
    <i>
      <x v="1"/>
    </i>
    <i t="grand">
      <x/>
    </i>
  </rowItems>
  <colItems count="1">
    <i/>
  </colItems>
  <dataFields count="1">
    <dataField name="Count of name" fld="0" subtotal="count" baseField="0" baseItem="0"/>
  </dataFields>
  <chartFormats count="3">
    <chartFormat chart="4" format="6" series="1">
      <pivotArea type="data" outline="0" fieldPosition="0">
        <references count="1">
          <reference field="4294967294" count="1" selected="0">
            <x v="0"/>
          </reference>
        </references>
      </pivotArea>
    </chartFormat>
    <chartFormat chart="4" format="7">
      <pivotArea type="data" outline="0" fieldPosition="0">
        <references count="2">
          <reference field="4294967294" count="1" selected="0">
            <x v="0"/>
          </reference>
          <reference field="46" count="1" selected="0">
            <x v="0"/>
          </reference>
        </references>
      </pivotArea>
    </chartFormat>
    <chartFormat chart="4" format="8">
      <pivotArea type="data" outline="0" fieldPosition="0">
        <references count="2">
          <reference field="4294967294" count="1" selected="0">
            <x v="0"/>
          </reference>
          <reference field="46" count="1" selected="0">
            <x v="1"/>
          </reference>
        </references>
      </pivotArea>
    </chartFormat>
  </chartFormat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3.xml><?xml version="1.0" encoding="utf-8"?>
<pivotTableDefinition xmlns="http://schemas.openxmlformats.org/spreadsheetml/2006/main" xmlns:mc="http://schemas.openxmlformats.org/markup-compatibility/2006" xmlns:xr="http://schemas.microsoft.com/office/spreadsheetml/2014/revision" mc:Ignorable="xr" xr:uid="{80E919A2-75A4-4B20-A516-D1D3D742CFFB}" name="PokemonGeneration" cacheId="0" applyNumberFormats="0" applyBorderFormats="0" applyFontFormats="0" applyPatternFormats="0" applyAlignmentFormats="0" applyWidthHeightFormats="1" dataCaption="Values" updatedVersion="8" minRefreshableVersion="3" useAutoFormatting="1" itemPrintTitles="1" createdVersion="8" indent="0" outline="1" outlineData="1" multipleFieldFilters="0" chartFormat="18">
  <location ref="A2:B10" firstHeaderRow="1" firstDataRow="1" firstDataCol="1"/>
  <pivotFields count="47">
    <pivotField dataField="1" showAll="0">
      <items count="802">
        <item x="459"/>
        <item x="62"/>
        <item x="358"/>
        <item x="616"/>
        <item x="680"/>
        <item x="141"/>
        <item x="305"/>
        <item x="189"/>
        <item x="64"/>
        <item x="593"/>
        <item x="333"/>
        <item x="697"/>
        <item x="423"/>
        <item x="590"/>
        <item x="180"/>
        <item x="346"/>
        <item x="751"/>
        <item x="23"/>
        <item x="58"/>
        <item x="492"/>
        <item x="565"/>
        <item x="566"/>
        <item x="167"/>
        <item x="347"/>
        <item x="682"/>
        <item x="303"/>
        <item x="143"/>
        <item x="530"/>
        <item x="698"/>
        <item x="712"/>
        <item x="609"/>
        <item x="481"/>
        <item x="183"/>
        <item x="297"/>
        <item x="370"/>
        <item x="342"/>
        <item x="353"/>
        <item x="688"/>
        <item x="338"/>
        <item x="549"/>
        <item x="410"/>
        <item x="152"/>
        <item x="613"/>
        <item x="266"/>
        <item x="14"/>
        <item x="605"/>
        <item x="373"/>
        <item x="181"/>
        <item x="68"/>
        <item x="711"/>
        <item x="759"/>
        <item x="399"/>
        <item x="398"/>
        <item x="687"/>
        <item x="624"/>
        <item x="8"/>
        <item x="256"/>
        <item x="241"/>
        <item x="521"/>
        <item x="524"/>
        <item x="437"/>
        <item x="625"/>
        <item x="760"/>
        <item x="653"/>
        <item x="627"/>
        <item x="285"/>
        <item x="728"/>
        <item x="436"/>
        <item x="435"/>
        <item x="778"/>
        <item x="405"/>
        <item x="417"/>
        <item x="0"/>
        <item x="426"/>
        <item x="658"/>
        <item x="411"/>
        <item x="11"/>
        <item x="793"/>
        <item x="330"/>
        <item x="331"/>
        <item x="322"/>
        <item x="702"/>
        <item x="454"/>
        <item x="564"/>
        <item x="317"/>
        <item x="267"/>
        <item x="350"/>
        <item x="9"/>
        <item x="250"/>
        <item x="796"/>
        <item x="608"/>
        <item x="112"/>
        <item x="5"/>
        <item x="736"/>
        <item x="3"/>
        <item x="4"/>
        <item x="440"/>
        <item x="420"/>
        <item x="419"/>
        <item x="651"/>
        <item x="649"/>
        <item x="151"/>
        <item x="389"/>
        <item x="357"/>
        <item x="169"/>
        <item x="432"/>
        <item x="572"/>
        <item x="365"/>
        <item x="691"/>
        <item x="692"/>
        <item x="343"/>
        <item x="35"/>
        <item x="34"/>
        <item x="172"/>
        <item x="90"/>
        <item x="637"/>
        <item x="562"/>
        <item x="414"/>
        <item x="255"/>
        <item x="763"/>
        <item x="533"/>
        <item x="340"/>
        <item x="221"/>
        <item x="789"/>
        <item x="788"/>
        <item x="545"/>
        <item x="739"/>
        <item x="738"/>
        <item x="345"/>
        <item x="407"/>
        <item x="341"/>
        <item x="487"/>
        <item x="452"/>
        <item x="168"/>
        <item x="158"/>
        <item x="557"/>
        <item x="614"/>
        <item x="612"/>
        <item x="103"/>
        <item x="741"/>
        <item x="154"/>
        <item x="490"/>
        <item x="554"/>
        <item x="722"/>
        <item x="553"/>
        <item x="723"/>
        <item x="701"/>
        <item x="584"/>
        <item x="632"/>
        <item x="300"/>
        <item x="224"/>
        <item x="654"/>
        <item x="385"/>
        <item x="86"/>
        <item x="501"/>
        <item x="750"/>
        <item x="780"/>
        <item x="482"/>
        <item x="718"/>
        <item x="659"/>
        <item x="49"/>
        <item x="131"/>
        <item x="84"/>
        <item x="83"/>
        <item x="231"/>
        <item x="679"/>
        <item x="690"/>
        <item x="147"/>
        <item x="148"/>
        <item x="779"/>
        <item x="451"/>
        <item x="146"/>
        <item x="425"/>
        <item x="424"/>
        <item x="528"/>
        <item x="95"/>
        <item x="620"/>
        <item x="579"/>
        <item x="50"/>
        <item x="205"/>
        <item x="577"/>
        <item x="631"/>
        <item x="355"/>
        <item x="476"/>
        <item x="354"/>
        <item x="268"/>
        <item x="556"/>
        <item x="602"/>
        <item x="603"/>
        <item x="132"/>
        <item x="22"/>
        <item x="124"/>
        <item x="465"/>
        <item x="308"/>
        <item x="100"/>
        <item x="238"/>
        <item x="604"/>
        <item x="499"/>
        <item x="586"/>
        <item x="394"/>
        <item x="243"/>
        <item x="588"/>
        <item x="195"/>
        <item x="676"/>
        <item x="529"/>
        <item x="101"/>
        <item x="102"/>
        <item x="294"/>
        <item x="82"/>
        <item x="21"/>
        <item x="348"/>
        <item x="652"/>
        <item x="159"/>
        <item x="596"/>
        <item x="597"/>
        <item x="455"/>
        <item x="179"/>
        <item x="668"/>
        <item x="135"/>
        <item x="661"/>
        <item x="660"/>
        <item x="418"/>
        <item x="669"/>
        <item x="670"/>
        <item x="329"/>
        <item x="752"/>
        <item x="589"/>
        <item x="204"/>
        <item x="610"/>
        <item x="591"/>
        <item x="655"/>
        <item x="656"/>
        <item x="477"/>
        <item x="675"/>
        <item x="161"/>
        <item x="443"/>
        <item x="474"/>
        <item x="595"/>
        <item x="568"/>
        <item x="444"/>
        <item x="281"/>
        <item x="91"/>
        <item x="422"/>
        <item x="648"/>
        <item x="93"/>
        <item x="73"/>
        <item x="442"/>
        <item x="525"/>
        <item x="202"/>
        <item x="486"/>
        <item x="470"/>
        <item x="361"/>
        <item x="430"/>
        <item x="206"/>
        <item x="471"/>
        <item x="43"/>
        <item x="672"/>
        <item x="41"/>
        <item x="117"/>
        <item x="54"/>
        <item x="75"/>
        <item x="621"/>
        <item x="767"/>
        <item x="622"/>
        <item x="705"/>
        <item x="703"/>
        <item x="367"/>
        <item x="573"/>
        <item x="575"/>
        <item x="574"/>
        <item x="710"/>
        <item x="209"/>
        <item x="74"/>
        <item x="657"/>
        <item x="87"/>
        <item x="387"/>
        <item x="382"/>
        <item x="252"/>
        <item x="57"/>
        <item x="735"/>
        <item x="325"/>
        <item x="315"/>
        <item x="734"/>
        <item x="532"/>
        <item x="798"/>
        <item x="129"/>
        <item x="782"/>
        <item x="439"/>
        <item x="296"/>
        <item x="92"/>
        <item x="700"/>
        <item x="611"/>
        <item x="630"/>
        <item x="484"/>
        <item x="694"/>
        <item x="693"/>
        <item x="213"/>
        <item x="506"/>
        <item x="448"/>
        <item x="449"/>
        <item x="106"/>
        <item x="105"/>
        <item x="236"/>
        <item x="429"/>
        <item x="678"/>
        <item x="249"/>
        <item x="719"/>
        <item x="162"/>
        <item x="186"/>
        <item x="115"/>
        <item x="228"/>
        <item x="227"/>
        <item x="366"/>
        <item x="634"/>
        <item x="96"/>
        <item x="173"/>
        <item x="313"/>
        <item x="726"/>
        <item x="391"/>
        <item x="685"/>
        <item x="1"/>
        <item x="781"/>
        <item x="592"/>
        <item x="38"/>
        <item x="384"/>
        <item x="134"/>
        <item x="594"/>
        <item x="188"/>
        <item x="123"/>
        <item x="139"/>
        <item x="140"/>
        <item x="63"/>
        <item x="13"/>
        <item x="114"/>
        <item x="587"/>
        <item x="797"/>
        <item x="351"/>
        <item x="646"/>
        <item x="229"/>
        <item x="98"/>
        <item x="280"/>
        <item x="599"/>
        <item x="706"/>
        <item x="598"/>
        <item x="600"/>
        <item x="108"/>
        <item x="774"/>
        <item x="783"/>
        <item x="97"/>
        <item x="400"/>
        <item x="401"/>
        <item x="551"/>
        <item x="552"/>
        <item x="381"/>
        <item x="645"/>
        <item x="304"/>
        <item x="607"/>
        <item x="644"/>
        <item x="170"/>
        <item x="130"/>
        <item x="635"/>
        <item x="245"/>
        <item x="379"/>
        <item x="380"/>
        <item x="469"/>
        <item x="541"/>
        <item x="165"/>
        <item x="164"/>
        <item x="462"/>
        <item x="107"/>
        <item x="509"/>
        <item x="344"/>
        <item x="548"/>
        <item x="505"/>
        <item x="263"/>
        <item x="666"/>
        <item x="724"/>
        <item x="606"/>
        <item x="270"/>
        <item x="427"/>
        <item x="269"/>
        <item x="293"/>
        <item x="447"/>
        <item x="271"/>
        <item x="248"/>
        <item x="456"/>
        <item x="791"/>
        <item x="336"/>
        <item x="753"/>
        <item x="369"/>
        <item x="403"/>
        <item x="404"/>
        <item x="744"/>
        <item x="67"/>
        <item x="66"/>
        <item x="65"/>
        <item x="239"/>
        <item x="218"/>
        <item x="800"/>
        <item x="128"/>
        <item x="125"/>
        <item x="466"/>
        <item x="80"/>
        <item x="81"/>
        <item x="461"/>
        <item x="295"/>
        <item x="686"/>
        <item x="472"/>
        <item x="489"/>
        <item x="629"/>
        <item x="309"/>
        <item x="55"/>
        <item x="225"/>
        <item x="457"/>
        <item x="555"/>
        <item x="746"/>
        <item x="178"/>
        <item x="182"/>
        <item x="104"/>
        <item x="258"/>
        <item x="283"/>
        <item x="302"/>
        <item x="307"/>
        <item x="306"/>
        <item x="153"/>
        <item x="647"/>
        <item x="677"/>
        <item x="51"/>
        <item x="480"/>
        <item x="375"/>
        <item x="374"/>
        <item x="10"/>
        <item x="150"/>
        <item x="149"/>
        <item x="618"/>
        <item x="619"/>
        <item x="261"/>
        <item x="349"/>
        <item x="240"/>
        <item x="438"/>
        <item x="777"/>
        <item x="571"/>
        <item x="773"/>
        <item x="311"/>
        <item x="199"/>
        <item x="428"/>
        <item x="145"/>
        <item x="390"/>
        <item x="754"/>
        <item x="413"/>
        <item x="121"/>
        <item x="748"/>
        <item x="257"/>
        <item x="749"/>
        <item x="88"/>
        <item x="445"/>
        <item x="516"/>
        <item x="197"/>
        <item x="517"/>
        <item x="176"/>
        <item x="799"/>
        <item x="33"/>
        <item x="30"/>
        <item x="28"/>
        <item x="31"/>
        <item x="29"/>
        <item x="32"/>
        <item x="792"/>
        <item x="289"/>
        <item x="37"/>
        <item x="290"/>
        <item x="163"/>
        <item x="713"/>
        <item x="714"/>
        <item x="298"/>
        <item x="321"/>
        <item x="273"/>
        <item x="223"/>
        <item x="42"/>
        <item x="137"/>
        <item x="138"/>
        <item x="94"/>
        <item x="764"/>
        <item x="740"/>
        <item x="500"/>
        <item x="416"/>
        <item x="483"/>
        <item x="769"/>
        <item x="535"/>
        <item x="673"/>
        <item x="674"/>
        <item x="514"/>
        <item x="510"/>
        <item x="512"/>
        <item x="45"/>
        <item x="46"/>
        <item x="765"/>
        <item x="503"/>
        <item x="623"/>
        <item x="278"/>
        <item x="52"/>
        <item x="547"/>
        <item x="230"/>
        <item x="707"/>
        <item x="794"/>
        <item x="488"/>
        <item x="171"/>
        <item x="17"/>
        <item x="16"/>
        <item x="15"/>
        <item x="518"/>
        <item x="498"/>
        <item x="24"/>
        <item x="730"/>
        <item x="220"/>
        <item x="203"/>
        <item x="126"/>
        <item x="392"/>
        <item x="310"/>
        <item x="185"/>
        <item x="59"/>
        <item x="60"/>
        <item x="61"/>
        <item x="76"/>
        <item x="260"/>
        <item x="727"/>
        <item x="136"/>
        <item x="232"/>
        <item x="473"/>
        <item x="729"/>
        <item x="56"/>
        <item x="393"/>
        <item x="475"/>
        <item x="53"/>
        <item x="709"/>
        <item x="246"/>
        <item x="508"/>
        <item x="431"/>
        <item x="667"/>
        <item x="770"/>
        <item x="194"/>
        <item x="155"/>
        <item x="650"/>
        <item x="210"/>
        <item x="25"/>
        <item x="242"/>
        <item x="279"/>
        <item x="408"/>
        <item x="77"/>
        <item x="19"/>
        <item x="18"/>
        <item x="383"/>
        <item x="377"/>
        <item x="485"/>
        <item x="376"/>
        <item x="378"/>
        <item x="368"/>
        <item x="222"/>
        <item x="642"/>
        <item x="578"/>
        <item x="111"/>
        <item x="110"/>
        <item x="463"/>
        <item x="742"/>
        <item x="446"/>
        <item x="743"/>
        <item x="523"/>
        <item x="314"/>
        <item x="406"/>
        <item x="478"/>
        <item x="721"/>
        <item x="626"/>
        <item x="301"/>
        <item x="372"/>
        <item x="756"/>
        <item x="757"/>
        <item x="502"/>
        <item x="550"/>
        <item x="26"/>
        <item x="27"/>
        <item x="768"/>
        <item x="538"/>
        <item x="585"/>
        <item x="663"/>
        <item x="253"/>
        <item x="211"/>
        <item x="544"/>
        <item x="559"/>
        <item x="558"/>
        <item x="122"/>
        <item x="116"/>
        <item x="118"/>
        <item x="363"/>
        <item x="272"/>
        <item x="85"/>
        <item x="536"/>
        <item x="160"/>
        <item x="496"/>
        <item x="495"/>
        <item x="335"/>
        <item x="539"/>
        <item x="318"/>
        <item x="491"/>
        <item x="291"/>
        <item x="371"/>
        <item x="89"/>
        <item x="421"/>
        <item x="615"/>
        <item x="409"/>
        <item x="274"/>
        <item x="755"/>
        <item x="402"/>
        <item x="284"/>
        <item x="212"/>
        <item x="352"/>
        <item x="560"/>
        <item x="265"/>
        <item x="772"/>
        <item x="515"/>
        <item x="511"/>
        <item x="513"/>
        <item x="226"/>
        <item x="671"/>
        <item x="187"/>
        <item x="299"/>
        <item x="450"/>
        <item x="689"/>
        <item x="434"/>
        <item x="288"/>
        <item x="286"/>
        <item x="704"/>
        <item x="79"/>
        <item x="198"/>
        <item x="78"/>
        <item x="217"/>
        <item x="684"/>
        <item x="234"/>
        <item x="237"/>
        <item x="214"/>
        <item x="494"/>
        <item x="142"/>
        <item x="360"/>
        <item x="458"/>
        <item x="208"/>
        <item x="790"/>
        <item x="576"/>
        <item x="337"/>
        <item x="20"/>
        <item x="664"/>
        <item x="362"/>
        <item x="166"/>
        <item x="326"/>
        <item x="441"/>
        <item x="324"/>
        <item x="681"/>
        <item x="6"/>
        <item x="233"/>
        <item x="397"/>
        <item x="396"/>
        <item x="395"/>
        <item x="120"/>
        <item x="119"/>
        <item x="207"/>
        <item x="761"/>
        <item x="507"/>
        <item x="758"/>
        <item x="617"/>
        <item x="433"/>
        <item x="184"/>
        <item x="244"/>
        <item x="191"/>
        <item x="190"/>
        <item x="282"/>
        <item x="332"/>
        <item x="540"/>
        <item x="316"/>
        <item x="259"/>
        <item x="580"/>
        <item x="276"/>
        <item x="219"/>
        <item x="683"/>
        <item x="527"/>
        <item x="699"/>
        <item x="275"/>
        <item x="662"/>
        <item x="113"/>
        <item x="464"/>
        <item x="786"/>
        <item x="787"/>
        <item x="784"/>
        <item x="785"/>
        <item x="127"/>
        <item x="215"/>
        <item x="71"/>
        <item x="72"/>
        <item x="497"/>
        <item x="638"/>
        <item x="537"/>
        <item x="641"/>
        <item x="531"/>
        <item x="563"/>
        <item x="776"/>
        <item x="467"/>
        <item x="174"/>
        <item x="175"/>
        <item x="254"/>
        <item x="323"/>
        <item x="640"/>
        <item x="725"/>
        <item x="388"/>
        <item x="157"/>
        <item x="732"/>
        <item x="747"/>
        <item x="453"/>
        <item x="519"/>
        <item x="327"/>
        <item x="251"/>
        <item x="708"/>
        <item x="356"/>
        <item x="567"/>
        <item x="731"/>
        <item x="762"/>
        <item x="775"/>
        <item x="386"/>
        <item x="534"/>
        <item x="601"/>
        <item x="771"/>
        <item x="156"/>
        <item x="247"/>
        <item x="696"/>
        <item x="235"/>
        <item x="695"/>
        <item x="196"/>
        <item x="520"/>
        <item x="200"/>
        <item x="216"/>
        <item x="479"/>
        <item x="582"/>
        <item x="581"/>
        <item x="583"/>
        <item x="133"/>
        <item x="542"/>
        <item x="48"/>
        <item x="47"/>
        <item x="2"/>
        <item x="415"/>
        <item x="328"/>
        <item x="493"/>
        <item x="70"/>
        <item x="287"/>
        <item x="737"/>
        <item x="44"/>
        <item x="639"/>
        <item x="665"/>
        <item x="312"/>
        <item x="720"/>
        <item x="636"/>
        <item x="99"/>
        <item x="628"/>
        <item x="36"/>
        <item x="319"/>
        <item x="320"/>
        <item x="364"/>
        <item x="7"/>
        <item x="504"/>
        <item x="460"/>
        <item x="12"/>
        <item x="69"/>
        <item x="109"/>
        <item x="546"/>
        <item x="543"/>
        <item x="339"/>
        <item x="292"/>
        <item x="39"/>
        <item x="766"/>
        <item x="277"/>
        <item x="745"/>
        <item x="201"/>
        <item x="526"/>
        <item x="193"/>
        <item x="412"/>
        <item x="264"/>
        <item x="359"/>
        <item x="177"/>
        <item x="715"/>
        <item x="795"/>
        <item x="561"/>
        <item x="192"/>
        <item x="468"/>
        <item x="733"/>
        <item x="716"/>
        <item x="334"/>
        <item x="144"/>
        <item x="522"/>
        <item x="643"/>
        <item x="262"/>
        <item x="570"/>
        <item x="569"/>
        <item x="40"/>
        <item x="633"/>
        <item x="717"/>
        <item t="default"/>
      </items>
    </pivotField>
    <pivotField showAll="0"/>
    <pivotField showAll="0">
      <items count="19">
        <item x="3"/>
        <item x="15"/>
        <item x="14"/>
        <item x="6"/>
        <item x="8"/>
        <item x="9"/>
        <item x="1"/>
        <item x="17"/>
        <item x="12"/>
        <item x="0"/>
        <item x="7"/>
        <item x="13"/>
        <item x="4"/>
        <item x="5"/>
        <item x="10"/>
        <item x="11"/>
        <item x="16"/>
        <item x="2"/>
        <item t="default"/>
      </items>
    </pivotField>
    <pivotField showAll="0">
      <items count="20">
        <item x="1"/>
        <item x="17"/>
        <item x="3"/>
        <item x="15"/>
        <item x="4"/>
        <item x="7"/>
        <item x="9"/>
        <item x="12"/>
        <item x="2"/>
        <item x="16"/>
        <item x="8"/>
        <item x="6"/>
        <item x="5"/>
        <item x="18"/>
        <item x="0"/>
        <item x="10"/>
        <item x="13"/>
        <item x="11"/>
        <item x="14"/>
        <item t="default"/>
      </items>
    </pivotField>
    <pivotField showAll="0">
      <items count="589">
        <item x="472"/>
        <item x="177"/>
        <item x="355"/>
        <item x="106"/>
        <item x="223"/>
        <item x="461"/>
        <item x="512"/>
        <item x="115"/>
        <item x="116"/>
        <item x="199"/>
        <item x="147"/>
        <item x="150"/>
        <item x="528"/>
        <item x="587"/>
        <item x="421"/>
        <item x="82"/>
        <item x="434"/>
        <item x="320"/>
        <item x="159"/>
        <item x="453"/>
        <item x="409"/>
        <item x="445"/>
        <item x="131"/>
        <item x="58"/>
        <item x="254"/>
        <item x="215"/>
        <item x="21"/>
        <item x="237"/>
        <item x="74"/>
        <item x="456"/>
        <item x="22"/>
        <item x="539"/>
        <item x="14"/>
        <item x="283"/>
        <item x="246"/>
        <item x="544"/>
        <item x="294"/>
        <item x="306"/>
        <item x="303"/>
        <item x="318"/>
        <item x="151"/>
        <item x="99"/>
        <item x="196"/>
        <item x="366"/>
        <item x="12"/>
        <item x="171"/>
        <item x="51"/>
        <item x="339"/>
        <item x="527"/>
        <item x="332"/>
        <item x="567"/>
        <item x="169"/>
        <item x="404"/>
        <item x="300"/>
        <item x="552"/>
        <item x="298"/>
        <item x="469"/>
        <item x="62"/>
        <item x="460"/>
        <item x="310"/>
        <item x="220"/>
        <item x="473"/>
        <item x="289"/>
        <item x="541"/>
        <item x="250"/>
        <item x="309"/>
        <item x="308"/>
        <item x="214"/>
        <item x="547"/>
        <item x="479"/>
        <item x="86"/>
        <item x="288"/>
        <item x="326"/>
        <item x="534"/>
        <item x="398"/>
        <item x="8"/>
        <item x="225"/>
        <item x="441"/>
        <item x="535"/>
        <item x="176"/>
        <item x="433"/>
        <item x="229"/>
        <item x="304"/>
        <item x="431"/>
        <item x="316"/>
        <item x="466"/>
        <item x="422"/>
        <item x="393"/>
        <item x="440"/>
        <item x="208"/>
        <item x="297"/>
        <item x="167"/>
        <item x="446"/>
        <item x="276"/>
        <item x="418"/>
        <item x="430"/>
        <item x="253"/>
        <item x="30"/>
        <item x="235"/>
        <item x="122"/>
        <item x="219"/>
        <item x="16"/>
        <item x="60"/>
        <item x="7"/>
        <item x="411"/>
        <item x="502"/>
        <item x="242"/>
        <item x="348"/>
        <item x="474"/>
        <item x="201"/>
        <item x="383"/>
        <item x="492"/>
        <item x="270"/>
        <item x="143"/>
        <item x="227"/>
        <item x="497"/>
        <item x="396"/>
        <item x="119"/>
        <item x="384"/>
        <item x="284"/>
        <item x="368"/>
        <item x="448"/>
        <item x="394"/>
        <item x="468"/>
        <item x="543"/>
        <item x="148"/>
        <item x="125"/>
        <item x="489"/>
        <item x="204"/>
        <item x="471"/>
        <item x="256"/>
        <item x="145"/>
        <item x="401"/>
        <item x="508"/>
        <item x="522"/>
        <item x="367"/>
        <item x="459"/>
        <item x="480"/>
        <item x="249"/>
        <item x="207"/>
        <item x="362"/>
        <item x="569"/>
        <item x="162"/>
        <item x="273"/>
        <item x="548"/>
        <item x="43"/>
        <item x="549"/>
        <item x="70"/>
        <item x="584"/>
        <item x="375"/>
        <item x="18"/>
        <item x="376"/>
        <item x="31"/>
        <item x="457"/>
        <item x="59"/>
        <item x="517"/>
        <item x="77"/>
        <item x="380"/>
        <item x="439"/>
        <item x="435"/>
        <item x="295"/>
        <item x="319"/>
        <item x="372"/>
        <item x="186"/>
        <item x="185"/>
        <item x="279"/>
        <item x="261"/>
        <item x="268"/>
        <item x="218"/>
        <item x="85"/>
        <item x="188"/>
        <item x="252"/>
        <item x="19"/>
        <item x="337"/>
        <item x="230"/>
        <item x="184"/>
        <item x="529"/>
        <item x="42"/>
        <item x="97"/>
        <item x="359"/>
        <item x="209"/>
        <item x="413"/>
        <item x="81"/>
        <item x="103"/>
        <item x="420"/>
        <item x="555"/>
        <item x="2"/>
        <item x="285"/>
        <item x="216"/>
        <item x="432"/>
        <item x="24"/>
        <item x="399"/>
        <item x="38"/>
        <item x="133"/>
        <item x="314"/>
        <item x="166"/>
        <item x="363"/>
        <item x="90"/>
        <item x="20"/>
        <item x="496"/>
        <item x="92"/>
        <item x="447"/>
        <item x="336"/>
        <item x="118"/>
        <item x="329"/>
        <item x="247"/>
        <item x="487"/>
        <item x="52"/>
        <item x="438"/>
        <item x="506"/>
        <item x="93"/>
        <item x="374"/>
        <item x="287"/>
        <item x="582"/>
        <item x="570"/>
        <item x="71"/>
        <item x="369"/>
        <item x="526"/>
        <item x="357"/>
        <item x="467"/>
        <item x="354"/>
        <item x="340"/>
        <item x="275"/>
        <item x="198"/>
        <item x="9"/>
        <item x="154"/>
        <item x="111"/>
        <item x="561"/>
        <item x="161"/>
        <item x="290"/>
        <item x="386"/>
        <item x="322"/>
        <item x="530"/>
        <item x="96"/>
        <item x="44"/>
        <item x="139"/>
        <item x="371"/>
        <item x="321"/>
        <item x="408"/>
        <item x="400"/>
        <item x="505"/>
        <item x="76"/>
        <item x="228"/>
        <item x="55"/>
        <item x="255"/>
        <item x="519"/>
        <item x="266"/>
        <item x="426"/>
        <item x="553"/>
        <item x="417"/>
        <item x="117"/>
        <item x="26"/>
        <item x="510"/>
        <item x="402"/>
        <item x="463"/>
        <item x="462"/>
        <item x="205"/>
        <item x="262"/>
        <item x="263"/>
        <item x="264"/>
        <item x="267"/>
        <item x="134"/>
        <item x="465"/>
        <item x="39"/>
        <item x="144"/>
        <item x="513"/>
        <item x="175"/>
        <item x="333"/>
        <item x="388"/>
        <item x="585"/>
        <item x="389"/>
        <item x="515"/>
        <item x="63"/>
        <item x="155"/>
        <item x="146"/>
        <item x="202"/>
        <item x="343"/>
        <item x="442"/>
        <item x="315"/>
        <item x="132"/>
        <item x="574"/>
        <item x="538"/>
        <item x="583"/>
        <item x="347"/>
        <item x="140"/>
        <item x="191"/>
        <item x="95"/>
        <item x="391"/>
        <item x="34"/>
        <item x="65"/>
        <item x="521"/>
        <item x="107"/>
        <item x="87"/>
        <item x="485"/>
        <item x="581"/>
        <item x="138"/>
        <item x="112"/>
        <item x="156"/>
        <item x="1"/>
        <item x="536"/>
        <item x="61"/>
        <item x="101"/>
        <item x="105"/>
        <item x="130"/>
        <item x="149"/>
        <item x="120"/>
        <item x="258"/>
        <item x="364"/>
        <item x="197"/>
        <item x="365"/>
        <item x="350"/>
        <item x="443"/>
        <item x="317"/>
        <item x="302"/>
        <item x="330"/>
        <item x="45"/>
        <item x="221"/>
        <item x="75"/>
        <item x="381"/>
        <item x="244"/>
        <item x="452"/>
        <item x="206"/>
        <item x="360"/>
        <item x="395"/>
        <item x="41"/>
        <item x="475"/>
        <item x="498"/>
        <item x="566"/>
        <item x="231"/>
        <item x="157"/>
        <item x="311"/>
        <item x="524"/>
        <item x="423"/>
        <item x="503"/>
        <item x="135"/>
        <item x="28"/>
        <item x="578"/>
        <item x="124"/>
        <item x="292"/>
        <item x="488"/>
        <item x="13"/>
        <item x="170"/>
        <item x="424"/>
        <item x="387"/>
        <item x="25"/>
        <item x="313"/>
        <item x="73"/>
        <item x="113"/>
        <item x="575"/>
        <item x="328"/>
        <item x="94"/>
        <item x="193"/>
        <item x="217"/>
        <item x="392"/>
        <item x="334"/>
        <item x="324"/>
        <item x="238"/>
        <item x="523"/>
        <item x="382"/>
        <item x="500"/>
        <item x="102"/>
        <item x="152"/>
        <item x="476"/>
        <item x="579"/>
        <item x="69"/>
        <item x="129"/>
        <item x="278"/>
        <item x="495"/>
        <item x="32"/>
        <item x="141"/>
        <item x="57"/>
        <item x="353"/>
        <item x="571"/>
        <item x="342"/>
        <item x="239"/>
        <item x="277"/>
        <item x="312"/>
        <item x="282"/>
        <item x="212"/>
        <item x="10"/>
        <item x="66"/>
        <item x="27"/>
        <item x="17"/>
        <item x="200"/>
        <item x="187"/>
        <item x="490"/>
        <item x="531"/>
        <item x="557"/>
        <item x="281"/>
        <item x="203"/>
        <item x="586"/>
        <item x="576"/>
        <item x="412"/>
        <item x="379"/>
        <item x="36"/>
        <item x="518"/>
        <item x="64"/>
        <item x="243"/>
        <item x="33"/>
        <item x="301"/>
        <item x="163"/>
        <item x="358"/>
        <item x="259"/>
        <item x="349"/>
        <item x="245"/>
        <item x="491"/>
        <item x="499"/>
        <item x="56"/>
        <item x="260"/>
        <item x="405"/>
        <item x="265"/>
        <item x="40"/>
        <item x="160"/>
        <item x="54"/>
        <item x="234"/>
        <item x="568"/>
        <item x="507"/>
        <item x="126"/>
        <item x="494"/>
        <item x="233"/>
        <item x="173"/>
        <item x="558"/>
        <item x="563"/>
        <item x="562"/>
        <item x="213"/>
        <item x="484"/>
        <item x="573"/>
        <item x="226"/>
        <item x="419"/>
        <item x="483"/>
        <item x="482"/>
        <item x="323"/>
        <item x="100"/>
        <item x="29"/>
        <item x="127"/>
        <item x="153"/>
        <item x="269"/>
        <item x="572"/>
        <item x="564"/>
        <item x="351"/>
        <item x="236"/>
        <item x="49"/>
        <item x="361"/>
        <item x="299"/>
        <item x="296"/>
        <item x="352"/>
        <item x="182"/>
        <item x="428"/>
        <item x="0"/>
        <item x="390"/>
        <item x="53"/>
        <item x="454"/>
        <item x="137"/>
        <item x="194"/>
        <item x="407"/>
        <item x="450"/>
        <item x="5"/>
        <item x="291"/>
        <item x="551"/>
        <item x="486"/>
        <item x="136"/>
        <item x="307"/>
        <item x="271"/>
        <item x="429"/>
        <item x="189"/>
        <item x="91"/>
        <item x="50"/>
        <item x="546"/>
        <item x="449"/>
        <item x="15"/>
        <item x="251"/>
        <item x="341"/>
        <item x="427"/>
        <item x="514"/>
        <item x="532"/>
        <item x="520"/>
        <item x="257"/>
        <item x="286"/>
        <item x="346"/>
        <item x="110"/>
        <item x="67"/>
        <item x="477"/>
        <item x="478"/>
        <item x="89"/>
        <item x="410"/>
        <item x="78"/>
        <item x="222"/>
        <item x="373"/>
        <item x="540"/>
        <item x="79"/>
        <item x="537"/>
        <item x="109"/>
        <item x="280"/>
        <item x="72"/>
        <item x="525"/>
        <item x="211"/>
        <item x="406"/>
        <item x="104"/>
        <item x="556"/>
        <item x="516"/>
        <item x="385"/>
        <item x="121"/>
        <item x="577"/>
        <item x="37"/>
        <item x="181"/>
        <item x="142"/>
        <item x="580"/>
        <item x="455"/>
        <item x="493"/>
        <item x="128"/>
        <item x="565"/>
        <item x="35"/>
        <item x="559"/>
        <item x="345"/>
        <item x="240"/>
        <item x="370"/>
        <item x="437"/>
        <item x="210"/>
        <item x="436"/>
        <item x="158"/>
        <item x="331"/>
        <item x="305"/>
        <item x="164"/>
        <item x="293"/>
        <item x="11"/>
        <item x="274"/>
        <item x="108"/>
        <item x="377"/>
        <item x="172"/>
        <item x="481"/>
        <item x="3"/>
        <item x="180"/>
        <item x="464"/>
        <item x="554"/>
        <item x="325"/>
        <item x="192"/>
        <item x="84"/>
        <item x="83"/>
        <item x="451"/>
        <item x="414"/>
        <item x="415"/>
        <item x="416"/>
        <item x="48"/>
        <item x="509"/>
        <item x="560"/>
        <item x="4"/>
        <item x="444"/>
        <item x="47"/>
        <item x="338"/>
        <item x="501"/>
        <item x="458"/>
        <item x="470"/>
        <item x="335"/>
        <item x="224"/>
        <item x="356"/>
        <item x="68"/>
        <item x="88"/>
        <item x="98"/>
        <item x="183"/>
        <item x="550"/>
        <item x="123"/>
        <item x="504"/>
        <item x="174"/>
        <item x="241"/>
        <item x="23"/>
        <item x="232"/>
        <item x="195"/>
        <item x="425"/>
        <item x="179"/>
        <item x="80"/>
        <item x="46"/>
        <item x="190"/>
        <item x="378"/>
        <item x="344"/>
        <item x="178"/>
        <item x="248"/>
        <item x="397"/>
        <item x="327"/>
        <item x="272"/>
        <item x="545"/>
        <item x="165"/>
        <item x="533"/>
        <item x="114"/>
        <item x="542"/>
        <item x="6"/>
        <item x="511"/>
        <item x="168"/>
        <item x="403"/>
        <item t="default"/>
      </items>
    </pivotField>
    <pivotField showAll="0"/>
    <pivotField showAll="0"/>
    <pivotField showAll="0"/>
    <pivotField showAll="0"/>
    <pivotField showAll="0"/>
    <pivotField showAll="0"/>
    <pivotField numFmtId="2" showAll="0"/>
    <pivotField numFmtId="2" showAll="0"/>
    <pivotField numFmtId="2" showAll="0"/>
    <pivotField numFmtId="2" showAll="0"/>
    <pivotField numFmtId="2" showAll="0"/>
    <pivotField numFmtId="2" showAll="0"/>
    <pivotField numFmtId="2" showAll="0"/>
    <pivotField numFmtId="2" showAll="0"/>
    <pivotField numFmtId="2" showAll="0"/>
    <pivotField numFmtId="2" showAll="0"/>
    <pivotField numFmtId="2" showAll="0"/>
    <pivotField numFmtId="2" showAll="0"/>
    <pivotField numFmtId="2" showAll="0"/>
    <pivotField numFmtId="2" showAll="0"/>
    <pivotField numFmtId="2" showAll="0"/>
    <pivotField numFmtId="2" showAll="0"/>
    <pivotField numFmtId="2" showAll="0"/>
    <pivotField numFmtId="2" showAll="0"/>
    <pivotField numFmtId="2" showAll="0"/>
    <pivotField numFmtId="2" showAll="0"/>
    <pivotField numFmtId="2" showAll="0"/>
    <pivotField numFmtId="2" showAll="0"/>
    <pivotField showAll="0"/>
    <pivotField numFmtId="2" showAll="0"/>
    <pivotField showAll="0"/>
    <pivotField showAll="0"/>
    <pivotField showAll="0"/>
    <pivotField showAll="0"/>
    <pivotField showAll="0"/>
    <pivotField numFmtId="1" showAll="0"/>
    <pivotField numFmtId="1" showAll="0"/>
    <pivotField numFmtId="1" showAll="0"/>
    <pivotField numFmtId="1" showAll="0"/>
    <pivotField showAll="0"/>
    <pivotField axis="axisRow" numFmtId="1" showAll="0">
      <items count="8">
        <item x="0"/>
        <item x="1"/>
        <item x="2"/>
        <item x="3"/>
        <item x="4"/>
        <item x="5"/>
        <item x="6"/>
        <item t="default"/>
      </items>
    </pivotField>
    <pivotField showAll="0">
      <items count="3">
        <item sd="0" x="0"/>
        <item sd="0" x="1"/>
        <item t="default"/>
      </items>
    </pivotField>
  </pivotFields>
  <rowFields count="1">
    <field x="45"/>
  </rowFields>
  <rowItems count="8">
    <i>
      <x/>
    </i>
    <i>
      <x v="1"/>
    </i>
    <i>
      <x v="2"/>
    </i>
    <i>
      <x v="3"/>
    </i>
    <i>
      <x v="4"/>
    </i>
    <i>
      <x v="5"/>
    </i>
    <i>
      <x v="6"/>
    </i>
    <i t="grand">
      <x/>
    </i>
  </rowItems>
  <colItems count="1">
    <i/>
  </colItems>
  <dataFields count="1">
    <dataField name="Count of name" fld="0" subtotal="count" baseField="0" baseItem="0"/>
  </dataFields>
  <chartFormats count="1">
    <chartFormat chart="17" format="2" series="1">
      <pivotArea type="data" outline="0" fieldPosition="0">
        <references count="1">
          <reference field="4294967294" count="1" selected="0">
            <x v="0"/>
          </reference>
        </references>
      </pivotArea>
    </chartFormat>
  </chartFormat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4.xml><?xml version="1.0" encoding="utf-8"?>
<pivotTableDefinition xmlns="http://schemas.openxmlformats.org/spreadsheetml/2006/main" xmlns:mc="http://schemas.openxmlformats.org/markup-compatibility/2006" xmlns:xr="http://schemas.microsoft.com/office/spreadsheetml/2014/revision" mc:Ignorable="xr" xr:uid="{4807732C-807E-4B4E-A8D8-3B6A8026FD9D}" name="PivotTable4" cacheId="0" applyNumberFormats="0" applyBorderFormats="0" applyFontFormats="0" applyPatternFormats="0" applyAlignmentFormats="0" applyWidthHeightFormats="1" dataCaption="Values" updatedVersion="8" minRefreshableVersion="3" useAutoFormatting="1" itemPrintTitles="1" createdVersion="8" indent="0" outline="1" outlineData="1" multipleFieldFilters="0" chartFormat="5">
  <location ref="G2:J10" firstHeaderRow="0" firstDataRow="1" firstDataCol="1"/>
  <pivotFields count="47">
    <pivotField showAll="0"/>
    <pivotField showAll="0"/>
    <pivotField showAll="0"/>
    <pivotField showAll="0"/>
    <pivotField showAll="0"/>
    <pivotField showAll="0"/>
    <pivotField showAll="0"/>
    <pivotField showAll="0"/>
    <pivotField showAll="0"/>
    <pivotField showAll="0"/>
    <pivotField showAll="0"/>
    <pivotField numFmtId="2" showAll="0"/>
    <pivotField numFmtId="2" showAll="0"/>
    <pivotField numFmtId="2" showAll="0"/>
    <pivotField numFmtId="2" showAll="0"/>
    <pivotField numFmtId="2" showAll="0"/>
    <pivotField numFmtId="2" showAll="0"/>
    <pivotField numFmtId="2" showAll="0"/>
    <pivotField numFmtId="2" showAll="0"/>
    <pivotField numFmtId="2" showAll="0"/>
    <pivotField numFmtId="2" showAll="0"/>
    <pivotField numFmtId="2" showAll="0"/>
    <pivotField numFmtId="2" showAll="0"/>
    <pivotField numFmtId="2" showAll="0"/>
    <pivotField numFmtId="2" showAll="0"/>
    <pivotField numFmtId="2" showAll="0"/>
    <pivotField numFmtId="2" showAll="0"/>
    <pivotField numFmtId="2" showAll="0"/>
    <pivotField numFmtId="2" showAll="0"/>
    <pivotField dataField="1" numFmtId="2" showAll="0"/>
    <pivotField numFmtId="2" showAll="0"/>
    <pivotField numFmtId="2" showAll="0"/>
    <pivotField numFmtId="2" showAll="0"/>
    <pivotField showAll="0"/>
    <pivotField dataField="1" numFmtId="2" showAll="0"/>
    <pivotField showAll="0"/>
    <pivotField showAll="0"/>
    <pivotField showAll="0"/>
    <pivotField showAll="0"/>
    <pivotField showAll="0"/>
    <pivotField numFmtId="1" showAll="0"/>
    <pivotField numFmtId="1" showAll="0"/>
    <pivotField numFmtId="1" showAll="0"/>
    <pivotField dataField="1" numFmtId="1" showAll="0"/>
    <pivotField showAll="0"/>
    <pivotField axis="axisRow" numFmtId="1" showAll="0">
      <items count="8">
        <item x="0"/>
        <item x="1"/>
        <item x="2"/>
        <item x="3"/>
        <item x="4"/>
        <item x="5"/>
        <item x="6"/>
        <item t="default"/>
      </items>
    </pivotField>
    <pivotField showAll="0">
      <items count="3">
        <item x="0"/>
        <item x="1"/>
        <item t="default"/>
      </items>
    </pivotField>
  </pivotFields>
  <rowFields count="1">
    <field x="45"/>
  </rowFields>
  <rowItems count="8">
    <i>
      <x/>
    </i>
    <i>
      <x v="1"/>
    </i>
    <i>
      <x v="2"/>
    </i>
    <i>
      <x v="3"/>
    </i>
    <i>
      <x v="4"/>
    </i>
    <i>
      <x v="5"/>
    </i>
    <i>
      <x v="6"/>
    </i>
    <i t="grand">
      <x/>
    </i>
  </rowItems>
  <colFields count="1">
    <field x="-2"/>
  </colFields>
  <colItems count="3">
    <i>
      <x/>
    </i>
    <i i="1">
      <x v="1"/>
    </i>
    <i i="2">
      <x v="2"/>
    </i>
  </colItems>
  <dataFields count="3">
    <dataField name="Average of speed" fld="43" subtotal="average" baseField="45" baseItem="0" numFmtId="164"/>
    <dataField name="Average of defense" fld="34" subtotal="average" baseField="45" baseItem="0" numFmtId="164"/>
    <dataField name="Average of attack" fld="29" subtotal="average" baseField="45" baseItem="3" numFmtId="164"/>
  </dataFields>
  <chartFormats count="3">
    <chartFormat chart="4" format="6" series="1">
      <pivotArea type="data" outline="0" fieldPosition="0">
        <references count="1">
          <reference field="4294967294" count="1" selected="0">
            <x v="0"/>
          </reference>
        </references>
      </pivotArea>
    </chartFormat>
    <chartFormat chart="4" format="7" series="1">
      <pivotArea type="data" outline="0" fieldPosition="0">
        <references count="1">
          <reference field="4294967294" count="1" selected="0">
            <x v="1"/>
          </reference>
        </references>
      </pivotArea>
    </chartFormat>
    <chartFormat chart="4" format="8" series="1">
      <pivotArea type="data" outline="0" fieldPosition="0">
        <references count="1">
          <reference field="4294967294" count="1" selected="0">
            <x v="2"/>
          </reference>
        </references>
      </pivotArea>
    </chartFormat>
  </chartFormat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5.xml><?xml version="1.0" encoding="utf-8"?>
<pivotTableDefinition xmlns="http://schemas.openxmlformats.org/spreadsheetml/2006/main" xmlns:mc="http://schemas.openxmlformats.org/markup-compatibility/2006" xmlns:xr="http://schemas.microsoft.com/office/spreadsheetml/2014/revision" mc:Ignorable="xr" xr:uid="{56F26C6A-5362-410A-B56B-4A2777D2814D}" name="PivotTable12" cacheId="0" applyNumberFormats="0" applyBorderFormats="0" applyFontFormats="0" applyPatternFormats="0" applyAlignmentFormats="0" applyWidthHeightFormats="1" dataCaption="Values" updatedVersion="8" minRefreshableVersion="3" useAutoFormatting="1" itemPrintTitles="1" createdVersion="8" indent="0" outline="1" outlineData="1" multipleFieldFilters="0" chartFormat="5">
  <location ref="A2:A3" firstHeaderRow="1" firstDataRow="1" firstDataCol="0"/>
  <pivotFields count="47">
    <pivotField dataField="1" showAll="0"/>
    <pivotField showAll="0"/>
    <pivotField showAll="0"/>
    <pivotField showAll="0"/>
    <pivotField showAll="0"/>
    <pivotField showAll="0"/>
    <pivotField showAll="0"/>
    <pivotField showAll="0"/>
    <pivotField showAll="0"/>
    <pivotField showAll="0"/>
    <pivotField showAll="0"/>
    <pivotField numFmtId="2" showAll="0"/>
    <pivotField numFmtId="2" showAll="0"/>
    <pivotField numFmtId="2" showAll="0"/>
    <pivotField numFmtId="2" showAll="0"/>
    <pivotField numFmtId="2" showAll="0"/>
    <pivotField numFmtId="2" showAll="0"/>
    <pivotField numFmtId="2" showAll="0"/>
    <pivotField numFmtId="2" showAll="0"/>
    <pivotField numFmtId="2" showAll="0"/>
    <pivotField numFmtId="2" showAll="0"/>
    <pivotField numFmtId="2" showAll="0"/>
    <pivotField numFmtId="2" showAll="0"/>
    <pivotField numFmtId="2" showAll="0"/>
    <pivotField numFmtId="2" showAll="0"/>
    <pivotField numFmtId="2" showAll="0"/>
    <pivotField numFmtId="2" showAll="0"/>
    <pivotField numFmtId="2" showAll="0"/>
    <pivotField numFmtId="2" showAll="0"/>
    <pivotField numFmtId="2" showAll="0"/>
    <pivotField numFmtId="2" showAll="0"/>
    <pivotField numFmtId="2" showAll="0"/>
    <pivotField numFmtId="2" showAll="0"/>
    <pivotField showAll="0"/>
    <pivotField numFmtId="2" showAll="0"/>
    <pivotField showAll="0"/>
    <pivotField showAll="0"/>
    <pivotField showAll="0"/>
    <pivotField showAll="0"/>
    <pivotField showAll="0"/>
    <pivotField numFmtId="1" showAll="0"/>
    <pivotField numFmtId="1" showAll="0"/>
    <pivotField numFmtId="1" showAll="0"/>
    <pivotField numFmtId="1" showAll="0"/>
    <pivotField showAll="0"/>
    <pivotField numFmtId="1" showAll="0">
      <items count="8">
        <item x="0"/>
        <item x="1"/>
        <item x="2"/>
        <item x="3"/>
        <item x="4"/>
        <item x="5"/>
        <item x="6"/>
        <item t="default"/>
      </items>
    </pivotField>
    <pivotField showAll="0">
      <items count="3">
        <item x="0"/>
        <item x="1"/>
        <item t="default"/>
      </items>
    </pivotField>
  </pivotFields>
  <rowItems count="1">
    <i/>
  </rowItems>
  <colItems count="1">
    <i/>
  </colItems>
  <dataFields count="1">
    <dataField name="Count of name" fld="0" subtotal="count" baseField="0" baseItem="0"/>
  </dataField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6.xml><?xml version="1.0" encoding="utf-8"?>
<pivotTableDefinition xmlns="http://schemas.openxmlformats.org/spreadsheetml/2006/main" xmlns:mc="http://schemas.openxmlformats.org/markup-compatibility/2006" xmlns:xr="http://schemas.microsoft.com/office/spreadsheetml/2014/revision" mc:Ignorable="xr" xr:uid="{0D35275A-D269-47E8-9FB3-B02C216E510E}" name="PivotTable16" cacheId="0" applyNumberFormats="0" applyBorderFormats="0" applyFontFormats="0" applyPatternFormats="0" applyAlignmentFormats="0" applyWidthHeightFormats="1" dataCaption="Values" updatedVersion="8" minRefreshableVersion="3" useAutoFormatting="1" itemPrintTitles="1" createdVersion="8" indent="0" outline="1" outlineData="1" multipleFieldFilters="0" chartFormat="5">
  <location ref="A10:A11" firstHeaderRow="1" firstDataRow="1" firstDataCol="0"/>
  <pivotFields count="47">
    <pivotField showAll="0"/>
    <pivotField showAll="0"/>
    <pivotField showAll="0"/>
    <pivotField showAll="0"/>
    <pivotField showAll="0"/>
    <pivotField showAll="0"/>
    <pivotField showAll="0"/>
    <pivotField showAll="0"/>
    <pivotField showAll="0"/>
    <pivotField showAll="0"/>
    <pivotField showAll="0"/>
    <pivotField numFmtId="2" showAll="0"/>
    <pivotField numFmtId="2" showAll="0"/>
    <pivotField numFmtId="2" showAll="0"/>
    <pivotField numFmtId="2" showAll="0"/>
    <pivotField numFmtId="2" showAll="0"/>
    <pivotField numFmtId="2" showAll="0"/>
    <pivotField numFmtId="2" showAll="0"/>
    <pivotField numFmtId="2" showAll="0"/>
    <pivotField numFmtId="2" showAll="0"/>
    <pivotField numFmtId="2" showAll="0"/>
    <pivotField numFmtId="2" showAll="0"/>
    <pivotField numFmtId="2" showAll="0"/>
    <pivotField numFmtId="2" showAll="0"/>
    <pivotField numFmtId="2" showAll="0"/>
    <pivotField numFmtId="2" showAll="0"/>
    <pivotField numFmtId="2" showAll="0"/>
    <pivotField numFmtId="2" showAll="0"/>
    <pivotField numFmtId="2" showAll="0"/>
    <pivotField dataField="1" numFmtId="2" showAll="0"/>
    <pivotField numFmtId="2" showAll="0"/>
    <pivotField numFmtId="2" showAll="0"/>
    <pivotField numFmtId="2" showAll="0"/>
    <pivotField showAll="0"/>
    <pivotField numFmtId="2" showAll="0"/>
    <pivotField showAll="0"/>
    <pivotField showAll="0"/>
    <pivotField showAll="0"/>
    <pivotField showAll="0"/>
    <pivotField showAll="0"/>
    <pivotField numFmtId="1" showAll="0"/>
    <pivotField numFmtId="1" showAll="0"/>
    <pivotField numFmtId="1" showAll="0"/>
    <pivotField numFmtId="1" showAll="0"/>
    <pivotField showAll="0"/>
    <pivotField numFmtId="1" showAll="0">
      <items count="8">
        <item x="0"/>
        <item x="1"/>
        <item x="2"/>
        <item x="3"/>
        <item x="4"/>
        <item x="5"/>
        <item x="6"/>
        <item t="default"/>
      </items>
    </pivotField>
    <pivotField showAll="0">
      <items count="3">
        <item x="0"/>
        <item x="1"/>
        <item t="default"/>
      </items>
    </pivotField>
  </pivotFields>
  <rowItems count="1">
    <i/>
  </rowItems>
  <colItems count="1">
    <i/>
  </colItems>
  <dataFields count="1">
    <dataField name="Average of attack" fld="29" subtotal="average" baseField="0" baseItem="0" numFmtId="164"/>
  </dataFields>
  <chartFormats count="1">
    <chartFormat chart="4" format="8" series="1">
      <pivotArea type="data" outline="0" fieldPosition="0">
        <references count="1">
          <reference field="4294967294" count="1" selected="0">
            <x v="0"/>
          </reference>
        </references>
      </pivotArea>
    </chartFormat>
  </chartFormat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7.xml><?xml version="1.0" encoding="utf-8"?>
<pivotTableDefinition xmlns="http://schemas.openxmlformats.org/spreadsheetml/2006/main" xmlns:mc="http://schemas.openxmlformats.org/markup-compatibility/2006" xmlns:xr="http://schemas.microsoft.com/office/spreadsheetml/2014/revision" mc:Ignorable="xr" xr:uid="{C128B8B5-B01A-4080-8426-67400B636815}" name="PivotTable14" cacheId="0" applyNumberFormats="0" applyBorderFormats="0" applyFontFormats="0" applyPatternFormats="0" applyAlignmentFormats="0" applyWidthHeightFormats="1" dataCaption="Values" updatedVersion="8" minRefreshableVersion="3" useAutoFormatting="1" itemPrintTitles="1" createdVersion="8" indent="0" outline="1" outlineData="1" multipleFieldFilters="0" chartFormat="5">
  <location ref="A5:B8" firstHeaderRow="1" firstDataRow="1" firstDataCol="1"/>
  <pivotFields count="47">
    <pivotField dataField="1" showAll="0"/>
    <pivotField showAll="0"/>
    <pivotField showAll="0"/>
    <pivotField showAll="0"/>
    <pivotField showAll="0"/>
    <pivotField showAll="0"/>
    <pivotField showAll="0"/>
    <pivotField showAll="0"/>
    <pivotField showAll="0"/>
    <pivotField showAll="0"/>
    <pivotField showAll="0"/>
    <pivotField numFmtId="2" showAll="0"/>
    <pivotField numFmtId="2" showAll="0"/>
    <pivotField numFmtId="2" showAll="0"/>
    <pivotField numFmtId="2" showAll="0"/>
    <pivotField numFmtId="2" showAll="0"/>
    <pivotField numFmtId="2" showAll="0"/>
    <pivotField numFmtId="2" showAll="0"/>
    <pivotField numFmtId="2" showAll="0"/>
    <pivotField numFmtId="2" showAll="0"/>
    <pivotField numFmtId="2" showAll="0"/>
    <pivotField numFmtId="2" showAll="0"/>
    <pivotField numFmtId="2" showAll="0"/>
    <pivotField numFmtId="2" showAll="0"/>
    <pivotField numFmtId="2" showAll="0"/>
    <pivotField numFmtId="2" showAll="0"/>
    <pivotField numFmtId="2" showAll="0"/>
    <pivotField numFmtId="2" showAll="0"/>
    <pivotField numFmtId="2" showAll="0"/>
    <pivotField numFmtId="2" showAll="0"/>
    <pivotField numFmtId="2" showAll="0"/>
    <pivotField numFmtId="2" showAll="0"/>
    <pivotField numFmtId="2" showAll="0"/>
    <pivotField showAll="0"/>
    <pivotField numFmtId="2" showAll="0"/>
    <pivotField showAll="0"/>
    <pivotField showAll="0"/>
    <pivotField showAll="0"/>
    <pivotField showAll="0"/>
    <pivotField showAll="0"/>
    <pivotField numFmtId="1" showAll="0"/>
    <pivotField numFmtId="1" showAll="0"/>
    <pivotField numFmtId="1" showAll="0"/>
    <pivotField numFmtId="1" showAll="0"/>
    <pivotField showAll="0"/>
    <pivotField numFmtId="1" showAll="0">
      <items count="8">
        <item x="0"/>
        <item x="1"/>
        <item x="2"/>
        <item x="3"/>
        <item x="4"/>
        <item x="5"/>
        <item x="6"/>
        <item t="default"/>
      </items>
    </pivotField>
    <pivotField axis="axisRow" showAll="0">
      <items count="3">
        <item x="0"/>
        <item x="1"/>
        <item t="default"/>
      </items>
    </pivotField>
  </pivotFields>
  <rowFields count="1">
    <field x="46"/>
  </rowFields>
  <rowItems count="3">
    <i>
      <x/>
    </i>
    <i>
      <x v="1"/>
    </i>
    <i t="grand">
      <x/>
    </i>
  </rowItems>
  <colItems count="1">
    <i/>
  </colItems>
  <dataFields count="1">
    <dataField name="Count of name" fld="0" subtotal="count" baseField="0" baseItem="0"/>
  </dataFields>
  <chartFormats count="3">
    <chartFormat chart="4" format="6" series="1">
      <pivotArea type="data" outline="0" fieldPosition="0">
        <references count="1">
          <reference field="4294967294" count="1" selected="0">
            <x v="0"/>
          </reference>
        </references>
      </pivotArea>
    </chartFormat>
    <chartFormat chart="4" format="7">
      <pivotArea type="data" outline="0" fieldPosition="0">
        <references count="2">
          <reference field="4294967294" count="1" selected="0">
            <x v="0"/>
          </reference>
          <reference field="46" count="1" selected="0">
            <x v="0"/>
          </reference>
        </references>
      </pivotArea>
    </chartFormat>
    <chartFormat chart="4" format="8">
      <pivotArea type="data" outline="0" fieldPosition="0">
        <references count="2">
          <reference field="4294967294" count="1" selected="0">
            <x v="0"/>
          </reference>
          <reference field="46" count="1" selected="0">
            <x v="1"/>
          </reference>
        </references>
      </pivotArea>
    </chartFormat>
  </chartFormat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slicerCaches/slicerCache1.xml><?xml version="1.0" encoding="utf-8"?>
<slicerCacheDefinition xmlns="http://schemas.microsoft.com/office/spreadsheetml/2009/9/main" xmlns:mc="http://schemas.openxmlformats.org/markup-compatibility/2006" xmlns:x="http://schemas.openxmlformats.org/spreadsheetml/2006/main" xmlns:xr10="http://schemas.microsoft.com/office/spreadsheetml/2016/revision10" mc:Ignorable="x xr10" name="Slicer_is_legendary" xr10:uid="{2D3345FF-74F7-475E-9CC8-1F19B093185C}" sourceName="is_legendary">
  <pivotTables>
    <pivotTable tabId="3" name="PokemonGeneration"/>
    <pivotTable tabId="3" name="Legendary_vs_Non-legendary"/>
    <pivotTable tabId="3" name="Pokémon type"/>
    <pivotTable tabId="3" name="PivotTable4"/>
    <pivotTable tabId="6" name="PivotTable12"/>
    <pivotTable tabId="6" name="PivotTable14"/>
    <pivotTable tabId="6" name="PivotTable16"/>
  </pivotTables>
  <data>
    <tabular pivotCacheId="140825241">
      <items count="2">
        <i x="0" s="1"/>
        <i x="1" s="1"/>
      </items>
    </tabular>
  </data>
</slicerCacheDefinition>
</file>

<file path=xl/slicerCaches/slicerCache2.xml><?xml version="1.0" encoding="utf-8"?>
<slicerCacheDefinition xmlns="http://schemas.microsoft.com/office/spreadsheetml/2009/9/main" xmlns:mc="http://schemas.openxmlformats.org/markup-compatibility/2006" xmlns:x="http://schemas.openxmlformats.org/spreadsheetml/2006/main" xmlns:xr10="http://schemas.microsoft.com/office/spreadsheetml/2016/revision10" mc:Ignorable="x xr10" name="Slicer_generation" xr10:uid="{0909F20C-453F-4727-AB63-016331BB53F9}" sourceName="generation">
  <pivotTables>
    <pivotTable tabId="3" name="PokemonGeneration"/>
    <pivotTable tabId="3" name="Legendary_vs_Non-legendary"/>
    <pivotTable tabId="3" name="Pokémon type"/>
    <pivotTable tabId="3" name="PivotTable4"/>
    <pivotTable tabId="6" name="PivotTable12"/>
    <pivotTable tabId="6" name="PivotTable14"/>
    <pivotTable tabId="6" name="PivotTable16"/>
  </pivotTables>
  <data>
    <tabular pivotCacheId="140825241">
      <items count="7">
        <i x="0" s="1"/>
        <i x="1" s="1"/>
        <i x="2" s="1"/>
        <i x="3" s="1"/>
        <i x="4" s="1"/>
        <i x="5" s="1"/>
        <i x="6" s="1"/>
      </items>
    </tabular>
  </data>
</slicerCacheDefinition>
</file>

<file path=xl/slicers/slicer1.xml><?xml version="1.0" encoding="utf-8"?>
<slicers xmlns="http://schemas.microsoft.com/office/spreadsheetml/2009/9/main" xmlns:mc="http://schemas.openxmlformats.org/markup-compatibility/2006" xmlns:x="http://schemas.openxmlformats.org/spreadsheetml/2006/main" xmlns:xr10="http://schemas.microsoft.com/office/spreadsheetml/2016/revision10" mc:Ignorable="x xr10">
  <slicer name="is_legendary" xr10:uid="{11DD62CD-61DF-47CF-A1F1-8C5E3F4D45EA}" cache="Slicer_is_legendary" caption="LEGENDARY STATUS" columnCount="2" style="Pokédex Ice Blue" rowHeight="288000"/>
  <slicer name="generation" xr10:uid="{2A7D2048-D262-4232-A43F-49BF878DF682}" cache="Slicer_generation" caption="GENERATION" columnCount="7" style="Pokédex Ice Blue" rowHeight="288000"/>
</slicers>
</file>

<file path=xl/tables/table1.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2" xr:uid="{0C7EE0C8-07AA-44B7-B9B2-9C3C63D0C4EE}" name="PokemonData" displayName="PokemonData" ref="A1:AU802" totalsRowShown="0" headerRowDxfId="44" dataDxfId="43">
  <autoFilter ref="A1:AU802" xr:uid="{E9BE0A3B-979B-479E-8CBE-8640C250919D}"/>
  <tableColumns count="47">
    <tableColumn id="1" xr3:uid="{826FB9FA-F11B-43DD-A980-721F7FE3D43B}" name="name" dataDxfId="42"/>
    <tableColumn id="2" xr3:uid="{60F1BB84-D1D6-4F7F-AAD6-F1045B27F91D}" name="japanese_name" dataDxfId="41"/>
    <tableColumn id="3" xr3:uid="{1E3A4C5B-D4E4-49E4-8180-4635C5F094B1}" name="type1" dataDxfId="40"/>
    <tableColumn id="4" xr3:uid="{DBFEBB82-957A-4AF2-A85B-FF649C142601}" name="type2" dataDxfId="39"/>
    <tableColumn id="5" xr3:uid="{146FB4C2-7A9F-4CF0-9189-7636FCB0C4A2}" name="classification" dataDxfId="38"/>
    <tableColumn id="6" xr3:uid="{AC751962-46F5-4848-950B-EECE0CD72169}" name="Ability 1"/>
    <tableColumn id="7" xr3:uid="{B4BB0586-534E-4C15-813B-2FB6F08C0B34}" name="Ability 2"/>
    <tableColumn id="8" xr3:uid="{5ABFDAD2-7B58-4BDF-A5BB-737B9A8C7A31}" name="Ability 3"/>
    <tableColumn id="9" xr3:uid="{AB493D7D-F957-446A-9C44-F549030EB919}" name="Ability 4"/>
    <tableColumn id="10" xr3:uid="{0AE8D1B1-8AEE-4E57-BA2F-03F086DC61D7}" name="Ability 5"/>
    <tableColumn id="11" xr3:uid="{60F6CDFD-0519-4EEF-A3F3-D16A6E7CA880}" name="Ability 6"/>
    <tableColumn id="12" xr3:uid="{3C8CE9F6-1D86-43CB-A1EA-FC855F013E97}" name="against_bug" dataDxfId="37"/>
    <tableColumn id="13" xr3:uid="{31E9D1EF-E412-44B5-BDBA-769E9F737EB8}" name="against_dark" dataDxfId="36"/>
    <tableColumn id="14" xr3:uid="{35049CBC-2ADB-4EED-B72F-E63324724EB4}" name="against_dragon" dataDxfId="35"/>
    <tableColumn id="15" xr3:uid="{C37035F2-B59F-410E-9C3C-6722B5BAFD89}" name="against_electric" dataDxfId="34"/>
    <tableColumn id="16" xr3:uid="{B3668B94-1742-427D-BA7E-D0DC5AFB554D}" name="against_fairy" dataDxfId="33"/>
    <tableColumn id="17" xr3:uid="{3AF4EE6F-05A2-4056-BFA2-3DB2312FEE50}" name="against_fight" dataDxfId="32"/>
    <tableColumn id="18" xr3:uid="{9AFAD151-6F13-47DF-A035-815736B81C7D}" name="against_fire" dataDxfId="31"/>
    <tableColumn id="19" xr3:uid="{F1695CD2-26D6-4FF4-B45E-1DABC1A4FAD9}" name="against_flying" dataDxfId="30"/>
    <tableColumn id="20" xr3:uid="{B8E3495F-C044-4135-8773-01EE7206AA8E}" name="against_ghost" dataDxfId="29"/>
    <tableColumn id="21" xr3:uid="{19B22DA2-5F5B-4647-B399-6DAB40503B4E}" name="against_grass" dataDxfId="28"/>
    <tableColumn id="22" xr3:uid="{116CC48C-D4FE-4371-9D84-4DB88D4DE25D}" name="against_ground" dataDxfId="27"/>
    <tableColumn id="23" xr3:uid="{B2D9EF4C-A453-4088-B8EA-47A7BF4CB58F}" name="against_ice" dataDxfId="26"/>
    <tableColumn id="24" xr3:uid="{EF07E1D3-5BF2-44B6-82E8-511538AF6AFA}" name="against_normal" dataDxfId="25"/>
    <tableColumn id="25" xr3:uid="{1830F3FE-7E3C-42F2-82D4-5707D5A77FDA}" name="against_poison" dataDxfId="24"/>
    <tableColumn id="26" xr3:uid="{C27021FE-8DB4-497A-BD3D-76175F68C683}" name="against_psychic" dataDxfId="23"/>
    <tableColumn id="27" xr3:uid="{AB10D54C-B0EB-48A5-9B25-DA30587F2860}" name="against_rock" dataDxfId="22"/>
    <tableColumn id="28" xr3:uid="{B037F5C2-6282-448F-8CFB-8BFF23C95CC0}" name="against_steel" dataDxfId="21"/>
    <tableColumn id="29" xr3:uid="{258F934B-0973-40AA-A34F-E48450B5A7CA}" name="against_water" dataDxfId="20"/>
    <tableColumn id="30" xr3:uid="{12CBCE6B-80CA-4E55-B631-68181C602E67}" name="attack" dataDxfId="19"/>
    <tableColumn id="31" xr3:uid="{19D505BF-DCBE-4FE9-B680-09AEA8DC0768}" name="base_egg_steps" dataDxfId="18"/>
    <tableColumn id="32" xr3:uid="{DE94D276-A1E6-432F-BE3C-6369408E5BE9}" name="base_happiness" dataDxfId="17"/>
    <tableColumn id="33" xr3:uid="{E23BE0B6-4E0B-42CF-9C29-191B2B4BCC15}" name="base_total" dataDxfId="16"/>
    <tableColumn id="34" xr3:uid="{CAF69B8F-818C-4F04-B5B1-B81AA7F72CD6}" name="capture_rate" dataDxfId="15"/>
    <tableColumn id="35" xr3:uid="{D5A8395D-7B6D-4EA8-9E0F-30D0B7AF4319}" name="defense" dataDxfId="14"/>
    <tableColumn id="36" xr3:uid="{FBD3402E-AE61-4546-BC01-E9DA769CE032}" name="experience_growth" dataDxfId="13"/>
    <tableColumn id="37" xr3:uid="{21D78386-52C3-458D-9DDF-81E9B196F501}" name="height_m" dataDxfId="12"/>
    <tableColumn id="38" xr3:uid="{1B34F8F0-EFE2-4A1E-AC35-B2C4E22930D2}" name="hp" dataDxfId="11"/>
    <tableColumn id="39" xr3:uid="{3E4BB456-E2B2-45F7-B4AB-938ED0C54191}" name="percentage_male" dataDxfId="10"/>
    <tableColumn id="40" xr3:uid="{4BA975A0-DFE1-4852-B0CF-A2AF06FD0EAB}" name="Percentage_Female" dataDxfId="9">
      <calculatedColumnFormula>IF(AM2="","",100-AM2)</calculatedColumnFormula>
    </tableColumn>
    <tableColumn id="41" xr3:uid="{4E76C6E3-C689-4D3B-BE05-851D6C4CA504}" name="pokedex_number" dataDxfId="8"/>
    <tableColumn id="42" xr3:uid="{20BF8C50-497E-4F5D-917D-7FFF28DDB620}" name="sp_attack" dataDxfId="7"/>
    <tableColumn id="43" xr3:uid="{3007FCE6-F727-42BA-BF61-5B995AD020C4}" name="sp_defense" dataDxfId="6"/>
    <tableColumn id="44" xr3:uid="{C7299018-78E1-4236-BCE5-A3A403531408}" name="speed" dataDxfId="5"/>
    <tableColumn id="45" xr3:uid="{9AF74975-F72A-4E24-934F-6172B58A90A5}" name="weight_kg" dataDxfId="4"/>
    <tableColumn id="46" xr3:uid="{BDCF9484-7804-49DC-9B8E-758C89042A94}" name="generation" dataDxfId="3"/>
    <tableColumn id="47" xr3:uid="{E1D989A4-9F6F-46A0-8C65-7CF7C1ED0B94}" name="is_legendary" dataDxfId="2"/>
  </tableColumns>
  <tableStyleInfo name="TableStyleLight19" showFirstColumn="0" showLastColumn="0" showRowStripes="1" showColumnStripes="0"/>
</table>
</file>

<file path=xl/theme/theme1.xml><?xml version="1.0" encoding="utf-8"?>
<a:theme xmlns:a="http://schemas.openxmlformats.org/drawingml/2006/main" name="Office Theme">
  <a:themeElements>
    <a:clrScheme name="Office">
      <a:dk1>
        <a:sysClr val="windowText" lastClr="000000"/>
      </a:dk1>
      <a:lt1>
        <a:sysClr val="window" lastClr="FFFFFF"/>
      </a:lt1>
      <a:dk2>
        <a:srgbClr val="0E2841"/>
      </a:dk2>
      <a:lt2>
        <a:srgbClr val="E8E8E8"/>
      </a:lt2>
      <a:accent1>
        <a:srgbClr val="156082"/>
      </a:accent1>
      <a:accent2>
        <a:srgbClr val="E97132"/>
      </a:accent2>
      <a:accent3>
        <a:srgbClr val="196B24"/>
      </a:accent3>
      <a:accent4>
        <a:srgbClr val="0F9ED5"/>
      </a:accent4>
      <a:accent5>
        <a:srgbClr val="A02B93"/>
      </a:accent5>
      <a:accent6>
        <a:srgbClr val="4EA72E"/>
      </a:accent6>
      <a:hlink>
        <a:srgbClr val="467886"/>
      </a:hlink>
      <a:folHlink>
        <a:srgbClr val="96607D"/>
      </a:folHlink>
    </a:clrScheme>
    <a:fontScheme name="Office">
      <a:majorFont>
        <a:latin typeface="Aptos Display" panose="0211000402020202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ajorFont>
      <a:minorFont>
        <a:latin typeface="Aptos Narrow" panose="0211000402020202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12700" cap="flat" cmpd="sng" algn="ctr">
          <a:solidFill>
            <a:schemeClr val="phClr"/>
          </a:solidFill>
          <a:prstDash val="solid"/>
          <a:miter lim="800000"/>
        </a:ln>
        <a:ln w="19050" cap="flat" cmpd="sng" algn="ctr">
          <a:solidFill>
            <a:schemeClr val="phClr"/>
          </a:solidFill>
          <a:prstDash val="solid"/>
          <a:miter lim="800000"/>
        </a:ln>
        <a:ln w="2540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lnDef>
      <a:spPr/>
      <a:bodyPr/>
      <a:lstStyle/>
      <a:style>
        <a:lnRef idx="2">
          <a:schemeClr val="accent1"/>
        </a:lnRef>
        <a:fillRef idx="0">
          <a:schemeClr val="accent1"/>
        </a:fillRef>
        <a:effectRef idx="1">
          <a:schemeClr val="accent1"/>
        </a:effectRef>
        <a:fontRef idx="minor">
          <a:schemeClr val="tx1"/>
        </a:fontRef>
      </a:style>
    </a:lnDef>
  </a:objectDefaults>
  <a:extraClrSchemeLst/>
  <a:extLst>
    <a:ext uri="{05A4C25C-085E-4340-85A3-A5531E510DB2}">
      <thm15:themeFamily xmlns:thm15="http://schemas.microsoft.com/office/thememl/2012/main" name="Office Theme" id="{2E142A2C-CD16-42D6-873A-C26D2A0506FA}" vid="{1BDDFF52-6CD6-40A5-AB3C-68EB2F1E4D0A}"/>
    </a:ext>
  </a:extLst>
</a:theme>
</file>

<file path=xl/worksheets/_rels/sheet2.xml.rels><?xml version="1.0" encoding="UTF-8" standalone="yes"?>
<Relationships xmlns="http://schemas.openxmlformats.org/package/2006/relationships"><Relationship Id="rId1" Type="http://schemas.openxmlformats.org/officeDocument/2006/relationships/table" Target="../tables/table1.xml"/></Relationships>
</file>

<file path=xl/worksheets/_rels/sheet3.xml.rels><?xml version="1.0" encoding="UTF-8" standalone="yes"?>
<Relationships xmlns="http://schemas.openxmlformats.org/package/2006/relationships"><Relationship Id="rId3" Type="http://schemas.openxmlformats.org/officeDocument/2006/relationships/pivotTable" Target="../pivotTables/pivotTable3.xml"/><Relationship Id="rId2" Type="http://schemas.openxmlformats.org/officeDocument/2006/relationships/pivotTable" Target="../pivotTables/pivotTable2.xml"/><Relationship Id="rId1" Type="http://schemas.openxmlformats.org/officeDocument/2006/relationships/pivotTable" Target="../pivotTables/pivotTable1.xml"/><Relationship Id="rId4" Type="http://schemas.openxmlformats.org/officeDocument/2006/relationships/pivotTable" Target="../pivotTables/pivotTable4.xml"/></Relationships>
</file>

<file path=xl/worksheets/_rels/sheet4.xml.rels><?xml version="1.0" encoding="UTF-8" standalone="yes"?>
<Relationships xmlns="http://schemas.openxmlformats.org/package/2006/relationships"><Relationship Id="rId3" Type="http://schemas.openxmlformats.org/officeDocument/2006/relationships/pivotTable" Target="../pivotTables/pivotTable7.xml"/><Relationship Id="rId2" Type="http://schemas.openxmlformats.org/officeDocument/2006/relationships/pivotTable" Target="../pivotTables/pivotTable6.xml"/><Relationship Id="rId1" Type="http://schemas.openxmlformats.org/officeDocument/2006/relationships/pivotTable" Target="../pivotTables/pivotTable5.xml"/></Relationships>
</file>

<file path=xl/worksheets/_rels/sheet5.xml.rels><?xml version="1.0" encoding="UTF-8" standalone="yes"?>
<Relationships xmlns="http://schemas.openxmlformats.org/package/2006/relationships"><Relationship Id="rId2" Type="http://schemas.microsoft.com/office/2007/relationships/slicer" Target="../slicers/slicer1.xml"/><Relationship Id="rId1" Type="http://schemas.openxmlformats.org/officeDocument/2006/relationships/drawing" Target="../drawings/drawing1.xml"/></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4DCDB746-77E5-44D5-90AD-AFAC5090BAA6}">
  <dimension ref="A1:A802"/>
  <sheetViews>
    <sheetView workbookViewId="0">
      <selection activeCell="A2" sqref="A2"/>
    </sheetView>
  </sheetViews>
  <sheetFormatPr defaultRowHeight="14.4" x14ac:dyDescent="0.3"/>
  <sheetData>
    <row r="1" spans="1:1" x14ac:dyDescent="0.3">
      <c r="A1" t="s">
        <v>2248</v>
      </c>
    </row>
    <row r="2" spans="1:1" x14ac:dyDescent="0.3">
      <c r="A2" t="s">
        <v>2249</v>
      </c>
    </row>
    <row r="3" spans="1:1" x14ac:dyDescent="0.3">
      <c r="A3" t="s">
        <v>2250</v>
      </c>
    </row>
    <row r="4" spans="1:1" x14ac:dyDescent="0.3">
      <c r="A4" t="s">
        <v>2251</v>
      </c>
    </row>
    <row r="5" spans="1:1" x14ac:dyDescent="0.3">
      <c r="A5" t="s">
        <v>2252</v>
      </c>
    </row>
    <row r="6" spans="1:1" x14ac:dyDescent="0.3">
      <c r="A6" t="s">
        <v>2253</v>
      </c>
    </row>
    <row r="7" spans="1:1" x14ac:dyDescent="0.3">
      <c r="A7" t="s">
        <v>2254</v>
      </c>
    </row>
    <row r="8" spans="1:1" x14ac:dyDescent="0.3">
      <c r="A8" t="s">
        <v>2255</v>
      </c>
    </row>
    <row r="9" spans="1:1" x14ac:dyDescent="0.3">
      <c r="A9" t="s">
        <v>2256</v>
      </c>
    </row>
    <row r="10" spans="1:1" x14ac:dyDescent="0.3">
      <c r="A10" t="s">
        <v>2257</v>
      </c>
    </row>
    <row r="11" spans="1:1" x14ac:dyDescent="0.3">
      <c r="A11" t="s">
        <v>2258</v>
      </c>
    </row>
    <row r="12" spans="1:1" x14ac:dyDescent="0.3">
      <c r="A12" t="s">
        <v>2259</v>
      </c>
    </row>
    <row r="13" spans="1:1" x14ac:dyDescent="0.3">
      <c r="A13" t="s">
        <v>2260</v>
      </c>
    </row>
    <row r="14" spans="1:1" x14ac:dyDescent="0.3">
      <c r="A14" t="s">
        <v>2261</v>
      </c>
    </row>
    <row r="15" spans="1:1" x14ac:dyDescent="0.3">
      <c r="A15" t="s">
        <v>2262</v>
      </c>
    </row>
    <row r="16" spans="1:1" x14ac:dyDescent="0.3">
      <c r="A16" t="s">
        <v>2263</v>
      </c>
    </row>
    <row r="17" spans="1:1" x14ac:dyDescent="0.3">
      <c r="A17" t="s">
        <v>2264</v>
      </c>
    </row>
    <row r="18" spans="1:1" x14ac:dyDescent="0.3">
      <c r="A18" t="s">
        <v>2265</v>
      </c>
    </row>
    <row r="19" spans="1:1" x14ac:dyDescent="0.3">
      <c r="A19" t="s">
        <v>2266</v>
      </c>
    </row>
    <row r="20" spans="1:1" x14ac:dyDescent="0.3">
      <c r="A20" t="s">
        <v>2267</v>
      </c>
    </row>
    <row r="21" spans="1:1" x14ac:dyDescent="0.3">
      <c r="A21" t="s">
        <v>2268</v>
      </c>
    </row>
    <row r="22" spans="1:1" x14ac:dyDescent="0.3">
      <c r="A22" t="s">
        <v>2269</v>
      </c>
    </row>
    <row r="23" spans="1:1" x14ac:dyDescent="0.3">
      <c r="A23" t="s">
        <v>2270</v>
      </c>
    </row>
    <row r="24" spans="1:1" x14ac:dyDescent="0.3">
      <c r="A24" t="s">
        <v>2271</v>
      </c>
    </row>
    <row r="25" spans="1:1" x14ac:dyDescent="0.3">
      <c r="A25" t="s">
        <v>2272</v>
      </c>
    </row>
    <row r="26" spans="1:1" x14ac:dyDescent="0.3">
      <c r="A26" t="s">
        <v>2273</v>
      </c>
    </row>
    <row r="27" spans="1:1" x14ac:dyDescent="0.3">
      <c r="A27" t="s">
        <v>2274</v>
      </c>
    </row>
    <row r="28" spans="1:1" x14ac:dyDescent="0.3">
      <c r="A28" t="s">
        <v>2275</v>
      </c>
    </row>
    <row r="29" spans="1:1" x14ac:dyDescent="0.3">
      <c r="A29" t="s">
        <v>2276</v>
      </c>
    </row>
    <row r="30" spans="1:1" x14ac:dyDescent="0.3">
      <c r="A30" t="s">
        <v>2277</v>
      </c>
    </row>
    <row r="31" spans="1:1" x14ac:dyDescent="0.3">
      <c r="A31" t="s">
        <v>2278</v>
      </c>
    </row>
    <row r="32" spans="1:1" x14ac:dyDescent="0.3">
      <c r="A32" t="s">
        <v>2279</v>
      </c>
    </row>
    <row r="33" spans="1:1" x14ac:dyDescent="0.3">
      <c r="A33" t="s">
        <v>2280</v>
      </c>
    </row>
    <row r="34" spans="1:1" x14ac:dyDescent="0.3">
      <c r="A34" t="s">
        <v>2281</v>
      </c>
    </row>
    <row r="35" spans="1:1" x14ac:dyDescent="0.3">
      <c r="A35" t="s">
        <v>2282</v>
      </c>
    </row>
    <row r="36" spans="1:1" x14ac:dyDescent="0.3">
      <c r="A36" t="s">
        <v>2283</v>
      </c>
    </row>
    <row r="37" spans="1:1" x14ac:dyDescent="0.3">
      <c r="A37" t="s">
        <v>2284</v>
      </c>
    </row>
    <row r="38" spans="1:1" x14ac:dyDescent="0.3">
      <c r="A38" t="s">
        <v>2285</v>
      </c>
    </row>
    <row r="39" spans="1:1" x14ac:dyDescent="0.3">
      <c r="A39" t="s">
        <v>2286</v>
      </c>
    </row>
    <row r="40" spans="1:1" x14ac:dyDescent="0.3">
      <c r="A40" t="s">
        <v>2287</v>
      </c>
    </row>
    <row r="41" spans="1:1" x14ac:dyDescent="0.3">
      <c r="A41" t="s">
        <v>2288</v>
      </c>
    </row>
    <row r="42" spans="1:1" x14ac:dyDescent="0.3">
      <c r="A42" t="s">
        <v>2289</v>
      </c>
    </row>
    <row r="43" spans="1:1" x14ac:dyDescent="0.3">
      <c r="A43" t="s">
        <v>2290</v>
      </c>
    </row>
    <row r="44" spans="1:1" x14ac:dyDescent="0.3">
      <c r="A44" t="s">
        <v>2291</v>
      </c>
    </row>
    <row r="45" spans="1:1" x14ac:dyDescent="0.3">
      <c r="A45" t="s">
        <v>2292</v>
      </c>
    </row>
    <row r="46" spans="1:1" x14ac:dyDescent="0.3">
      <c r="A46" t="s">
        <v>2293</v>
      </c>
    </row>
    <row r="47" spans="1:1" x14ac:dyDescent="0.3">
      <c r="A47" t="s">
        <v>2294</v>
      </c>
    </row>
    <row r="48" spans="1:1" x14ac:dyDescent="0.3">
      <c r="A48" t="s">
        <v>2295</v>
      </c>
    </row>
    <row r="49" spans="1:1" x14ac:dyDescent="0.3">
      <c r="A49" t="s">
        <v>2296</v>
      </c>
    </row>
    <row r="50" spans="1:1" x14ac:dyDescent="0.3">
      <c r="A50" t="s">
        <v>2297</v>
      </c>
    </row>
    <row r="51" spans="1:1" x14ac:dyDescent="0.3">
      <c r="A51" t="s">
        <v>2298</v>
      </c>
    </row>
    <row r="52" spans="1:1" x14ac:dyDescent="0.3">
      <c r="A52" t="s">
        <v>2299</v>
      </c>
    </row>
    <row r="53" spans="1:1" x14ac:dyDescent="0.3">
      <c r="A53" t="s">
        <v>2300</v>
      </c>
    </row>
    <row r="54" spans="1:1" x14ac:dyDescent="0.3">
      <c r="A54" t="s">
        <v>2301</v>
      </c>
    </row>
    <row r="55" spans="1:1" x14ac:dyDescent="0.3">
      <c r="A55" t="s">
        <v>2302</v>
      </c>
    </row>
    <row r="56" spans="1:1" x14ac:dyDescent="0.3">
      <c r="A56" t="s">
        <v>2303</v>
      </c>
    </row>
    <row r="57" spans="1:1" x14ac:dyDescent="0.3">
      <c r="A57" t="s">
        <v>2304</v>
      </c>
    </row>
    <row r="58" spans="1:1" x14ac:dyDescent="0.3">
      <c r="A58" t="s">
        <v>2305</v>
      </c>
    </row>
    <row r="59" spans="1:1" x14ac:dyDescent="0.3">
      <c r="A59" t="s">
        <v>2306</v>
      </c>
    </row>
    <row r="60" spans="1:1" x14ac:dyDescent="0.3">
      <c r="A60" t="s">
        <v>2307</v>
      </c>
    </row>
    <row r="61" spans="1:1" x14ac:dyDescent="0.3">
      <c r="A61" t="s">
        <v>2308</v>
      </c>
    </row>
    <row r="62" spans="1:1" x14ac:dyDescent="0.3">
      <c r="A62" t="s">
        <v>2309</v>
      </c>
    </row>
    <row r="63" spans="1:1" x14ac:dyDescent="0.3">
      <c r="A63" t="s">
        <v>2310</v>
      </c>
    </row>
    <row r="64" spans="1:1" x14ac:dyDescent="0.3">
      <c r="A64" t="s">
        <v>2311</v>
      </c>
    </row>
    <row r="65" spans="1:1" x14ac:dyDescent="0.3">
      <c r="A65" t="s">
        <v>2312</v>
      </c>
    </row>
    <row r="66" spans="1:1" x14ac:dyDescent="0.3">
      <c r="A66" t="s">
        <v>2313</v>
      </c>
    </row>
    <row r="67" spans="1:1" x14ac:dyDescent="0.3">
      <c r="A67" t="s">
        <v>2314</v>
      </c>
    </row>
    <row r="68" spans="1:1" x14ac:dyDescent="0.3">
      <c r="A68" t="s">
        <v>2315</v>
      </c>
    </row>
    <row r="69" spans="1:1" x14ac:dyDescent="0.3">
      <c r="A69" t="s">
        <v>2316</v>
      </c>
    </row>
    <row r="70" spans="1:1" x14ac:dyDescent="0.3">
      <c r="A70" t="s">
        <v>2317</v>
      </c>
    </row>
    <row r="71" spans="1:1" x14ac:dyDescent="0.3">
      <c r="A71" t="s">
        <v>2318</v>
      </c>
    </row>
    <row r="72" spans="1:1" x14ac:dyDescent="0.3">
      <c r="A72" t="s">
        <v>2319</v>
      </c>
    </row>
    <row r="73" spans="1:1" x14ac:dyDescent="0.3">
      <c r="A73" t="s">
        <v>2320</v>
      </c>
    </row>
    <row r="74" spans="1:1" x14ac:dyDescent="0.3">
      <c r="A74" t="s">
        <v>2321</v>
      </c>
    </row>
    <row r="75" spans="1:1" x14ac:dyDescent="0.3">
      <c r="A75" t="s">
        <v>2322</v>
      </c>
    </row>
    <row r="76" spans="1:1" x14ac:dyDescent="0.3">
      <c r="A76" t="s">
        <v>2323</v>
      </c>
    </row>
    <row r="77" spans="1:1" x14ac:dyDescent="0.3">
      <c r="A77" t="s">
        <v>2324</v>
      </c>
    </row>
    <row r="78" spans="1:1" x14ac:dyDescent="0.3">
      <c r="A78" t="s">
        <v>2325</v>
      </c>
    </row>
    <row r="79" spans="1:1" x14ac:dyDescent="0.3">
      <c r="A79" t="s">
        <v>2326</v>
      </c>
    </row>
    <row r="80" spans="1:1" x14ac:dyDescent="0.3">
      <c r="A80" t="s">
        <v>2327</v>
      </c>
    </row>
    <row r="81" spans="1:1" x14ac:dyDescent="0.3">
      <c r="A81" t="s">
        <v>2328</v>
      </c>
    </row>
    <row r="82" spans="1:1" x14ac:dyDescent="0.3">
      <c r="A82" t="s">
        <v>2329</v>
      </c>
    </row>
    <row r="83" spans="1:1" x14ac:dyDescent="0.3">
      <c r="A83" t="s">
        <v>2330</v>
      </c>
    </row>
    <row r="84" spans="1:1" x14ac:dyDescent="0.3">
      <c r="A84" t="s">
        <v>2331</v>
      </c>
    </row>
    <row r="85" spans="1:1" x14ac:dyDescent="0.3">
      <c r="A85" t="s">
        <v>2332</v>
      </c>
    </row>
    <row r="86" spans="1:1" x14ac:dyDescent="0.3">
      <c r="A86" t="s">
        <v>2333</v>
      </c>
    </row>
    <row r="87" spans="1:1" x14ac:dyDescent="0.3">
      <c r="A87" t="s">
        <v>2334</v>
      </c>
    </row>
    <row r="88" spans="1:1" x14ac:dyDescent="0.3">
      <c r="A88" t="s">
        <v>2335</v>
      </c>
    </row>
    <row r="89" spans="1:1" x14ac:dyDescent="0.3">
      <c r="A89" t="s">
        <v>2336</v>
      </c>
    </row>
    <row r="90" spans="1:1" x14ac:dyDescent="0.3">
      <c r="A90" t="s">
        <v>2337</v>
      </c>
    </row>
    <row r="91" spans="1:1" x14ac:dyDescent="0.3">
      <c r="A91" t="s">
        <v>2338</v>
      </c>
    </row>
    <row r="92" spans="1:1" x14ac:dyDescent="0.3">
      <c r="A92" t="s">
        <v>2339</v>
      </c>
    </row>
    <row r="93" spans="1:1" x14ac:dyDescent="0.3">
      <c r="A93" t="s">
        <v>2340</v>
      </c>
    </row>
    <row r="94" spans="1:1" x14ac:dyDescent="0.3">
      <c r="A94" t="s">
        <v>2341</v>
      </c>
    </row>
    <row r="95" spans="1:1" x14ac:dyDescent="0.3">
      <c r="A95" t="s">
        <v>2342</v>
      </c>
    </row>
    <row r="96" spans="1:1" x14ac:dyDescent="0.3">
      <c r="A96" t="s">
        <v>2343</v>
      </c>
    </row>
    <row r="97" spans="1:1" x14ac:dyDescent="0.3">
      <c r="A97" t="s">
        <v>2344</v>
      </c>
    </row>
    <row r="98" spans="1:1" x14ac:dyDescent="0.3">
      <c r="A98" t="s">
        <v>2345</v>
      </c>
    </row>
    <row r="99" spans="1:1" x14ac:dyDescent="0.3">
      <c r="A99" t="s">
        <v>2346</v>
      </c>
    </row>
    <row r="100" spans="1:1" x14ac:dyDescent="0.3">
      <c r="A100" t="s">
        <v>2347</v>
      </c>
    </row>
    <row r="101" spans="1:1" x14ac:dyDescent="0.3">
      <c r="A101" t="s">
        <v>2348</v>
      </c>
    </row>
    <row r="102" spans="1:1" x14ac:dyDescent="0.3">
      <c r="A102" t="s">
        <v>2349</v>
      </c>
    </row>
    <row r="103" spans="1:1" x14ac:dyDescent="0.3">
      <c r="A103" t="s">
        <v>2350</v>
      </c>
    </row>
    <row r="104" spans="1:1" x14ac:dyDescent="0.3">
      <c r="A104" t="s">
        <v>2351</v>
      </c>
    </row>
    <row r="105" spans="1:1" x14ac:dyDescent="0.3">
      <c r="A105" t="s">
        <v>2352</v>
      </c>
    </row>
    <row r="106" spans="1:1" x14ac:dyDescent="0.3">
      <c r="A106" t="s">
        <v>2353</v>
      </c>
    </row>
    <row r="107" spans="1:1" x14ac:dyDescent="0.3">
      <c r="A107" t="s">
        <v>2354</v>
      </c>
    </row>
    <row r="108" spans="1:1" x14ac:dyDescent="0.3">
      <c r="A108" t="s">
        <v>2355</v>
      </c>
    </row>
    <row r="109" spans="1:1" x14ac:dyDescent="0.3">
      <c r="A109" t="s">
        <v>2356</v>
      </c>
    </row>
    <row r="110" spans="1:1" x14ac:dyDescent="0.3">
      <c r="A110" t="s">
        <v>2357</v>
      </c>
    </row>
    <row r="111" spans="1:1" x14ac:dyDescent="0.3">
      <c r="A111" t="s">
        <v>2358</v>
      </c>
    </row>
    <row r="112" spans="1:1" x14ac:dyDescent="0.3">
      <c r="A112" t="s">
        <v>2359</v>
      </c>
    </row>
    <row r="113" spans="1:1" x14ac:dyDescent="0.3">
      <c r="A113" t="s">
        <v>2360</v>
      </c>
    </row>
    <row r="114" spans="1:1" x14ac:dyDescent="0.3">
      <c r="A114" t="s">
        <v>2361</v>
      </c>
    </row>
    <row r="115" spans="1:1" x14ac:dyDescent="0.3">
      <c r="A115" t="s">
        <v>2362</v>
      </c>
    </row>
    <row r="116" spans="1:1" x14ac:dyDescent="0.3">
      <c r="A116" t="s">
        <v>2363</v>
      </c>
    </row>
    <row r="117" spans="1:1" x14ac:dyDescent="0.3">
      <c r="A117" t="s">
        <v>2364</v>
      </c>
    </row>
    <row r="118" spans="1:1" x14ac:dyDescent="0.3">
      <c r="A118" t="s">
        <v>2365</v>
      </c>
    </row>
    <row r="119" spans="1:1" x14ac:dyDescent="0.3">
      <c r="A119" t="s">
        <v>2366</v>
      </c>
    </row>
    <row r="120" spans="1:1" x14ac:dyDescent="0.3">
      <c r="A120" t="s">
        <v>2367</v>
      </c>
    </row>
    <row r="121" spans="1:1" x14ac:dyDescent="0.3">
      <c r="A121" t="s">
        <v>2368</v>
      </c>
    </row>
    <row r="122" spans="1:1" x14ac:dyDescent="0.3">
      <c r="A122" t="s">
        <v>2369</v>
      </c>
    </row>
    <row r="123" spans="1:1" x14ac:dyDescent="0.3">
      <c r="A123" t="s">
        <v>2370</v>
      </c>
    </row>
    <row r="124" spans="1:1" x14ac:dyDescent="0.3">
      <c r="A124" t="s">
        <v>2371</v>
      </c>
    </row>
    <row r="125" spans="1:1" x14ac:dyDescent="0.3">
      <c r="A125" t="s">
        <v>2372</v>
      </c>
    </row>
    <row r="126" spans="1:1" x14ac:dyDescent="0.3">
      <c r="A126" t="s">
        <v>2373</v>
      </c>
    </row>
    <row r="127" spans="1:1" x14ac:dyDescent="0.3">
      <c r="A127" t="s">
        <v>2374</v>
      </c>
    </row>
    <row r="128" spans="1:1" x14ac:dyDescent="0.3">
      <c r="A128" t="s">
        <v>2375</v>
      </c>
    </row>
    <row r="129" spans="1:1" x14ac:dyDescent="0.3">
      <c r="A129" t="s">
        <v>2376</v>
      </c>
    </row>
    <row r="130" spans="1:1" x14ac:dyDescent="0.3">
      <c r="A130" t="s">
        <v>2377</v>
      </c>
    </row>
    <row r="131" spans="1:1" x14ac:dyDescent="0.3">
      <c r="A131" t="s">
        <v>2378</v>
      </c>
    </row>
    <row r="132" spans="1:1" x14ac:dyDescent="0.3">
      <c r="A132" t="s">
        <v>2379</v>
      </c>
    </row>
    <row r="133" spans="1:1" x14ac:dyDescent="0.3">
      <c r="A133" t="s">
        <v>2380</v>
      </c>
    </row>
    <row r="134" spans="1:1" x14ac:dyDescent="0.3">
      <c r="A134" t="s">
        <v>2381</v>
      </c>
    </row>
    <row r="135" spans="1:1" x14ac:dyDescent="0.3">
      <c r="A135" t="s">
        <v>2382</v>
      </c>
    </row>
    <row r="136" spans="1:1" x14ac:dyDescent="0.3">
      <c r="A136" t="s">
        <v>2383</v>
      </c>
    </row>
    <row r="137" spans="1:1" x14ac:dyDescent="0.3">
      <c r="A137" t="s">
        <v>2384</v>
      </c>
    </row>
    <row r="138" spans="1:1" x14ac:dyDescent="0.3">
      <c r="A138" t="s">
        <v>2385</v>
      </c>
    </row>
    <row r="139" spans="1:1" x14ac:dyDescent="0.3">
      <c r="A139" t="s">
        <v>2386</v>
      </c>
    </row>
    <row r="140" spans="1:1" x14ac:dyDescent="0.3">
      <c r="A140" t="s">
        <v>2387</v>
      </c>
    </row>
    <row r="141" spans="1:1" x14ac:dyDescent="0.3">
      <c r="A141" t="s">
        <v>2388</v>
      </c>
    </row>
    <row r="142" spans="1:1" x14ac:dyDescent="0.3">
      <c r="A142" t="s">
        <v>2389</v>
      </c>
    </row>
    <row r="143" spans="1:1" x14ac:dyDescent="0.3">
      <c r="A143" t="s">
        <v>2390</v>
      </c>
    </row>
    <row r="144" spans="1:1" x14ac:dyDescent="0.3">
      <c r="A144" t="s">
        <v>2391</v>
      </c>
    </row>
    <row r="145" spans="1:1" x14ac:dyDescent="0.3">
      <c r="A145" t="s">
        <v>2392</v>
      </c>
    </row>
    <row r="146" spans="1:1" x14ac:dyDescent="0.3">
      <c r="A146" t="s">
        <v>2393</v>
      </c>
    </row>
    <row r="147" spans="1:1" x14ac:dyDescent="0.3">
      <c r="A147" t="s">
        <v>2394</v>
      </c>
    </row>
    <row r="148" spans="1:1" x14ac:dyDescent="0.3">
      <c r="A148" t="s">
        <v>2395</v>
      </c>
    </row>
    <row r="149" spans="1:1" x14ac:dyDescent="0.3">
      <c r="A149" t="s">
        <v>2396</v>
      </c>
    </row>
    <row r="150" spans="1:1" x14ac:dyDescent="0.3">
      <c r="A150" t="s">
        <v>2397</v>
      </c>
    </row>
    <row r="151" spans="1:1" x14ac:dyDescent="0.3">
      <c r="A151" t="s">
        <v>2398</v>
      </c>
    </row>
    <row r="152" spans="1:1" x14ac:dyDescent="0.3">
      <c r="A152" t="s">
        <v>2399</v>
      </c>
    </row>
    <row r="153" spans="1:1" x14ac:dyDescent="0.3">
      <c r="A153" t="s">
        <v>2400</v>
      </c>
    </row>
    <row r="154" spans="1:1" x14ac:dyDescent="0.3">
      <c r="A154" t="s">
        <v>2401</v>
      </c>
    </row>
    <row r="155" spans="1:1" x14ac:dyDescent="0.3">
      <c r="A155" t="s">
        <v>2402</v>
      </c>
    </row>
    <row r="156" spans="1:1" x14ac:dyDescent="0.3">
      <c r="A156" t="s">
        <v>2403</v>
      </c>
    </row>
    <row r="157" spans="1:1" x14ac:dyDescent="0.3">
      <c r="A157" t="s">
        <v>2404</v>
      </c>
    </row>
    <row r="158" spans="1:1" x14ac:dyDescent="0.3">
      <c r="A158" t="s">
        <v>2405</v>
      </c>
    </row>
    <row r="159" spans="1:1" x14ac:dyDescent="0.3">
      <c r="A159" t="s">
        <v>2406</v>
      </c>
    </row>
    <row r="160" spans="1:1" x14ac:dyDescent="0.3">
      <c r="A160" t="s">
        <v>2407</v>
      </c>
    </row>
    <row r="161" spans="1:1" x14ac:dyDescent="0.3">
      <c r="A161" t="s">
        <v>2408</v>
      </c>
    </row>
    <row r="162" spans="1:1" x14ac:dyDescent="0.3">
      <c r="A162" t="s">
        <v>2409</v>
      </c>
    </row>
    <row r="163" spans="1:1" x14ac:dyDescent="0.3">
      <c r="A163" t="s">
        <v>2410</v>
      </c>
    </row>
    <row r="164" spans="1:1" x14ac:dyDescent="0.3">
      <c r="A164" t="s">
        <v>2411</v>
      </c>
    </row>
    <row r="165" spans="1:1" x14ac:dyDescent="0.3">
      <c r="A165" t="s">
        <v>2412</v>
      </c>
    </row>
    <row r="166" spans="1:1" x14ac:dyDescent="0.3">
      <c r="A166" t="s">
        <v>2413</v>
      </c>
    </row>
    <row r="167" spans="1:1" x14ac:dyDescent="0.3">
      <c r="A167" t="s">
        <v>2414</v>
      </c>
    </row>
    <row r="168" spans="1:1" x14ac:dyDescent="0.3">
      <c r="A168" t="s">
        <v>2415</v>
      </c>
    </row>
    <row r="169" spans="1:1" x14ac:dyDescent="0.3">
      <c r="A169" t="s">
        <v>2416</v>
      </c>
    </row>
    <row r="170" spans="1:1" x14ac:dyDescent="0.3">
      <c r="A170" t="s">
        <v>2417</v>
      </c>
    </row>
    <row r="171" spans="1:1" x14ac:dyDescent="0.3">
      <c r="A171" t="s">
        <v>2418</v>
      </c>
    </row>
    <row r="172" spans="1:1" x14ac:dyDescent="0.3">
      <c r="A172" t="s">
        <v>2419</v>
      </c>
    </row>
    <row r="173" spans="1:1" x14ac:dyDescent="0.3">
      <c r="A173" t="s">
        <v>2420</v>
      </c>
    </row>
    <row r="174" spans="1:1" x14ac:dyDescent="0.3">
      <c r="A174" t="s">
        <v>2421</v>
      </c>
    </row>
    <row r="175" spans="1:1" x14ac:dyDescent="0.3">
      <c r="A175" t="s">
        <v>2422</v>
      </c>
    </row>
    <row r="176" spans="1:1" x14ac:dyDescent="0.3">
      <c r="A176" t="s">
        <v>2423</v>
      </c>
    </row>
    <row r="177" spans="1:1" x14ac:dyDescent="0.3">
      <c r="A177" t="s">
        <v>2424</v>
      </c>
    </row>
    <row r="178" spans="1:1" x14ac:dyDescent="0.3">
      <c r="A178" t="s">
        <v>2425</v>
      </c>
    </row>
    <row r="179" spans="1:1" x14ac:dyDescent="0.3">
      <c r="A179" t="s">
        <v>2426</v>
      </c>
    </row>
    <row r="180" spans="1:1" x14ac:dyDescent="0.3">
      <c r="A180" t="s">
        <v>2427</v>
      </c>
    </row>
    <row r="181" spans="1:1" x14ac:dyDescent="0.3">
      <c r="A181" t="s">
        <v>2428</v>
      </c>
    </row>
    <row r="182" spans="1:1" x14ac:dyDescent="0.3">
      <c r="A182" t="s">
        <v>2429</v>
      </c>
    </row>
    <row r="183" spans="1:1" x14ac:dyDescent="0.3">
      <c r="A183" t="s">
        <v>2430</v>
      </c>
    </row>
    <row r="184" spans="1:1" x14ac:dyDescent="0.3">
      <c r="A184" t="s">
        <v>2431</v>
      </c>
    </row>
    <row r="185" spans="1:1" x14ac:dyDescent="0.3">
      <c r="A185" t="s">
        <v>2432</v>
      </c>
    </row>
    <row r="186" spans="1:1" x14ac:dyDescent="0.3">
      <c r="A186" t="s">
        <v>2433</v>
      </c>
    </row>
    <row r="187" spans="1:1" x14ac:dyDescent="0.3">
      <c r="A187" t="s">
        <v>2434</v>
      </c>
    </row>
    <row r="188" spans="1:1" x14ac:dyDescent="0.3">
      <c r="A188" t="s">
        <v>2435</v>
      </c>
    </row>
    <row r="189" spans="1:1" x14ac:dyDescent="0.3">
      <c r="A189" t="s">
        <v>2436</v>
      </c>
    </row>
    <row r="190" spans="1:1" x14ac:dyDescent="0.3">
      <c r="A190" t="s">
        <v>2437</v>
      </c>
    </row>
    <row r="191" spans="1:1" x14ac:dyDescent="0.3">
      <c r="A191" t="s">
        <v>2438</v>
      </c>
    </row>
    <row r="192" spans="1:1" x14ac:dyDescent="0.3">
      <c r="A192" t="s">
        <v>2439</v>
      </c>
    </row>
    <row r="193" spans="1:1" x14ac:dyDescent="0.3">
      <c r="A193" t="s">
        <v>2440</v>
      </c>
    </row>
    <row r="194" spans="1:1" x14ac:dyDescent="0.3">
      <c r="A194" t="s">
        <v>2441</v>
      </c>
    </row>
    <row r="195" spans="1:1" x14ac:dyDescent="0.3">
      <c r="A195" t="s">
        <v>2442</v>
      </c>
    </row>
    <row r="196" spans="1:1" x14ac:dyDescent="0.3">
      <c r="A196" t="s">
        <v>2443</v>
      </c>
    </row>
    <row r="197" spans="1:1" x14ac:dyDescent="0.3">
      <c r="A197" t="s">
        <v>2444</v>
      </c>
    </row>
    <row r="198" spans="1:1" x14ac:dyDescent="0.3">
      <c r="A198" t="s">
        <v>2445</v>
      </c>
    </row>
    <row r="199" spans="1:1" x14ac:dyDescent="0.3">
      <c r="A199" t="s">
        <v>2446</v>
      </c>
    </row>
    <row r="200" spans="1:1" x14ac:dyDescent="0.3">
      <c r="A200" t="s">
        <v>2447</v>
      </c>
    </row>
    <row r="201" spans="1:1" x14ac:dyDescent="0.3">
      <c r="A201" t="s">
        <v>2448</v>
      </c>
    </row>
    <row r="202" spans="1:1" x14ac:dyDescent="0.3">
      <c r="A202" t="s">
        <v>2449</v>
      </c>
    </row>
    <row r="203" spans="1:1" x14ac:dyDescent="0.3">
      <c r="A203" t="s">
        <v>2450</v>
      </c>
    </row>
    <row r="204" spans="1:1" x14ac:dyDescent="0.3">
      <c r="A204" t="s">
        <v>2451</v>
      </c>
    </row>
    <row r="205" spans="1:1" x14ac:dyDescent="0.3">
      <c r="A205" t="s">
        <v>2452</v>
      </c>
    </row>
    <row r="206" spans="1:1" x14ac:dyDescent="0.3">
      <c r="A206" t="s">
        <v>2453</v>
      </c>
    </row>
    <row r="207" spans="1:1" x14ac:dyDescent="0.3">
      <c r="A207" t="s">
        <v>2454</v>
      </c>
    </row>
    <row r="208" spans="1:1" x14ac:dyDescent="0.3">
      <c r="A208" t="s">
        <v>2455</v>
      </c>
    </row>
    <row r="209" spans="1:1" x14ac:dyDescent="0.3">
      <c r="A209" t="s">
        <v>2456</v>
      </c>
    </row>
    <row r="210" spans="1:1" x14ac:dyDescent="0.3">
      <c r="A210" t="s">
        <v>2457</v>
      </c>
    </row>
    <row r="211" spans="1:1" x14ac:dyDescent="0.3">
      <c r="A211" t="s">
        <v>2458</v>
      </c>
    </row>
    <row r="212" spans="1:1" x14ac:dyDescent="0.3">
      <c r="A212" t="s">
        <v>2459</v>
      </c>
    </row>
    <row r="213" spans="1:1" x14ac:dyDescent="0.3">
      <c r="A213" t="s">
        <v>2460</v>
      </c>
    </row>
    <row r="214" spans="1:1" x14ac:dyDescent="0.3">
      <c r="A214" t="s">
        <v>2461</v>
      </c>
    </row>
    <row r="215" spans="1:1" x14ac:dyDescent="0.3">
      <c r="A215" t="s">
        <v>2462</v>
      </c>
    </row>
    <row r="216" spans="1:1" x14ac:dyDescent="0.3">
      <c r="A216" t="s">
        <v>2463</v>
      </c>
    </row>
    <row r="217" spans="1:1" x14ac:dyDescent="0.3">
      <c r="A217" t="s">
        <v>2464</v>
      </c>
    </row>
    <row r="218" spans="1:1" x14ac:dyDescent="0.3">
      <c r="A218" t="s">
        <v>2465</v>
      </c>
    </row>
    <row r="219" spans="1:1" x14ac:dyDescent="0.3">
      <c r="A219" t="s">
        <v>2466</v>
      </c>
    </row>
    <row r="220" spans="1:1" x14ac:dyDescent="0.3">
      <c r="A220" t="s">
        <v>2467</v>
      </c>
    </row>
    <row r="221" spans="1:1" x14ac:dyDescent="0.3">
      <c r="A221" t="s">
        <v>2468</v>
      </c>
    </row>
    <row r="222" spans="1:1" x14ac:dyDescent="0.3">
      <c r="A222" t="s">
        <v>2469</v>
      </c>
    </row>
    <row r="223" spans="1:1" x14ac:dyDescent="0.3">
      <c r="A223" t="s">
        <v>2470</v>
      </c>
    </row>
    <row r="224" spans="1:1" x14ac:dyDescent="0.3">
      <c r="A224" t="s">
        <v>2471</v>
      </c>
    </row>
    <row r="225" spans="1:1" x14ac:dyDescent="0.3">
      <c r="A225" t="s">
        <v>2472</v>
      </c>
    </row>
    <row r="226" spans="1:1" x14ac:dyDescent="0.3">
      <c r="A226" t="s">
        <v>2473</v>
      </c>
    </row>
    <row r="227" spans="1:1" x14ac:dyDescent="0.3">
      <c r="A227" t="s">
        <v>2474</v>
      </c>
    </row>
    <row r="228" spans="1:1" x14ac:dyDescent="0.3">
      <c r="A228" t="s">
        <v>2475</v>
      </c>
    </row>
    <row r="229" spans="1:1" x14ac:dyDescent="0.3">
      <c r="A229" t="s">
        <v>2476</v>
      </c>
    </row>
    <row r="230" spans="1:1" x14ac:dyDescent="0.3">
      <c r="A230" t="s">
        <v>2477</v>
      </c>
    </row>
    <row r="231" spans="1:1" x14ac:dyDescent="0.3">
      <c r="A231" t="s">
        <v>2478</v>
      </c>
    </row>
    <row r="232" spans="1:1" x14ac:dyDescent="0.3">
      <c r="A232" t="s">
        <v>2479</v>
      </c>
    </row>
    <row r="233" spans="1:1" x14ac:dyDescent="0.3">
      <c r="A233" t="s">
        <v>2480</v>
      </c>
    </row>
    <row r="234" spans="1:1" x14ac:dyDescent="0.3">
      <c r="A234" t="s">
        <v>2481</v>
      </c>
    </row>
    <row r="235" spans="1:1" x14ac:dyDescent="0.3">
      <c r="A235" t="s">
        <v>2482</v>
      </c>
    </row>
    <row r="236" spans="1:1" x14ac:dyDescent="0.3">
      <c r="A236" t="s">
        <v>2483</v>
      </c>
    </row>
    <row r="237" spans="1:1" x14ac:dyDescent="0.3">
      <c r="A237" t="s">
        <v>2484</v>
      </c>
    </row>
    <row r="238" spans="1:1" x14ac:dyDescent="0.3">
      <c r="A238" t="s">
        <v>2485</v>
      </c>
    </row>
    <row r="239" spans="1:1" x14ac:dyDescent="0.3">
      <c r="A239" t="s">
        <v>2486</v>
      </c>
    </row>
    <row r="240" spans="1:1" x14ac:dyDescent="0.3">
      <c r="A240" t="s">
        <v>2487</v>
      </c>
    </row>
    <row r="241" spans="1:1" x14ac:dyDescent="0.3">
      <c r="A241" t="s">
        <v>2488</v>
      </c>
    </row>
    <row r="242" spans="1:1" x14ac:dyDescent="0.3">
      <c r="A242" t="s">
        <v>2489</v>
      </c>
    </row>
    <row r="243" spans="1:1" x14ac:dyDescent="0.3">
      <c r="A243" t="s">
        <v>2490</v>
      </c>
    </row>
    <row r="244" spans="1:1" x14ac:dyDescent="0.3">
      <c r="A244" t="s">
        <v>2491</v>
      </c>
    </row>
    <row r="245" spans="1:1" x14ac:dyDescent="0.3">
      <c r="A245" t="s">
        <v>2492</v>
      </c>
    </row>
    <row r="246" spans="1:1" x14ac:dyDescent="0.3">
      <c r="A246" t="s">
        <v>2493</v>
      </c>
    </row>
    <row r="247" spans="1:1" x14ac:dyDescent="0.3">
      <c r="A247" t="s">
        <v>2494</v>
      </c>
    </row>
    <row r="248" spans="1:1" x14ac:dyDescent="0.3">
      <c r="A248" t="s">
        <v>2495</v>
      </c>
    </row>
    <row r="249" spans="1:1" x14ac:dyDescent="0.3">
      <c r="A249" t="s">
        <v>2496</v>
      </c>
    </row>
    <row r="250" spans="1:1" x14ac:dyDescent="0.3">
      <c r="A250" t="s">
        <v>2497</v>
      </c>
    </row>
    <row r="251" spans="1:1" x14ac:dyDescent="0.3">
      <c r="A251" t="s">
        <v>2498</v>
      </c>
    </row>
    <row r="252" spans="1:1" x14ac:dyDescent="0.3">
      <c r="A252" t="s">
        <v>2499</v>
      </c>
    </row>
    <row r="253" spans="1:1" x14ac:dyDescent="0.3">
      <c r="A253" t="s">
        <v>2500</v>
      </c>
    </row>
    <row r="254" spans="1:1" x14ac:dyDescent="0.3">
      <c r="A254" t="s">
        <v>2501</v>
      </c>
    </row>
    <row r="255" spans="1:1" x14ac:dyDescent="0.3">
      <c r="A255" t="s">
        <v>2502</v>
      </c>
    </row>
    <row r="256" spans="1:1" x14ac:dyDescent="0.3">
      <c r="A256" t="s">
        <v>2503</v>
      </c>
    </row>
    <row r="257" spans="1:1" x14ac:dyDescent="0.3">
      <c r="A257" t="s">
        <v>2504</v>
      </c>
    </row>
    <row r="258" spans="1:1" x14ac:dyDescent="0.3">
      <c r="A258" t="s">
        <v>2505</v>
      </c>
    </row>
    <row r="259" spans="1:1" x14ac:dyDescent="0.3">
      <c r="A259" t="s">
        <v>2506</v>
      </c>
    </row>
    <row r="260" spans="1:1" x14ac:dyDescent="0.3">
      <c r="A260" t="s">
        <v>2507</v>
      </c>
    </row>
    <row r="261" spans="1:1" x14ac:dyDescent="0.3">
      <c r="A261" t="s">
        <v>2508</v>
      </c>
    </row>
    <row r="262" spans="1:1" x14ac:dyDescent="0.3">
      <c r="A262" t="s">
        <v>2509</v>
      </c>
    </row>
    <row r="263" spans="1:1" x14ac:dyDescent="0.3">
      <c r="A263" t="s">
        <v>2510</v>
      </c>
    </row>
    <row r="264" spans="1:1" x14ac:dyDescent="0.3">
      <c r="A264" t="s">
        <v>2511</v>
      </c>
    </row>
    <row r="265" spans="1:1" x14ac:dyDescent="0.3">
      <c r="A265" t="s">
        <v>2512</v>
      </c>
    </row>
    <row r="266" spans="1:1" x14ac:dyDescent="0.3">
      <c r="A266" t="s">
        <v>2513</v>
      </c>
    </row>
    <row r="267" spans="1:1" x14ac:dyDescent="0.3">
      <c r="A267" t="s">
        <v>2514</v>
      </c>
    </row>
    <row r="268" spans="1:1" x14ac:dyDescent="0.3">
      <c r="A268" t="s">
        <v>2515</v>
      </c>
    </row>
    <row r="269" spans="1:1" x14ac:dyDescent="0.3">
      <c r="A269" t="s">
        <v>2516</v>
      </c>
    </row>
    <row r="270" spans="1:1" x14ac:dyDescent="0.3">
      <c r="A270" t="s">
        <v>2517</v>
      </c>
    </row>
    <row r="271" spans="1:1" x14ac:dyDescent="0.3">
      <c r="A271" t="s">
        <v>2518</v>
      </c>
    </row>
    <row r="272" spans="1:1" x14ac:dyDescent="0.3">
      <c r="A272" t="s">
        <v>2519</v>
      </c>
    </row>
    <row r="273" spans="1:1" x14ac:dyDescent="0.3">
      <c r="A273" t="s">
        <v>2520</v>
      </c>
    </row>
    <row r="274" spans="1:1" x14ac:dyDescent="0.3">
      <c r="A274" t="s">
        <v>2521</v>
      </c>
    </row>
    <row r="275" spans="1:1" x14ac:dyDescent="0.3">
      <c r="A275" t="s">
        <v>2522</v>
      </c>
    </row>
    <row r="276" spans="1:1" x14ac:dyDescent="0.3">
      <c r="A276" t="s">
        <v>2523</v>
      </c>
    </row>
    <row r="277" spans="1:1" x14ac:dyDescent="0.3">
      <c r="A277" t="s">
        <v>2524</v>
      </c>
    </row>
    <row r="278" spans="1:1" x14ac:dyDescent="0.3">
      <c r="A278" t="s">
        <v>2525</v>
      </c>
    </row>
    <row r="279" spans="1:1" x14ac:dyDescent="0.3">
      <c r="A279" t="s">
        <v>2526</v>
      </c>
    </row>
    <row r="280" spans="1:1" x14ac:dyDescent="0.3">
      <c r="A280" t="s">
        <v>2527</v>
      </c>
    </row>
    <row r="281" spans="1:1" x14ac:dyDescent="0.3">
      <c r="A281" t="s">
        <v>2528</v>
      </c>
    </row>
    <row r="282" spans="1:1" x14ac:dyDescent="0.3">
      <c r="A282" t="s">
        <v>2529</v>
      </c>
    </row>
    <row r="283" spans="1:1" x14ac:dyDescent="0.3">
      <c r="A283" t="s">
        <v>2530</v>
      </c>
    </row>
    <row r="284" spans="1:1" x14ac:dyDescent="0.3">
      <c r="A284" t="s">
        <v>2531</v>
      </c>
    </row>
    <row r="285" spans="1:1" x14ac:dyDescent="0.3">
      <c r="A285" t="s">
        <v>2532</v>
      </c>
    </row>
    <row r="286" spans="1:1" x14ac:dyDescent="0.3">
      <c r="A286" t="s">
        <v>2533</v>
      </c>
    </row>
    <row r="287" spans="1:1" x14ac:dyDescent="0.3">
      <c r="A287" t="s">
        <v>2534</v>
      </c>
    </row>
    <row r="288" spans="1:1" x14ac:dyDescent="0.3">
      <c r="A288" t="s">
        <v>2535</v>
      </c>
    </row>
    <row r="289" spans="1:1" x14ac:dyDescent="0.3">
      <c r="A289" t="s">
        <v>2536</v>
      </c>
    </row>
    <row r="290" spans="1:1" x14ac:dyDescent="0.3">
      <c r="A290" t="s">
        <v>2537</v>
      </c>
    </row>
    <row r="291" spans="1:1" x14ac:dyDescent="0.3">
      <c r="A291" t="s">
        <v>2538</v>
      </c>
    </row>
    <row r="292" spans="1:1" x14ac:dyDescent="0.3">
      <c r="A292" t="s">
        <v>2539</v>
      </c>
    </row>
    <row r="293" spans="1:1" x14ac:dyDescent="0.3">
      <c r="A293" t="s">
        <v>2540</v>
      </c>
    </row>
    <row r="294" spans="1:1" x14ac:dyDescent="0.3">
      <c r="A294" t="s">
        <v>2541</v>
      </c>
    </row>
    <row r="295" spans="1:1" x14ac:dyDescent="0.3">
      <c r="A295" t="s">
        <v>2542</v>
      </c>
    </row>
    <row r="296" spans="1:1" x14ac:dyDescent="0.3">
      <c r="A296" t="s">
        <v>2543</v>
      </c>
    </row>
    <row r="297" spans="1:1" x14ac:dyDescent="0.3">
      <c r="A297" t="s">
        <v>2544</v>
      </c>
    </row>
    <row r="298" spans="1:1" x14ac:dyDescent="0.3">
      <c r="A298" t="s">
        <v>2545</v>
      </c>
    </row>
    <row r="299" spans="1:1" x14ac:dyDescent="0.3">
      <c r="A299" t="s">
        <v>2546</v>
      </c>
    </row>
    <row r="300" spans="1:1" x14ac:dyDescent="0.3">
      <c r="A300" t="s">
        <v>2547</v>
      </c>
    </row>
    <row r="301" spans="1:1" x14ac:dyDescent="0.3">
      <c r="A301" t="s">
        <v>2548</v>
      </c>
    </row>
    <row r="302" spans="1:1" x14ac:dyDescent="0.3">
      <c r="A302" t="s">
        <v>2549</v>
      </c>
    </row>
    <row r="303" spans="1:1" x14ac:dyDescent="0.3">
      <c r="A303" t="s">
        <v>2550</v>
      </c>
    </row>
    <row r="304" spans="1:1" x14ac:dyDescent="0.3">
      <c r="A304" t="s">
        <v>2551</v>
      </c>
    </row>
    <row r="305" spans="1:1" x14ac:dyDescent="0.3">
      <c r="A305" t="s">
        <v>2552</v>
      </c>
    </row>
    <row r="306" spans="1:1" x14ac:dyDescent="0.3">
      <c r="A306" t="s">
        <v>2553</v>
      </c>
    </row>
    <row r="307" spans="1:1" x14ac:dyDescent="0.3">
      <c r="A307" t="s">
        <v>2554</v>
      </c>
    </row>
    <row r="308" spans="1:1" x14ac:dyDescent="0.3">
      <c r="A308" t="s">
        <v>2555</v>
      </c>
    </row>
    <row r="309" spans="1:1" x14ac:dyDescent="0.3">
      <c r="A309" t="s">
        <v>2556</v>
      </c>
    </row>
    <row r="310" spans="1:1" x14ac:dyDescent="0.3">
      <c r="A310" t="s">
        <v>2557</v>
      </c>
    </row>
    <row r="311" spans="1:1" x14ac:dyDescent="0.3">
      <c r="A311" t="s">
        <v>2558</v>
      </c>
    </row>
    <row r="312" spans="1:1" x14ac:dyDescent="0.3">
      <c r="A312" t="s">
        <v>2559</v>
      </c>
    </row>
    <row r="313" spans="1:1" x14ac:dyDescent="0.3">
      <c r="A313" t="s">
        <v>2560</v>
      </c>
    </row>
    <row r="314" spans="1:1" x14ac:dyDescent="0.3">
      <c r="A314" t="s">
        <v>2561</v>
      </c>
    </row>
    <row r="315" spans="1:1" x14ac:dyDescent="0.3">
      <c r="A315" t="s">
        <v>2562</v>
      </c>
    </row>
    <row r="316" spans="1:1" x14ac:dyDescent="0.3">
      <c r="A316" t="s">
        <v>2563</v>
      </c>
    </row>
    <row r="317" spans="1:1" x14ac:dyDescent="0.3">
      <c r="A317" t="s">
        <v>2564</v>
      </c>
    </row>
    <row r="318" spans="1:1" x14ac:dyDescent="0.3">
      <c r="A318" t="s">
        <v>2565</v>
      </c>
    </row>
    <row r="319" spans="1:1" x14ac:dyDescent="0.3">
      <c r="A319" t="s">
        <v>2566</v>
      </c>
    </row>
    <row r="320" spans="1:1" x14ac:dyDescent="0.3">
      <c r="A320" t="s">
        <v>2567</v>
      </c>
    </row>
    <row r="321" spans="1:1" x14ac:dyDescent="0.3">
      <c r="A321" t="s">
        <v>2568</v>
      </c>
    </row>
    <row r="322" spans="1:1" x14ac:dyDescent="0.3">
      <c r="A322" t="s">
        <v>2569</v>
      </c>
    </row>
    <row r="323" spans="1:1" x14ac:dyDescent="0.3">
      <c r="A323" t="s">
        <v>2570</v>
      </c>
    </row>
    <row r="324" spans="1:1" x14ac:dyDescent="0.3">
      <c r="A324" t="s">
        <v>2571</v>
      </c>
    </row>
    <row r="325" spans="1:1" x14ac:dyDescent="0.3">
      <c r="A325" t="s">
        <v>2572</v>
      </c>
    </row>
    <row r="326" spans="1:1" x14ac:dyDescent="0.3">
      <c r="A326" t="s">
        <v>2573</v>
      </c>
    </row>
    <row r="327" spans="1:1" x14ac:dyDescent="0.3">
      <c r="A327" t="s">
        <v>2574</v>
      </c>
    </row>
    <row r="328" spans="1:1" x14ac:dyDescent="0.3">
      <c r="A328" t="s">
        <v>2575</v>
      </c>
    </row>
    <row r="329" spans="1:1" x14ac:dyDescent="0.3">
      <c r="A329" t="s">
        <v>2576</v>
      </c>
    </row>
    <row r="330" spans="1:1" x14ac:dyDescent="0.3">
      <c r="A330" t="s">
        <v>2577</v>
      </c>
    </row>
    <row r="331" spans="1:1" x14ac:dyDescent="0.3">
      <c r="A331" t="s">
        <v>2578</v>
      </c>
    </row>
    <row r="332" spans="1:1" x14ac:dyDescent="0.3">
      <c r="A332" t="s">
        <v>2579</v>
      </c>
    </row>
    <row r="333" spans="1:1" x14ac:dyDescent="0.3">
      <c r="A333" t="s">
        <v>2580</v>
      </c>
    </row>
    <row r="334" spans="1:1" x14ac:dyDescent="0.3">
      <c r="A334" t="s">
        <v>2581</v>
      </c>
    </row>
    <row r="335" spans="1:1" x14ac:dyDescent="0.3">
      <c r="A335" t="s">
        <v>2582</v>
      </c>
    </row>
    <row r="336" spans="1:1" x14ac:dyDescent="0.3">
      <c r="A336" t="s">
        <v>2583</v>
      </c>
    </row>
    <row r="337" spans="1:1" x14ac:dyDescent="0.3">
      <c r="A337" t="s">
        <v>2584</v>
      </c>
    </row>
    <row r="338" spans="1:1" x14ac:dyDescent="0.3">
      <c r="A338" t="s">
        <v>2585</v>
      </c>
    </row>
    <row r="339" spans="1:1" x14ac:dyDescent="0.3">
      <c r="A339" t="s">
        <v>2586</v>
      </c>
    </row>
    <row r="340" spans="1:1" x14ac:dyDescent="0.3">
      <c r="A340" t="s">
        <v>2587</v>
      </c>
    </row>
    <row r="341" spans="1:1" x14ac:dyDescent="0.3">
      <c r="A341" t="s">
        <v>2588</v>
      </c>
    </row>
    <row r="342" spans="1:1" x14ac:dyDescent="0.3">
      <c r="A342" t="s">
        <v>2589</v>
      </c>
    </row>
    <row r="343" spans="1:1" x14ac:dyDescent="0.3">
      <c r="A343" t="s">
        <v>2590</v>
      </c>
    </row>
    <row r="344" spans="1:1" x14ac:dyDescent="0.3">
      <c r="A344" t="s">
        <v>2591</v>
      </c>
    </row>
    <row r="345" spans="1:1" x14ac:dyDescent="0.3">
      <c r="A345" t="s">
        <v>2592</v>
      </c>
    </row>
    <row r="346" spans="1:1" x14ac:dyDescent="0.3">
      <c r="A346" t="s">
        <v>2593</v>
      </c>
    </row>
    <row r="347" spans="1:1" x14ac:dyDescent="0.3">
      <c r="A347" t="s">
        <v>2594</v>
      </c>
    </row>
    <row r="348" spans="1:1" x14ac:dyDescent="0.3">
      <c r="A348" t="s">
        <v>2595</v>
      </c>
    </row>
    <row r="349" spans="1:1" x14ac:dyDescent="0.3">
      <c r="A349" t="s">
        <v>2596</v>
      </c>
    </row>
    <row r="350" spans="1:1" x14ac:dyDescent="0.3">
      <c r="A350" t="s">
        <v>2597</v>
      </c>
    </row>
    <row r="351" spans="1:1" x14ac:dyDescent="0.3">
      <c r="A351" t="s">
        <v>2598</v>
      </c>
    </row>
    <row r="352" spans="1:1" x14ac:dyDescent="0.3">
      <c r="A352" t="s">
        <v>2599</v>
      </c>
    </row>
    <row r="353" spans="1:1" x14ac:dyDescent="0.3">
      <c r="A353" t="s">
        <v>2600</v>
      </c>
    </row>
    <row r="354" spans="1:1" x14ac:dyDescent="0.3">
      <c r="A354" t="s">
        <v>2601</v>
      </c>
    </row>
    <row r="355" spans="1:1" x14ac:dyDescent="0.3">
      <c r="A355" t="s">
        <v>2602</v>
      </c>
    </row>
    <row r="356" spans="1:1" x14ac:dyDescent="0.3">
      <c r="A356" t="s">
        <v>2603</v>
      </c>
    </row>
    <row r="357" spans="1:1" x14ac:dyDescent="0.3">
      <c r="A357" t="s">
        <v>2604</v>
      </c>
    </row>
    <row r="358" spans="1:1" x14ac:dyDescent="0.3">
      <c r="A358" t="s">
        <v>2605</v>
      </c>
    </row>
    <row r="359" spans="1:1" x14ac:dyDescent="0.3">
      <c r="A359" t="s">
        <v>2606</v>
      </c>
    </row>
    <row r="360" spans="1:1" x14ac:dyDescent="0.3">
      <c r="A360" t="s">
        <v>2607</v>
      </c>
    </row>
    <row r="361" spans="1:1" x14ac:dyDescent="0.3">
      <c r="A361" t="s">
        <v>2608</v>
      </c>
    </row>
    <row r="362" spans="1:1" x14ac:dyDescent="0.3">
      <c r="A362" t="s">
        <v>2609</v>
      </c>
    </row>
    <row r="363" spans="1:1" x14ac:dyDescent="0.3">
      <c r="A363" t="s">
        <v>2610</v>
      </c>
    </row>
    <row r="364" spans="1:1" x14ac:dyDescent="0.3">
      <c r="A364" t="s">
        <v>2611</v>
      </c>
    </row>
    <row r="365" spans="1:1" x14ac:dyDescent="0.3">
      <c r="A365" t="s">
        <v>2612</v>
      </c>
    </row>
    <row r="366" spans="1:1" x14ac:dyDescent="0.3">
      <c r="A366" t="s">
        <v>2613</v>
      </c>
    </row>
    <row r="367" spans="1:1" x14ac:dyDescent="0.3">
      <c r="A367" t="s">
        <v>2614</v>
      </c>
    </row>
    <row r="368" spans="1:1" x14ac:dyDescent="0.3">
      <c r="A368" t="s">
        <v>2615</v>
      </c>
    </row>
    <row r="369" spans="1:1" x14ac:dyDescent="0.3">
      <c r="A369" t="s">
        <v>2616</v>
      </c>
    </row>
    <row r="370" spans="1:1" x14ac:dyDescent="0.3">
      <c r="A370" t="s">
        <v>2617</v>
      </c>
    </row>
    <row r="371" spans="1:1" x14ac:dyDescent="0.3">
      <c r="A371" t="s">
        <v>2618</v>
      </c>
    </row>
    <row r="372" spans="1:1" x14ac:dyDescent="0.3">
      <c r="A372" t="s">
        <v>2619</v>
      </c>
    </row>
    <row r="373" spans="1:1" x14ac:dyDescent="0.3">
      <c r="A373" t="s">
        <v>2620</v>
      </c>
    </row>
    <row r="374" spans="1:1" x14ac:dyDescent="0.3">
      <c r="A374" t="s">
        <v>2621</v>
      </c>
    </row>
    <row r="375" spans="1:1" x14ac:dyDescent="0.3">
      <c r="A375" t="s">
        <v>2622</v>
      </c>
    </row>
    <row r="376" spans="1:1" x14ac:dyDescent="0.3">
      <c r="A376" t="s">
        <v>2623</v>
      </c>
    </row>
    <row r="377" spans="1:1" x14ac:dyDescent="0.3">
      <c r="A377" t="s">
        <v>2624</v>
      </c>
    </row>
    <row r="378" spans="1:1" x14ac:dyDescent="0.3">
      <c r="A378" t="s">
        <v>2625</v>
      </c>
    </row>
    <row r="379" spans="1:1" x14ac:dyDescent="0.3">
      <c r="A379" t="s">
        <v>2626</v>
      </c>
    </row>
    <row r="380" spans="1:1" x14ac:dyDescent="0.3">
      <c r="A380" t="s">
        <v>2627</v>
      </c>
    </row>
    <row r="381" spans="1:1" x14ac:dyDescent="0.3">
      <c r="A381" t="s">
        <v>2628</v>
      </c>
    </row>
    <row r="382" spans="1:1" x14ac:dyDescent="0.3">
      <c r="A382" t="s">
        <v>2629</v>
      </c>
    </row>
    <row r="383" spans="1:1" x14ac:dyDescent="0.3">
      <c r="A383" t="s">
        <v>2630</v>
      </c>
    </row>
    <row r="384" spans="1:1" x14ac:dyDescent="0.3">
      <c r="A384" t="s">
        <v>2631</v>
      </c>
    </row>
    <row r="385" spans="1:1" x14ac:dyDescent="0.3">
      <c r="A385" t="s">
        <v>2632</v>
      </c>
    </row>
    <row r="386" spans="1:1" x14ac:dyDescent="0.3">
      <c r="A386" t="s">
        <v>2633</v>
      </c>
    </row>
    <row r="387" spans="1:1" x14ac:dyDescent="0.3">
      <c r="A387" t="s">
        <v>2634</v>
      </c>
    </row>
    <row r="388" spans="1:1" x14ac:dyDescent="0.3">
      <c r="A388" t="s">
        <v>2635</v>
      </c>
    </row>
    <row r="389" spans="1:1" x14ac:dyDescent="0.3">
      <c r="A389" t="s">
        <v>2636</v>
      </c>
    </row>
    <row r="390" spans="1:1" x14ac:dyDescent="0.3">
      <c r="A390" t="s">
        <v>2637</v>
      </c>
    </row>
    <row r="391" spans="1:1" x14ac:dyDescent="0.3">
      <c r="A391" t="s">
        <v>2638</v>
      </c>
    </row>
    <row r="392" spans="1:1" x14ac:dyDescent="0.3">
      <c r="A392" t="s">
        <v>2639</v>
      </c>
    </row>
    <row r="393" spans="1:1" x14ac:dyDescent="0.3">
      <c r="A393" t="s">
        <v>2640</v>
      </c>
    </row>
    <row r="394" spans="1:1" x14ac:dyDescent="0.3">
      <c r="A394" t="s">
        <v>2641</v>
      </c>
    </row>
    <row r="395" spans="1:1" x14ac:dyDescent="0.3">
      <c r="A395" t="s">
        <v>2642</v>
      </c>
    </row>
    <row r="396" spans="1:1" x14ac:dyDescent="0.3">
      <c r="A396" t="s">
        <v>2643</v>
      </c>
    </row>
    <row r="397" spans="1:1" x14ac:dyDescent="0.3">
      <c r="A397" t="s">
        <v>2644</v>
      </c>
    </row>
    <row r="398" spans="1:1" x14ac:dyDescent="0.3">
      <c r="A398" t="s">
        <v>2645</v>
      </c>
    </row>
    <row r="399" spans="1:1" x14ac:dyDescent="0.3">
      <c r="A399" t="s">
        <v>2646</v>
      </c>
    </row>
    <row r="400" spans="1:1" x14ac:dyDescent="0.3">
      <c r="A400" t="s">
        <v>2647</v>
      </c>
    </row>
    <row r="401" spans="1:1" x14ac:dyDescent="0.3">
      <c r="A401" t="s">
        <v>2648</v>
      </c>
    </row>
    <row r="402" spans="1:1" x14ac:dyDescent="0.3">
      <c r="A402" t="s">
        <v>2649</v>
      </c>
    </row>
    <row r="403" spans="1:1" x14ac:dyDescent="0.3">
      <c r="A403" t="s">
        <v>2650</v>
      </c>
    </row>
    <row r="404" spans="1:1" x14ac:dyDescent="0.3">
      <c r="A404" t="s">
        <v>2651</v>
      </c>
    </row>
    <row r="405" spans="1:1" x14ac:dyDescent="0.3">
      <c r="A405" t="s">
        <v>2652</v>
      </c>
    </row>
    <row r="406" spans="1:1" x14ac:dyDescent="0.3">
      <c r="A406" t="s">
        <v>2653</v>
      </c>
    </row>
    <row r="407" spans="1:1" x14ac:dyDescent="0.3">
      <c r="A407" t="s">
        <v>2654</v>
      </c>
    </row>
    <row r="408" spans="1:1" x14ac:dyDescent="0.3">
      <c r="A408" t="s">
        <v>2655</v>
      </c>
    </row>
    <row r="409" spans="1:1" x14ac:dyDescent="0.3">
      <c r="A409" t="s">
        <v>2656</v>
      </c>
    </row>
    <row r="410" spans="1:1" x14ac:dyDescent="0.3">
      <c r="A410" t="s">
        <v>2657</v>
      </c>
    </row>
    <row r="411" spans="1:1" x14ac:dyDescent="0.3">
      <c r="A411" t="s">
        <v>2658</v>
      </c>
    </row>
    <row r="412" spans="1:1" x14ac:dyDescent="0.3">
      <c r="A412" t="s">
        <v>2659</v>
      </c>
    </row>
    <row r="413" spans="1:1" x14ac:dyDescent="0.3">
      <c r="A413" t="s">
        <v>2660</v>
      </c>
    </row>
    <row r="414" spans="1:1" x14ac:dyDescent="0.3">
      <c r="A414" t="s">
        <v>2661</v>
      </c>
    </row>
    <row r="415" spans="1:1" x14ac:dyDescent="0.3">
      <c r="A415" t="s">
        <v>2662</v>
      </c>
    </row>
    <row r="416" spans="1:1" x14ac:dyDescent="0.3">
      <c r="A416" t="s">
        <v>2663</v>
      </c>
    </row>
    <row r="417" spans="1:1" x14ac:dyDescent="0.3">
      <c r="A417" t="s">
        <v>2664</v>
      </c>
    </row>
    <row r="418" spans="1:1" x14ac:dyDescent="0.3">
      <c r="A418" t="s">
        <v>2665</v>
      </c>
    </row>
    <row r="419" spans="1:1" x14ac:dyDescent="0.3">
      <c r="A419" t="s">
        <v>2666</v>
      </c>
    </row>
    <row r="420" spans="1:1" x14ac:dyDescent="0.3">
      <c r="A420" t="s">
        <v>2667</v>
      </c>
    </row>
    <row r="421" spans="1:1" x14ac:dyDescent="0.3">
      <c r="A421" t="s">
        <v>2668</v>
      </c>
    </row>
    <row r="422" spans="1:1" x14ac:dyDescent="0.3">
      <c r="A422" t="s">
        <v>2669</v>
      </c>
    </row>
    <row r="423" spans="1:1" x14ac:dyDescent="0.3">
      <c r="A423" t="s">
        <v>2670</v>
      </c>
    </row>
    <row r="424" spans="1:1" x14ac:dyDescent="0.3">
      <c r="A424" t="s">
        <v>2671</v>
      </c>
    </row>
    <row r="425" spans="1:1" x14ac:dyDescent="0.3">
      <c r="A425" t="s">
        <v>2672</v>
      </c>
    </row>
    <row r="426" spans="1:1" x14ac:dyDescent="0.3">
      <c r="A426" t="s">
        <v>2673</v>
      </c>
    </row>
    <row r="427" spans="1:1" x14ac:dyDescent="0.3">
      <c r="A427" t="s">
        <v>2674</v>
      </c>
    </row>
    <row r="428" spans="1:1" x14ac:dyDescent="0.3">
      <c r="A428" t="s">
        <v>2675</v>
      </c>
    </row>
    <row r="429" spans="1:1" x14ac:dyDescent="0.3">
      <c r="A429" t="s">
        <v>2676</v>
      </c>
    </row>
    <row r="430" spans="1:1" x14ac:dyDescent="0.3">
      <c r="A430" t="s">
        <v>2677</v>
      </c>
    </row>
    <row r="431" spans="1:1" x14ac:dyDescent="0.3">
      <c r="A431" t="s">
        <v>2678</v>
      </c>
    </row>
    <row r="432" spans="1:1" x14ac:dyDescent="0.3">
      <c r="A432" t="s">
        <v>2679</v>
      </c>
    </row>
    <row r="433" spans="1:1" x14ac:dyDescent="0.3">
      <c r="A433" t="s">
        <v>2680</v>
      </c>
    </row>
    <row r="434" spans="1:1" x14ac:dyDescent="0.3">
      <c r="A434" t="s">
        <v>2681</v>
      </c>
    </row>
    <row r="435" spans="1:1" x14ac:dyDescent="0.3">
      <c r="A435" t="s">
        <v>2682</v>
      </c>
    </row>
    <row r="436" spans="1:1" x14ac:dyDescent="0.3">
      <c r="A436" t="s">
        <v>2683</v>
      </c>
    </row>
    <row r="437" spans="1:1" x14ac:dyDescent="0.3">
      <c r="A437" t="s">
        <v>2684</v>
      </c>
    </row>
    <row r="438" spans="1:1" x14ac:dyDescent="0.3">
      <c r="A438" t="s">
        <v>2685</v>
      </c>
    </row>
    <row r="439" spans="1:1" x14ac:dyDescent="0.3">
      <c r="A439" t="s">
        <v>2686</v>
      </c>
    </row>
    <row r="440" spans="1:1" x14ac:dyDescent="0.3">
      <c r="A440" t="s">
        <v>2687</v>
      </c>
    </row>
    <row r="441" spans="1:1" x14ac:dyDescent="0.3">
      <c r="A441" t="s">
        <v>2688</v>
      </c>
    </row>
    <row r="442" spans="1:1" x14ac:dyDescent="0.3">
      <c r="A442" t="s">
        <v>2689</v>
      </c>
    </row>
    <row r="443" spans="1:1" x14ac:dyDescent="0.3">
      <c r="A443" t="s">
        <v>2690</v>
      </c>
    </row>
    <row r="444" spans="1:1" x14ac:dyDescent="0.3">
      <c r="A444" t="s">
        <v>2691</v>
      </c>
    </row>
    <row r="445" spans="1:1" x14ac:dyDescent="0.3">
      <c r="A445" t="s">
        <v>2692</v>
      </c>
    </row>
    <row r="446" spans="1:1" x14ac:dyDescent="0.3">
      <c r="A446" t="s">
        <v>2693</v>
      </c>
    </row>
    <row r="447" spans="1:1" x14ac:dyDescent="0.3">
      <c r="A447" t="s">
        <v>2694</v>
      </c>
    </row>
    <row r="448" spans="1:1" x14ac:dyDescent="0.3">
      <c r="A448" t="s">
        <v>2695</v>
      </c>
    </row>
    <row r="449" spans="1:1" x14ac:dyDescent="0.3">
      <c r="A449" t="s">
        <v>2696</v>
      </c>
    </row>
    <row r="450" spans="1:1" x14ac:dyDescent="0.3">
      <c r="A450" t="s">
        <v>2697</v>
      </c>
    </row>
    <row r="451" spans="1:1" x14ac:dyDescent="0.3">
      <c r="A451" t="s">
        <v>2698</v>
      </c>
    </row>
    <row r="452" spans="1:1" x14ac:dyDescent="0.3">
      <c r="A452" t="s">
        <v>2699</v>
      </c>
    </row>
    <row r="453" spans="1:1" x14ac:dyDescent="0.3">
      <c r="A453" t="s">
        <v>2700</v>
      </c>
    </row>
    <row r="454" spans="1:1" x14ac:dyDescent="0.3">
      <c r="A454" t="s">
        <v>2701</v>
      </c>
    </row>
    <row r="455" spans="1:1" x14ac:dyDescent="0.3">
      <c r="A455" t="s">
        <v>2702</v>
      </c>
    </row>
    <row r="456" spans="1:1" x14ac:dyDescent="0.3">
      <c r="A456" t="s">
        <v>2703</v>
      </c>
    </row>
    <row r="457" spans="1:1" x14ac:dyDescent="0.3">
      <c r="A457" t="s">
        <v>2704</v>
      </c>
    </row>
    <row r="458" spans="1:1" x14ac:dyDescent="0.3">
      <c r="A458" t="s">
        <v>2705</v>
      </c>
    </row>
    <row r="459" spans="1:1" x14ac:dyDescent="0.3">
      <c r="A459" t="s">
        <v>2706</v>
      </c>
    </row>
    <row r="460" spans="1:1" x14ac:dyDescent="0.3">
      <c r="A460" t="s">
        <v>2707</v>
      </c>
    </row>
    <row r="461" spans="1:1" x14ac:dyDescent="0.3">
      <c r="A461" t="s">
        <v>2708</v>
      </c>
    </row>
    <row r="462" spans="1:1" x14ac:dyDescent="0.3">
      <c r="A462" t="s">
        <v>2709</v>
      </c>
    </row>
    <row r="463" spans="1:1" x14ac:dyDescent="0.3">
      <c r="A463" t="s">
        <v>2710</v>
      </c>
    </row>
    <row r="464" spans="1:1" x14ac:dyDescent="0.3">
      <c r="A464" t="s">
        <v>2711</v>
      </c>
    </row>
    <row r="465" spans="1:1" x14ac:dyDescent="0.3">
      <c r="A465" t="s">
        <v>2712</v>
      </c>
    </row>
    <row r="466" spans="1:1" x14ac:dyDescent="0.3">
      <c r="A466" t="s">
        <v>2713</v>
      </c>
    </row>
    <row r="467" spans="1:1" x14ac:dyDescent="0.3">
      <c r="A467" t="s">
        <v>2714</v>
      </c>
    </row>
    <row r="468" spans="1:1" x14ac:dyDescent="0.3">
      <c r="A468" t="s">
        <v>2715</v>
      </c>
    </row>
    <row r="469" spans="1:1" x14ac:dyDescent="0.3">
      <c r="A469" t="s">
        <v>2716</v>
      </c>
    </row>
    <row r="470" spans="1:1" x14ac:dyDescent="0.3">
      <c r="A470" t="s">
        <v>2717</v>
      </c>
    </row>
    <row r="471" spans="1:1" x14ac:dyDescent="0.3">
      <c r="A471" t="s">
        <v>2718</v>
      </c>
    </row>
    <row r="472" spans="1:1" x14ac:dyDescent="0.3">
      <c r="A472" t="s">
        <v>2719</v>
      </c>
    </row>
    <row r="473" spans="1:1" x14ac:dyDescent="0.3">
      <c r="A473" t="s">
        <v>2720</v>
      </c>
    </row>
    <row r="474" spans="1:1" x14ac:dyDescent="0.3">
      <c r="A474" t="s">
        <v>2721</v>
      </c>
    </row>
    <row r="475" spans="1:1" x14ac:dyDescent="0.3">
      <c r="A475" t="s">
        <v>2722</v>
      </c>
    </row>
    <row r="476" spans="1:1" x14ac:dyDescent="0.3">
      <c r="A476" t="s">
        <v>2723</v>
      </c>
    </row>
    <row r="477" spans="1:1" x14ac:dyDescent="0.3">
      <c r="A477" t="s">
        <v>2724</v>
      </c>
    </row>
    <row r="478" spans="1:1" x14ac:dyDescent="0.3">
      <c r="A478" t="s">
        <v>2725</v>
      </c>
    </row>
    <row r="479" spans="1:1" x14ac:dyDescent="0.3">
      <c r="A479" t="s">
        <v>2726</v>
      </c>
    </row>
    <row r="480" spans="1:1" x14ac:dyDescent="0.3">
      <c r="A480" t="s">
        <v>2727</v>
      </c>
    </row>
    <row r="481" spans="1:1" x14ac:dyDescent="0.3">
      <c r="A481" t="s">
        <v>2728</v>
      </c>
    </row>
    <row r="482" spans="1:1" x14ac:dyDescent="0.3">
      <c r="A482" t="s">
        <v>2729</v>
      </c>
    </row>
    <row r="483" spans="1:1" x14ac:dyDescent="0.3">
      <c r="A483" t="s">
        <v>2730</v>
      </c>
    </row>
    <row r="484" spans="1:1" x14ac:dyDescent="0.3">
      <c r="A484" t="s">
        <v>2731</v>
      </c>
    </row>
    <row r="485" spans="1:1" x14ac:dyDescent="0.3">
      <c r="A485" t="s">
        <v>2732</v>
      </c>
    </row>
    <row r="486" spans="1:1" x14ac:dyDescent="0.3">
      <c r="A486" t="s">
        <v>2733</v>
      </c>
    </row>
    <row r="487" spans="1:1" x14ac:dyDescent="0.3">
      <c r="A487" t="s">
        <v>2734</v>
      </c>
    </row>
    <row r="488" spans="1:1" x14ac:dyDescent="0.3">
      <c r="A488" t="s">
        <v>2735</v>
      </c>
    </row>
    <row r="489" spans="1:1" x14ac:dyDescent="0.3">
      <c r="A489" t="s">
        <v>2736</v>
      </c>
    </row>
    <row r="490" spans="1:1" x14ac:dyDescent="0.3">
      <c r="A490" t="s">
        <v>2737</v>
      </c>
    </row>
    <row r="491" spans="1:1" x14ac:dyDescent="0.3">
      <c r="A491" t="s">
        <v>2738</v>
      </c>
    </row>
    <row r="492" spans="1:1" x14ac:dyDescent="0.3">
      <c r="A492" t="s">
        <v>2739</v>
      </c>
    </row>
    <row r="493" spans="1:1" x14ac:dyDescent="0.3">
      <c r="A493" t="s">
        <v>2740</v>
      </c>
    </row>
    <row r="494" spans="1:1" x14ac:dyDescent="0.3">
      <c r="A494" t="s">
        <v>2741</v>
      </c>
    </row>
    <row r="495" spans="1:1" x14ac:dyDescent="0.3">
      <c r="A495" t="s">
        <v>2742</v>
      </c>
    </row>
    <row r="496" spans="1:1" x14ac:dyDescent="0.3">
      <c r="A496" t="s">
        <v>2743</v>
      </c>
    </row>
    <row r="497" spans="1:1" x14ac:dyDescent="0.3">
      <c r="A497" t="s">
        <v>2744</v>
      </c>
    </row>
    <row r="498" spans="1:1" x14ac:dyDescent="0.3">
      <c r="A498" t="s">
        <v>2745</v>
      </c>
    </row>
    <row r="499" spans="1:1" x14ac:dyDescent="0.3">
      <c r="A499" t="s">
        <v>2746</v>
      </c>
    </row>
    <row r="500" spans="1:1" x14ac:dyDescent="0.3">
      <c r="A500" t="s">
        <v>2747</v>
      </c>
    </row>
    <row r="501" spans="1:1" x14ac:dyDescent="0.3">
      <c r="A501" t="s">
        <v>2748</v>
      </c>
    </row>
    <row r="502" spans="1:1" x14ac:dyDescent="0.3">
      <c r="A502" t="s">
        <v>2749</v>
      </c>
    </row>
    <row r="503" spans="1:1" x14ac:dyDescent="0.3">
      <c r="A503" t="s">
        <v>2750</v>
      </c>
    </row>
    <row r="504" spans="1:1" x14ac:dyDescent="0.3">
      <c r="A504" t="s">
        <v>2751</v>
      </c>
    </row>
    <row r="505" spans="1:1" x14ac:dyDescent="0.3">
      <c r="A505" t="s">
        <v>2752</v>
      </c>
    </row>
    <row r="506" spans="1:1" x14ac:dyDescent="0.3">
      <c r="A506" t="s">
        <v>2753</v>
      </c>
    </row>
    <row r="507" spans="1:1" x14ac:dyDescent="0.3">
      <c r="A507" t="s">
        <v>2754</v>
      </c>
    </row>
    <row r="508" spans="1:1" x14ac:dyDescent="0.3">
      <c r="A508" t="s">
        <v>2755</v>
      </c>
    </row>
    <row r="509" spans="1:1" x14ac:dyDescent="0.3">
      <c r="A509" t="s">
        <v>2756</v>
      </c>
    </row>
    <row r="510" spans="1:1" x14ac:dyDescent="0.3">
      <c r="A510" t="s">
        <v>2757</v>
      </c>
    </row>
    <row r="511" spans="1:1" x14ac:dyDescent="0.3">
      <c r="A511" t="s">
        <v>2758</v>
      </c>
    </row>
    <row r="512" spans="1:1" x14ac:dyDescent="0.3">
      <c r="A512" t="s">
        <v>2759</v>
      </c>
    </row>
    <row r="513" spans="1:1" x14ac:dyDescent="0.3">
      <c r="A513" t="s">
        <v>2760</v>
      </c>
    </row>
    <row r="514" spans="1:1" x14ac:dyDescent="0.3">
      <c r="A514" t="s">
        <v>2761</v>
      </c>
    </row>
    <row r="515" spans="1:1" x14ac:dyDescent="0.3">
      <c r="A515" t="s">
        <v>2762</v>
      </c>
    </row>
    <row r="516" spans="1:1" x14ac:dyDescent="0.3">
      <c r="A516" t="s">
        <v>2763</v>
      </c>
    </row>
    <row r="517" spans="1:1" x14ac:dyDescent="0.3">
      <c r="A517" t="s">
        <v>2764</v>
      </c>
    </row>
    <row r="518" spans="1:1" x14ac:dyDescent="0.3">
      <c r="A518" t="s">
        <v>2765</v>
      </c>
    </row>
    <row r="519" spans="1:1" x14ac:dyDescent="0.3">
      <c r="A519" t="s">
        <v>2766</v>
      </c>
    </row>
    <row r="520" spans="1:1" x14ac:dyDescent="0.3">
      <c r="A520" t="s">
        <v>2767</v>
      </c>
    </row>
    <row r="521" spans="1:1" x14ac:dyDescent="0.3">
      <c r="A521" t="s">
        <v>2768</v>
      </c>
    </row>
    <row r="522" spans="1:1" x14ac:dyDescent="0.3">
      <c r="A522" t="s">
        <v>2769</v>
      </c>
    </row>
    <row r="523" spans="1:1" x14ac:dyDescent="0.3">
      <c r="A523" t="s">
        <v>2770</v>
      </c>
    </row>
    <row r="524" spans="1:1" x14ac:dyDescent="0.3">
      <c r="A524" t="s">
        <v>2771</v>
      </c>
    </row>
    <row r="525" spans="1:1" x14ac:dyDescent="0.3">
      <c r="A525" t="s">
        <v>2772</v>
      </c>
    </row>
    <row r="526" spans="1:1" x14ac:dyDescent="0.3">
      <c r="A526" t="s">
        <v>2773</v>
      </c>
    </row>
    <row r="527" spans="1:1" x14ac:dyDescent="0.3">
      <c r="A527" t="s">
        <v>2774</v>
      </c>
    </row>
    <row r="528" spans="1:1" x14ac:dyDescent="0.3">
      <c r="A528" t="s">
        <v>2775</v>
      </c>
    </row>
    <row r="529" spans="1:1" x14ac:dyDescent="0.3">
      <c r="A529" t="s">
        <v>2776</v>
      </c>
    </row>
    <row r="530" spans="1:1" x14ac:dyDescent="0.3">
      <c r="A530" t="s">
        <v>2777</v>
      </c>
    </row>
    <row r="531" spans="1:1" x14ac:dyDescent="0.3">
      <c r="A531" t="s">
        <v>2778</v>
      </c>
    </row>
    <row r="532" spans="1:1" x14ac:dyDescent="0.3">
      <c r="A532" t="s">
        <v>2779</v>
      </c>
    </row>
    <row r="533" spans="1:1" x14ac:dyDescent="0.3">
      <c r="A533" t="s">
        <v>2780</v>
      </c>
    </row>
    <row r="534" spans="1:1" x14ac:dyDescent="0.3">
      <c r="A534" t="s">
        <v>2781</v>
      </c>
    </row>
    <row r="535" spans="1:1" x14ac:dyDescent="0.3">
      <c r="A535" t="s">
        <v>2782</v>
      </c>
    </row>
    <row r="536" spans="1:1" x14ac:dyDescent="0.3">
      <c r="A536" t="s">
        <v>2783</v>
      </c>
    </row>
    <row r="537" spans="1:1" x14ac:dyDescent="0.3">
      <c r="A537" t="s">
        <v>2784</v>
      </c>
    </row>
    <row r="538" spans="1:1" x14ac:dyDescent="0.3">
      <c r="A538" t="s">
        <v>2785</v>
      </c>
    </row>
    <row r="539" spans="1:1" x14ac:dyDescent="0.3">
      <c r="A539" t="s">
        <v>2786</v>
      </c>
    </row>
    <row r="540" spans="1:1" x14ac:dyDescent="0.3">
      <c r="A540" t="s">
        <v>2787</v>
      </c>
    </row>
    <row r="541" spans="1:1" x14ac:dyDescent="0.3">
      <c r="A541" t="s">
        <v>2788</v>
      </c>
    </row>
    <row r="542" spans="1:1" x14ac:dyDescent="0.3">
      <c r="A542" t="s">
        <v>2789</v>
      </c>
    </row>
    <row r="543" spans="1:1" x14ac:dyDescent="0.3">
      <c r="A543" t="s">
        <v>2790</v>
      </c>
    </row>
    <row r="544" spans="1:1" x14ac:dyDescent="0.3">
      <c r="A544" t="s">
        <v>2791</v>
      </c>
    </row>
    <row r="545" spans="1:1" x14ac:dyDescent="0.3">
      <c r="A545" t="s">
        <v>2792</v>
      </c>
    </row>
    <row r="546" spans="1:1" x14ac:dyDescent="0.3">
      <c r="A546" t="s">
        <v>2793</v>
      </c>
    </row>
    <row r="547" spans="1:1" x14ac:dyDescent="0.3">
      <c r="A547" t="s">
        <v>2794</v>
      </c>
    </row>
    <row r="548" spans="1:1" x14ac:dyDescent="0.3">
      <c r="A548" t="s">
        <v>2795</v>
      </c>
    </row>
    <row r="549" spans="1:1" x14ac:dyDescent="0.3">
      <c r="A549" t="s">
        <v>2796</v>
      </c>
    </row>
    <row r="550" spans="1:1" x14ac:dyDescent="0.3">
      <c r="A550" t="s">
        <v>2797</v>
      </c>
    </row>
    <row r="551" spans="1:1" x14ac:dyDescent="0.3">
      <c r="A551" t="s">
        <v>2798</v>
      </c>
    </row>
    <row r="552" spans="1:1" x14ac:dyDescent="0.3">
      <c r="A552" t="s">
        <v>2799</v>
      </c>
    </row>
    <row r="553" spans="1:1" x14ac:dyDescent="0.3">
      <c r="A553" t="s">
        <v>2800</v>
      </c>
    </row>
    <row r="554" spans="1:1" x14ac:dyDescent="0.3">
      <c r="A554" t="s">
        <v>2801</v>
      </c>
    </row>
    <row r="555" spans="1:1" x14ac:dyDescent="0.3">
      <c r="A555" t="s">
        <v>2802</v>
      </c>
    </row>
    <row r="556" spans="1:1" x14ac:dyDescent="0.3">
      <c r="A556" t="s">
        <v>2803</v>
      </c>
    </row>
    <row r="557" spans="1:1" x14ac:dyDescent="0.3">
      <c r="A557" t="s">
        <v>2804</v>
      </c>
    </row>
    <row r="558" spans="1:1" x14ac:dyDescent="0.3">
      <c r="A558" t="s">
        <v>2805</v>
      </c>
    </row>
    <row r="559" spans="1:1" x14ac:dyDescent="0.3">
      <c r="A559" t="s">
        <v>2806</v>
      </c>
    </row>
    <row r="560" spans="1:1" x14ac:dyDescent="0.3">
      <c r="A560" t="s">
        <v>2807</v>
      </c>
    </row>
    <row r="561" spans="1:1" x14ac:dyDescent="0.3">
      <c r="A561" t="s">
        <v>2808</v>
      </c>
    </row>
    <row r="562" spans="1:1" x14ac:dyDescent="0.3">
      <c r="A562" t="s">
        <v>2809</v>
      </c>
    </row>
    <row r="563" spans="1:1" x14ac:dyDescent="0.3">
      <c r="A563" t="s">
        <v>2810</v>
      </c>
    </row>
    <row r="564" spans="1:1" x14ac:dyDescent="0.3">
      <c r="A564" t="s">
        <v>2811</v>
      </c>
    </row>
    <row r="565" spans="1:1" x14ac:dyDescent="0.3">
      <c r="A565" t="s">
        <v>2812</v>
      </c>
    </row>
    <row r="566" spans="1:1" x14ac:dyDescent="0.3">
      <c r="A566" t="s">
        <v>2813</v>
      </c>
    </row>
    <row r="567" spans="1:1" x14ac:dyDescent="0.3">
      <c r="A567" t="s">
        <v>2814</v>
      </c>
    </row>
    <row r="568" spans="1:1" x14ac:dyDescent="0.3">
      <c r="A568" t="s">
        <v>2815</v>
      </c>
    </row>
    <row r="569" spans="1:1" x14ac:dyDescent="0.3">
      <c r="A569" t="s">
        <v>2816</v>
      </c>
    </row>
    <row r="570" spans="1:1" x14ac:dyDescent="0.3">
      <c r="A570" t="s">
        <v>2817</v>
      </c>
    </row>
    <row r="571" spans="1:1" x14ac:dyDescent="0.3">
      <c r="A571" t="s">
        <v>2818</v>
      </c>
    </row>
    <row r="572" spans="1:1" x14ac:dyDescent="0.3">
      <c r="A572" t="s">
        <v>2819</v>
      </c>
    </row>
    <row r="573" spans="1:1" x14ac:dyDescent="0.3">
      <c r="A573" t="s">
        <v>2820</v>
      </c>
    </row>
    <row r="574" spans="1:1" x14ac:dyDescent="0.3">
      <c r="A574" t="s">
        <v>2821</v>
      </c>
    </row>
    <row r="575" spans="1:1" x14ac:dyDescent="0.3">
      <c r="A575" t="s">
        <v>2822</v>
      </c>
    </row>
    <row r="576" spans="1:1" x14ac:dyDescent="0.3">
      <c r="A576" t="s">
        <v>2823</v>
      </c>
    </row>
    <row r="577" spans="1:1" x14ac:dyDescent="0.3">
      <c r="A577" t="s">
        <v>2824</v>
      </c>
    </row>
    <row r="578" spans="1:1" x14ac:dyDescent="0.3">
      <c r="A578" t="s">
        <v>2825</v>
      </c>
    </row>
    <row r="579" spans="1:1" x14ac:dyDescent="0.3">
      <c r="A579" t="s">
        <v>2826</v>
      </c>
    </row>
    <row r="580" spans="1:1" x14ac:dyDescent="0.3">
      <c r="A580" t="s">
        <v>2827</v>
      </c>
    </row>
    <row r="581" spans="1:1" x14ac:dyDescent="0.3">
      <c r="A581" t="s">
        <v>2828</v>
      </c>
    </row>
    <row r="582" spans="1:1" x14ac:dyDescent="0.3">
      <c r="A582" t="s">
        <v>2829</v>
      </c>
    </row>
    <row r="583" spans="1:1" x14ac:dyDescent="0.3">
      <c r="A583" t="s">
        <v>2830</v>
      </c>
    </row>
    <row r="584" spans="1:1" x14ac:dyDescent="0.3">
      <c r="A584" t="s">
        <v>2831</v>
      </c>
    </row>
    <row r="585" spans="1:1" x14ac:dyDescent="0.3">
      <c r="A585" t="s">
        <v>2832</v>
      </c>
    </row>
    <row r="586" spans="1:1" x14ac:dyDescent="0.3">
      <c r="A586" t="s">
        <v>2833</v>
      </c>
    </row>
    <row r="587" spans="1:1" x14ac:dyDescent="0.3">
      <c r="A587" t="s">
        <v>2834</v>
      </c>
    </row>
    <row r="588" spans="1:1" x14ac:dyDescent="0.3">
      <c r="A588" t="s">
        <v>2835</v>
      </c>
    </row>
    <row r="589" spans="1:1" x14ac:dyDescent="0.3">
      <c r="A589" t="s">
        <v>2836</v>
      </c>
    </row>
    <row r="590" spans="1:1" x14ac:dyDescent="0.3">
      <c r="A590" t="s">
        <v>2837</v>
      </c>
    </row>
    <row r="591" spans="1:1" x14ac:dyDescent="0.3">
      <c r="A591" t="s">
        <v>2838</v>
      </c>
    </row>
    <row r="592" spans="1:1" x14ac:dyDescent="0.3">
      <c r="A592" t="s">
        <v>2839</v>
      </c>
    </row>
    <row r="593" spans="1:1" x14ac:dyDescent="0.3">
      <c r="A593" t="s">
        <v>2840</v>
      </c>
    </row>
    <row r="594" spans="1:1" x14ac:dyDescent="0.3">
      <c r="A594" t="s">
        <v>2841</v>
      </c>
    </row>
    <row r="595" spans="1:1" x14ac:dyDescent="0.3">
      <c r="A595" t="s">
        <v>2842</v>
      </c>
    </row>
    <row r="596" spans="1:1" x14ac:dyDescent="0.3">
      <c r="A596" t="s">
        <v>2843</v>
      </c>
    </row>
    <row r="597" spans="1:1" x14ac:dyDescent="0.3">
      <c r="A597" t="s">
        <v>2844</v>
      </c>
    </row>
    <row r="598" spans="1:1" x14ac:dyDescent="0.3">
      <c r="A598" t="s">
        <v>2845</v>
      </c>
    </row>
    <row r="599" spans="1:1" x14ac:dyDescent="0.3">
      <c r="A599" t="s">
        <v>2846</v>
      </c>
    </row>
    <row r="600" spans="1:1" x14ac:dyDescent="0.3">
      <c r="A600" t="s">
        <v>2847</v>
      </c>
    </row>
    <row r="601" spans="1:1" x14ac:dyDescent="0.3">
      <c r="A601" t="s">
        <v>2848</v>
      </c>
    </row>
    <row r="602" spans="1:1" x14ac:dyDescent="0.3">
      <c r="A602" t="s">
        <v>2849</v>
      </c>
    </row>
    <row r="603" spans="1:1" x14ac:dyDescent="0.3">
      <c r="A603" t="s">
        <v>2850</v>
      </c>
    </row>
    <row r="604" spans="1:1" x14ac:dyDescent="0.3">
      <c r="A604" t="s">
        <v>2851</v>
      </c>
    </row>
    <row r="605" spans="1:1" x14ac:dyDescent="0.3">
      <c r="A605" t="s">
        <v>2852</v>
      </c>
    </row>
    <row r="606" spans="1:1" x14ac:dyDescent="0.3">
      <c r="A606" t="s">
        <v>2853</v>
      </c>
    </row>
    <row r="607" spans="1:1" x14ac:dyDescent="0.3">
      <c r="A607" t="s">
        <v>2854</v>
      </c>
    </row>
    <row r="608" spans="1:1" x14ac:dyDescent="0.3">
      <c r="A608" t="s">
        <v>2855</v>
      </c>
    </row>
    <row r="609" spans="1:1" x14ac:dyDescent="0.3">
      <c r="A609" t="s">
        <v>2856</v>
      </c>
    </row>
    <row r="610" spans="1:1" x14ac:dyDescent="0.3">
      <c r="A610" t="s">
        <v>2857</v>
      </c>
    </row>
    <row r="611" spans="1:1" x14ac:dyDescent="0.3">
      <c r="A611" t="s">
        <v>2858</v>
      </c>
    </row>
    <row r="612" spans="1:1" x14ac:dyDescent="0.3">
      <c r="A612" t="s">
        <v>2859</v>
      </c>
    </row>
    <row r="613" spans="1:1" x14ac:dyDescent="0.3">
      <c r="A613" t="s">
        <v>2860</v>
      </c>
    </row>
    <row r="614" spans="1:1" x14ac:dyDescent="0.3">
      <c r="A614" t="s">
        <v>2861</v>
      </c>
    </row>
    <row r="615" spans="1:1" x14ac:dyDescent="0.3">
      <c r="A615" t="s">
        <v>2862</v>
      </c>
    </row>
    <row r="616" spans="1:1" x14ac:dyDescent="0.3">
      <c r="A616" t="s">
        <v>2863</v>
      </c>
    </row>
    <row r="617" spans="1:1" x14ac:dyDescent="0.3">
      <c r="A617" t="s">
        <v>2864</v>
      </c>
    </row>
    <row r="618" spans="1:1" x14ac:dyDescent="0.3">
      <c r="A618" t="s">
        <v>2865</v>
      </c>
    </row>
    <row r="619" spans="1:1" x14ac:dyDescent="0.3">
      <c r="A619" t="s">
        <v>2866</v>
      </c>
    </row>
    <row r="620" spans="1:1" x14ac:dyDescent="0.3">
      <c r="A620" t="s">
        <v>2867</v>
      </c>
    </row>
    <row r="621" spans="1:1" x14ac:dyDescent="0.3">
      <c r="A621" t="s">
        <v>2868</v>
      </c>
    </row>
    <row r="622" spans="1:1" x14ac:dyDescent="0.3">
      <c r="A622" t="s">
        <v>2869</v>
      </c>
    </row>
    <row r="623" spans="1:1" x14ac:dyDescent="0.3">
      <c r="A623" t="s">
        <v>2870</v>
      </c>
    </row>
    <row r="624" spans="1:1" x14ac:dyDescent="0.3">
      <c r="A624" t="s">
        <v>2871</v>
      </c>
    </row>
    <row r="625" spans="1:1" x14ac:dyDescent="0.3">
      <c r="A625" t="s">
        <v>2872</v>
      </c>
    </row>
    <row r="626" spans="1:1" x14ac:dyDescent="0.3">
      <c r="A626" t="s">
        <v>2873</v>
      </c>
    </row>
    <row r="627" spans="1:1" x14ac:dyDescent="0.3">
      <c r="A627" t="s">
        <v>2874</v>
      </c>
    </row>
    <row r="628" spans="1:1" x14ac:dyDescent="0.3">
      <c r="A628" t="s">
        <v>2875</v>
      </c>
    </row>
    <row r="629" spans="1:1" x14ac:dyDescent="0.3">
      <c r="A629" t="s">
        <v>2876</v>
      </c>
    </row>
    <row r="630" spans="1:1" x14ac:dyDescent="0.3">
      <c r="A630" t="s">
        <v>2877</v>
      </c>
    </row>
    <row r="631" spans="1:1" x14ac:dyDescent="0.3">
      <c r="A631" t="s">
        <v>2878</v>
      </c>
    </row>
    <row r="632" spans="1:1" x14ac:dyDescent="0.3">
      <c r="A632" t="s">
        <v>2879</v>
      </c>
    </row>
    <row r="633" spans="1:1" x14ac:dyDescent="0.3">
      <c r="A633" t="s">
        <v>2880</v>
      </c>
    </row>
    <row r="634" spans="1:1" x14ac:dyDescent="0.3">
      <c r="A634" t="s">
        <v>2881</v>
      </c>
    </row>
    <row r="635" spans="1:1" x14ac:dyDescent="0.3">
      <c r="A635" t="s">
        <v>2882</v>
      </c>
    </row>
    <row r="636" spans="1:1" x14ac:dyDescent="0.3">
      <c r="A636" t="s">
        <v>2883</v>
      </c>
    </row>
    <row r="637" spans="1:1" x14ac:dyDescent="0.3">
      <c r="A637" t="s">
        <v>2884</v>
      </c>
    </row>
    <row r="638" spans="1:1" x14ac:dyDescent="0.3">
      <c r="A638" t="s">
        <v>2885</v>
      </c>
    </row>
    <row r="639" spans="1:1" x14ac:dyDescent="0.3">
      <c r="A639" t="s">
        <v>2886</v>
      </c>
    </row>
    <row r="640" spans="1:1" x14ac:dyDescent="0.3">
      <c r="A640" t="s">
        <v>2887</v>
      </c>
    </row>
    <row r="641" spans="1:1" x14ac:dyDescent="0.3">
      <c r="A641" t="s">
        <v>2888</v>
      </c>
    </row>
    <row r="642" spans="1:1" x14ac:dyDescent="0.3">
      <c r="A642" t="s">
        <v>2889</v>
      </c>
    </row>
    <row r="643" spans="1:1" x14ac:dyDescent="0.3">
      <c r="A643" t="s">
        <v>2890</v>
      </c>
    </row>
    <row r="644" spans="1:1" x14ac:dyDescent="0.3">
      <c r="A644" t="s">
        <v>2891</v>
      </c>
    </row>
    <row r="645" spans="1:1" x14ac:dyDescent="0.3">
      <c r="A645" t="s">
        <v>2892</v>
      </c>
    </row>
    <row r="646" spans="1:1" x14ac:dyDescent="0.3">
      <c r="A646" t="s">
        <v>2893</v>
      </c>
    </row>
    <row r="647" spans="1:1" x14ac:dyDescent="0.3">
      <c r="A647" t="s">
        <v>2894</v>
      </c>
    </row>
    <row r="648" spans="1:1" x14ac:dyDescent="0.3">
      <c r="A648" t="s">
        <v>2895</v>
      </c>
    </row>
    <row r="649" spans="1:1" x14ac:dyDescent="0.3">
      <c r="A649" t="s">
        <v>2896</v>
      </c>
    </row>
    <row r="650" spans="1:1" x14ac:dyDescent="0.3">
      <c r="A650" t="s">
        <v>2897</v>
      </c>
    </row>
    <row r="651" spans="1:1" x14ac:dyDescent="0.3">
      <c r="A651" t="s">
        <v>2898</v>
      </c>
    </row>
    <row r="652" spans="1:1" x14ac:dyDescent="0.3">
      <c r="A652" t="s">
        <v>2899</v>
      </c>
    </row>
    <row r="653" spans="1:1" x14ac:dyDescent="0.3">
      <c r="A653" t="s">
        <v>2900</v>
      </c>
    </row>
    <row r="654" spans="1:1" x14ac:dyDescent="0.3">
      <c r="A654" t="s">
        <v>2901</v>
      </c>
    </row>
    <row r="655" spans="1:1" x14ac:dyDescent="0.3">
      <c r="A655" t="s">
        <v>2902</v>
      </c>
    </row>
    <row r="656" spans="1:1" x14ac:dyDescent="0.3">
      <c r="A656" t="s">
        <v>2903</v>
      </c>
    </row>
    <row r="657" spans="1:1" x14ac:dyDescent="0.3">
      <c r="A657" t="s">
        <v>2904</v>
      </c>
    </row>
    <row r="658" spans="1:1" x14ac:dyDescent="0.3">
      <c r="A658" t="s">
        <v>2905</v>
      </c>
    </row>
    <row r="659" spans="1:1" x14ac:dyDescent="0.3">
      <c r="A659" t="s">
        <v>2906</v>
      </c>
    </row>
    <row r="660" spans="1:1" x14ac:dyDescent="0.3">
      <c r="A660" t="s">
        <v>2907</v>
      </c>
    </row>
    <row r="661" spans="1:1" x14ac:dyDescent="0.3">
      <c r="A661" t="s">
        <v>2908</v>
      </c>
    </row>
    <row r="662" spans="1:1" x14ac:dyDescent="0.3">
      <c r="A662" t="s">
        <v>2909</v>
      </c>
    </row>
    <row r="663" spans="1:1" x14ac:dyDescent="0.3">
      <c r="A663" t="s">
        <v>2910</v>
      </c>
    </row>
    <row r="664" spans="1:1" x14ac:dyDescent="0.3">
      <c r="A664" t="s">
        <v>2911</v>
      </c>
    </row>
    <row r="665" spans="1:1" x14ac:dyDescent="0.3">
      <c r="A665" t="s">
        <v>2912</v>
      </c>
    </row>
    <row r="666" spans="1:1" x14ac:dyDescent="0.3">
      <c r="A666" t="s">
        <v>2913</v>
      </c>
    </row>
    <row r="667" spans="1:1" x14ac:dyDescent="0.3">
      <c r="A667" t="s">
        <v>2914</v>
      </c>
    </row>
    <row r="668" spans="1:1" x14ac:dyDescent="0.3">
      <c r="A668" t="s">
        <v>2915</v>
      </c>
    </row>
    <row r="669" spans="1:1" x14ac:dyDescent="0.3">
      <c r="A669" t="s">
        <v>2916</v>
      </c>
    </row>
    <row r="670" spans="1:1" x14ac:dyDescent="0.3">
      <c r="A670" t="s">
        <v>2917</v>
      </c>
    </row>
    <row r="671" spans="1:1" x14ac:dyDescent="0.3">
      <c r="A671" t="s">
        <v>2918</v>
      </c>
    </row>
    <row r="672" spans="1:1" x14ac:dyDescent="0.3">
      <c r="A672" t="s">
        <v>2919</v>
      </c>
    </row>
    <row r="673" spans="1:1" x14ac:dyDescent="0.3">
      <c r="A673" t="s">
        <v>2920</v>
      </c>
    </row>
    <row r="674" spans="1:1" x14ac:dyDescent="0.3">
      <c r="A674" t="s">
        <v>2921</v>
      </c>
    </row>
    <row r="675" spans="1:1" x14ac:dyDescent="0.3">
      <c r="A675" t="s">
        <v>2922</v>
      </c>
    </row>
    <row r="676" spans="1:1" x14ac:dyDescent="0.3">
      <c r="A676" t="s">
        <v>2923</v>
      </c>
    </row>
    <row r="677" spans="1:1" x14ac:dyDescent="0.3">
      <c r="A677" t="s">
        <v>2924</v>
      </c>
    </row>
    <row r="678" spans="1:1" x14ac:dyDescent="0.3">
      <c r="A678" t="s">
        <v>2925</v>
      </c>
    </row>
    <row r="679" spans="1:1" x14ac:dyDescent="0.3">
      <c r="A679" t="s">
        <v>2926</v>
      </c>
    </row>
    <row r="680" spans="1:1" x14ac:dyDescent="0.3">
      <c r="A680" t="s">
        <v>2927</v>
      </c>
    </row>
    <row r="681" spans="1:1" x14ac:dyDescent="0.3">
      <c r="A681" t="s">
        <v>2928</v>
      </c>
    </row>
    <row r="682" spans="1:1" x14ac:dyDescent="0.3">
      <c r="A682" t="s">
        <v>2929</v>
      </c>
    </row>
    <row r="683" spans="1:1" x14ac:dyDescent="0.3">
      <c r="A683" t="s">
        <v>2930</v>
      </c>
    </row>
    <row r="684" spans="1:1" x14ac:dyDescent="0.3">
      <c r="A684" t="s">
        <v>2931</v>
      </c>
    </row>
    <row r="685" spans="1:1" x14ac:dyDescent="0.3">
      <c r="A685" t="s">
        <v>2932</v>
      </c>
    </row>
    <row r="686" spans="1:1" x14ac:dyDescent="0.3">
      <c r="A686" t="s">
        <v>2933</v>
      </c>
    </row>
    <row r="687" spans="1:1" x14ac:dyDescent="0.3">
      <c r="A687" t="s">
        <v>2934</v>
      </c>
    </row>
    <row r="688" spans="1:1" x14ac:dyDescent="0.3">
      <c r="A688" t="s">
        <v>2935</v>
      </c>
    </row>
    <row r="689" spans="1:1" x14ac:dyDescent="0.3">
      <c r="A689" t="s">
        <v>2936</v>
      </c>
    </row>
    <row r="690" spans="1:1" x14ac:dyDescent="0.3">
      <c r="A690" t="s">
        <v>2937</v>
      </c>
    </row>
    <row r="691" spans="1:1" x14ac:dyDescent="0.3">
      <c r="A691" t="s">
        <v>2938</v>
      </c>
    </row>
    <row r="692" spans="1:1" x14ac:dyDescent="0.3">
      <c r="A692" t="s">
        <v>2939</v>
      </c>
    </row>
    <row r="693" spans="1:1" x14ac:dyDescent="0.3">
      <c r="A693" t="s">
        <v>2940</v>
      </c>
    </row>
    <row r="694" spans="1:1" x14ac:dyDescent="0.3">
      <c r="A694" t="s">
        <v>2941</v>
      </c>
    </row>
    <row r="695" spans="1:1" x14ac:dyDescent="0.3">
      <c r="A695" t="s">
        <v>2942</v>
      </c>
    </row>
    <row r="696" spans="1:1" x14ac:dyDescent="0.3">
      <c r="A696" t="s">
        <v>2943</v>
      </c>
    </row>
    <row r="697" spans="1:1" x14ac:dyDescent="0.3">
      <c r="A697" t="s">
        <v>2944</v>
      </c>
    </row>
    <row r="698" spans="1:1" x14ac:dyDescent="0.3">
      <c r="A698" t="s">
        <v>2945</v>
      </c>
    </row>
    <row r="699" spans="1:1" x14ac:dyDescent="0.3">
      <c r="A699" t="s">
        <v>2946</v>
      </c>
    </row>
    <row r="700" spans="1:1" x14ac:dyDescent="0.3">
      <c r="A700" t="s">
        <v>2947</v>
      </c>
    </row>
    <row r="701" spans="1:1" x14ac:dyDescent="0.3">
      <c r="A701" t="s">
        <v>2948</v>
      </c>
    </row>
    <row r="702" spans="1:1" x14ac:dyDescent="0.3">
      <c r="A702" t="s">
        <v>2949</v>
      </c>
    </row>
    <row r="703" spans="1:1" x14ac:dyDescent="0.3">
      <c r="A703" t="s">
        <v>2950</v>
      </c>
    </row>
    <row r="704" spans="1:1" x14ac:dyDescent="0.3">
      <c r="A704" t="s">
        <v>2951</v>
      </c>
    </row>
    <row r="705" spans="1:1" x14ac:dyDescent="0.3">
      <c r="A705" t="s">
        <v>2952</v>
      </c>
    </row>
    <row r="706" spans="1:1" x14ac:dyDescent="0.3">
      <c r="A706" t="s">
        <v>2953</v>
      </c>
    </row>
    <row r="707" spans="1:1" x14ac:dyDescent="0.3">
      <c r="A707" t="s">
        <v>2954</v>
      </c>
    </row>
    <row r="708" spans="1:1" x14ac:dyDescent="0.3">
      <c r="A708" t="s">
        <v>2955</v>
      </c>
    </row>
    <row r="709" spans="1:1" x14ac:dyDescent="0.3">
      <c r="A709" t="s">
        <v>2956</v>
      </c>
    </row>
    <row r="710" spans="1:1" x14ac:dyDescent="0.3">
      <c r="A710" t="s">
        <v>2957</v>
      </c>
    </row>
    <row r="711" spans="1:1" x14ac:dyDescent="0.3">
      <c r="A711" t="s">
        <v>2958</v>
      </c>
    </row>
    <row r="712" spans="1:1" x14ac:dyDescent="0.3">
      <c r="A712" t="s">
        <v>2959</v>
      </c>
    </row>
    <row r="713" spans="1:1" x14ac:dyDescent="0.3">
      <c r="A713" t="s">
        <v>2960</v>
      </c>
    </row>
    <row r="714" spans="1:1" x14ac:dyDescent="0.3">
      <c r="A714" t="s">
        <v>2961</v>
      </c>
    </row>
    <row r="715" spans="1:1" x14ac:dyDescent="0.3">
      <c r="A715" t="s">
        <v>2962</v>
      </c>
    </row>
    <row r="716" spans="1:1" x14ac:dyDescent="0.3">
      <c r="A716" t="s">
        <v>2963</v>
      </c>
    </row>
    <row r="717" spans="1:1" x14ac:dyDescent="0.3">
      <c r="A717" t="s">
        <v>2964</v>
      </c>
    </row>
    <row r="718" spans="1:1" x14ac:dyDescent="0.3">
      <c r="A718" t="s">
        <v>2965</v>
      </c>
    </row>
    <row r="719" spans="1:1" x14ac:dyDescent="0.3">
      <c r="A719" t="s">
        <v>2966</v>
      </c>
    </row>
    <row r="720" spans="1:1" x14ac:dyDescent="0.3">
      <c r="A720" t="s">
        <v>2967</v>
      </c>
    </row>
    <row r="721" spans="1:1" x14ac:dyDescent="0.3">
      <c r="A721" t="s">
        <v>2968</v>
      </c>
    </row>
    <row r="722" spans="1:1" x14ac:dyDescent="0.3">
      <c r="A722" t="s">
        <v>2969</v>
      </c>
    </row>
    <row r="723" spans="1:1" x14ac:dyDescent="0.3">
      <c r="A723" t="s">
        <v>2970</v>
      </c>
    </row>
    <row r="724" spans="1:1" x14ac:dyDescent="0.3">
      <c r="A724" t="s">
        <v>2971</v>
      </c>
    </row>
    <row r="725" spans="1:1" x14ac:dyDescent="0.3">
      <c r="A725" t="s">
        <v>2972</v>
      </c>
    </row>
    <row r="726" spans="1:1" x14ac:dyDescent="0.3">
      <c r="A726" t="s">
        <v>2973</v>
      </c>
    </row>
    <row r="727" spans="1:1" x14ac:dyDescent="0.3">
      <c r="A727" t="s">
        <v>2974</v>
      </c>
    </row>
    <row r="728" spans="1:1" x14ac:dyDescent="0.3">
      <c r="A728" t="s">
        <v>2975</v>
      </c>
    </row>
    <row r="729" spans="1:1" x14ac:dyDescent="0.3">
      <c r="A729" t="s">
        <v>2976</v>
      </c>
    </row>
    <row r="730" spans="1:1" x14ac:dyDescent="0.3">
      <c r="A730" t="s">
        <v>2977</v>
      </c>
    </row>
    <row r="731" spans="1:1" x14ac:dyDescent="0.3">
      <c r="A731" t="s">
        <v>2978</v>
      </c>
    </row>
    <row r="732" spans="1:1" x14ac:dyDescent="0.3">
      <c r="A732" t="s">
        <v>2979</v>
      </c>
    </row>
    <row r="733" spans="1:1" x14ac:dyDescent="0.3">
      <c r="A733" t="s">
        <v>2980</v>
      </c>
    </row>
    <row r="734" spans="1:1" x14ac:dyDescent="0.3">
      <c r="A734" t="s">
        <v>2981</v>
      </c>
    </row>
    <row r="735" spans="1:1" x14ac:dyDescent="0.3">
      <c r="A735" t="s">
        <v>2982</v>
      </c>
    </row>
    <row r="736" spans="1:1" x14ac:dyDescent="0.3">
      <c r="A736" t="s">
        <v>2983</v>
      </c>
    </row>
    <row r="737" spans="1:1" x14ac:dyDescent="0.3">
      <c r="A737" t="s">
        <v>2984</v>
      </c>
    </row>
    <row r="738" spans="1:1" x14ac:dyDescent="0.3">
      <c r="A738" t="s">
        <v>2985</v>
      </c>
    </row>
    <row r="739" spans="1:1" x14ac:dyDescent="0.3">
      <c r="A739" t="s">
        <v>2986</v>
      </c>
    </row>
    <row r="740" spans="1:1" x14ac:dyDescent="0.3">
      <c r="A740" t="s">
        <v>2987</v>
      </c>
    </row>
    <row r="741" spans="1:1" x14ac:dyDescent="0.3">
      <c r="A741" t="s">
        <v>2988</v>
      </c>
    </row>
    <row r="742" spans="1:1" x14ac:dyDescent="0.3">
      <c r="A742" t="s">
        <v>2989</v>
      </c>
    </row>
    <row r="743" spans="1:1" x14ac:dyDescent="0.3">
      <c r="A743" t="s">
        <v>2990</v>
      </c>
    </row>
    <row r="744" spans="1:1" x14ac:dyDescent="0.3">
      <c r="A744" t="s">
        <v>2991</v>
      </c>
    </row>
    <row r="745" spans="1:1" x14ac:dyDescent="0.3">
      <c r="A745" t="s">
        <v>2992</v>
      </c>
    </row>
    <row r="746" spans="1:1" x14ac:dyDescent="0.3">
      <c r="A746" t="s">
        <v>2993</v>
      </c>
    </row>
    <row r="747" spans="1:1" x14ac:dyDescent="0.3">
      <c r="A747" t="s">
        <v>2994</v>
      </c>
    </row>
    <row r="748" spans="1:1" x14ac:dyDescent="0.3">
      <c r="A748" t="s">
        <v>2995</v>
      </c>
    </row>
    <row r="749" spans="1:1" x14ac:dyDescent="0.3">
      <c r="A749" t="s">
        <v>2996</v>
      </c>
    </row>
    <row r="750" spans="1:1" x14ac:dyDescent="0.3">
      <c r="A750" t="s">
        <v>2997</v>
      </c>
    </row>
    <row r="751" spans="1:1" x14ac:dyDescent="0.3">
      <c r="A751" t="s">
        <v>2998</v>
      </c>
    </row>
    <row r="752" spans="1:1" x14ac:dyDescent="0.3">
      <c r="A752" t="s">
        <v>2999</v>
      </c>
    </row>
    <row r="753" spans="1:1" x14ac:dyDescent="0.3">
      <c r="A753" t="s">
        <v>3000</v>
      </c>
    </row>
    <row r="754" spans="1:1" x14ac:dyDescent="0.3">
      <c r="A754" t="s">
        <v>3001</v>
      </c>
    </row>
    <row r="755" spans="1:1" x14ac:dyDescent="0.3">
      <c r="A755" t="s">
        <v>3002</v>
      </c>
    </row>
    <row r="756" spans="1:1" x14ac:dyDescent="0.3">
      <c r="A756" t="s">
        <v>3003</v>
      </c>
    </row>
    <row r="757" spans="1:1" x14ac:dyDescent="0.3">
      <c r="A757" t="s">
        <v>3004</v>
      </c>
    </row>
    <row r="758" spans="1:1" x14ac:dyDescent="0.3">
      <c r="A758" t="s">
        <v>3005</v>
      </c>
    </row>
    <row r="759" spans="1:1" x14ac:dyDescent="0.3">
      <c r="A759" t="s">
        <v>3006</v>
      </c>
    </row>
    <row r="760" spans="1:1" x14ac:dyDescent="0.3">
      <c r="A760" t="s">
        <v>3007</v>
      </c>
    </row>
    <row r="761" spans="1:1" x14ac:dyDescent="0.3">
      <c r="A761" t="s">
        <v>3008</v>
      </c>
    </row>
    <row r="762" spans="1:1" x14ac:dyDescent="0.3">
      <c r="A762" t="s">
        <v>3009</v>
      </c>
    </row>
    <row r="763" spans="1:1" x14ac:dyDescent="0.3">
      <c r="A763" t="s">
        <v>3010</v>
      </c>
    </row>
    <row r="764" spans="1:1" x14ac:dyDescent="0.3">
      <c r="A764" t="s">
        <v>3011</v>
      </c>
    </row>
    <row r="765" spans="1:1" x14ac:dyDescent="0.3">
      <c r="A765" t="s">
        <v>3012</v>
      </c>
    </row>
    <row r="766" spans="1:1" x14ac:dyDescent="0.3">
      <c r="A766" t="s">
        <v>3013</v>
      </c>
    </row>
    <row r="767" spans="1:1" x14ac:dyDescent="0.3">
      <c r="A767" t="s">
        <v>3014</v>
      </c>
    </row>
    <row r="768" spans="1:1" x14ac:dyDescent="0.3">
      <c r="A768" t="s">
        <v>3015</v>
      </c>
    </row>
    <row r="769" spans="1:1" x14ac:dyDescent="0.3">
      <c r="A769" t="s">
        <v>3016</v>
      </c>
    </row>
    <row r="770" spans="1:1" x14ac:dyDescent="0.3">
      <c r="A770" t="s">
        <v>3017</v>
      </c>
    </row>
    <row r="771" spans="1:1" x14ac:dyDescent="0.3">
      <c r="A771" t="s">
        <v>3018</v>
      </c>
    </row>
    <row r="772" spans="1:1" x14ac:dyDescent="0.3">
      <c r="A772" t="s">
        <v>3019</v>
      </c>
    </row>
    <row r="773" spans="1:1" x14ac:dyDescent="0.3">
      <c r="A773" t="s">
        <v>3020</v>
      </c>
    </row>
    <row r="774" spans="1:1" x14ac:dyDescent="0.3">
      <c r="A774" t="s">
        <v>3021</v>
      </c>
    </row>
    <row r="775" spans="1:1" x14ac:dyDescent="0.3">
      <c r="A775" t="s">
        <v>3022</v>
      </c>
    </row>
    <row r="776" spans="1:1" x14ac:dyDescent="0.3">
      <c r="A776" t="s">
        <v>3023</v>
      </c>
    </row>
    <row r="777" spans="1:1" x14ac:dyDescent="0.3">
      <c r="A777" t="s">
        <v>3024</v>
      </c>
    </row>
    <row r="778" spans="1:1" x14ac:dyDescent="0.3">
      <c r="A778" t="s">
        <v>3025</v>
      </c>
    </row>
    <row r="779" spans="1:1" x14ac:dyDescent="0.3">
      <c r="A779" t="s">
        <v>3026</v>
      </c>
    </row>
    <row r="780" spans="1:1" x14ac:dyDescent="0.3">
      <c r="A780" t="s">
        <v>3027</v>
      </c>
    </row>
    <row r="781" spans="1:1" x14ac:dyDescent="0.3">
      <c r="A781" t="s">
        <v>3028</v>
      </c>
    </row>
    <row r="782" spans="1:1" x14ac:dyDescent="0.3">
      <c r="A782" t="s">
        <v>3029</v>
      </c>
    </row>
    <row r="783" spans="1:1" x14ac:dyDescent="0.3">
      <c r="A783" t="s">
        <v>3030</v>
      </c>
    </row>
    <row r="784" spans="1:1" x14ac:dyDescent="0.3">
      <c r="A784" t="s">
        <v>3031</v>
      </c>
    </row>
    <row r="785" spans="1:1" x14ac:dyDescent="0.3">
      <c r="A785" t="s">
        <v>3032</v>
      </c>
    </row>
    <row r="786" spans="1:1" x14ac:dyDescent="0.3">
      <c r="A786" t="s">
        <v>3033</v>
      </c>
    </row>
    <row r="787" spans="1:1" x14ac:dyDescent="0.3">
      <c r="A787" t="s">
        <v>3034</v>
      </c>
    </row>
    <row r="788" spans="1:1" x14ac:dyDescent="0.3">
      <c r="A788" t="s">
        <v>3035</v>
      </c>
    </row>
    <row r="789" spans="1:1" x14ac:dyDescent="0.3">
      <c r="A789" t="s">
        <v>3036</v>
      </c>
    </row>
    <row r="790" spans="1:1" x14ac:dyDescent="0.3">
      <c r="A790" t="s">
        <v>3037</v>
      </c>
    </row>
    <row r="791" spans="1:1" x14ac:dyDescent="0.3">
      <c r="A791" t="s">
        <v>3038</v>
      </c>
    </row>
    <row r="792" spans="1:1" x14ac:dyDescent="0.3">
      <c r="A792" t="s">
        <v>3039</v>
      </c>
    </row>
    <row r="793" spans="1:1" x14ac:dyDescent="0.3">
      <c r="A793" t="s">
        <v>3040</v>
      </c>
    </row>
    <row r="794" spans="1:1" x14ac:dyDescent="0.3">
      <c r="A794" t="s">
        <v>3041</v>
      </c>
    </row>
    <row r="795" spans="1:1" x14ac:dyDescent="0.3">
      <c r="A795" t="s">
        <v>3042</v>
      </c>
    </row>
    <row r="796" spans="1:1" x14ac:dyDescent="0.3">
      <c r="A796" t="s">
        <v>3043</v>
      </c>
    </row>
    <row r="797" spans="1:1" x14ac:dyDescent="0.3">
      <c r="A797" t="s">
        <v>3044</v>
      </c>
    </row>
    <row r="798" spans="1:1" x14ac:dyDescent="0.3">
      <c r="A798" t="s">
        <v>3045</v>
      </c>
    </row>
    <row r="799" spans="1:1" x14ac:dyDescent="0.3">
      <c r="A799" t="s">
        <v>3046</v>
      </c>
    </row>
    <row r="800" spans="1:1" x14ac:dyDescent="0.3">
      <c r="A800" t="s">
        <v>3047</v>
      </c>
    </row>
    <row r="801" spans="1:1" x14ac:dyDescent="0.3">
      <c r="A801" t="s">
        <v>3048</v>
      </c>
    </row>
    <row r="802" spans="1:1" x14ac:dyDescent="0.3">
      <c r="A802" t="s">
        <v>3049</v>
      </c>
    </row>
  </sheetData>
  <pageMargins left="0.7" right="0.7" top="0.75" bottom="0.75" header="0.3" footer="0.3"/>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E9BE0A3B-979B-479E-8CBE-8640C250919D}">
  <dimension ref="A1:AU802"/>
  <sheetViews>
    <sheetView topLeftCell="AF1" workbookViewId="0">
      <selection activeCell="C10" sqref="C10"/>
    </sheetView>
  </sheetViews>
  <sheetFormatPr defaultRowHeight="14.4" x14ac:dyDescent="0.3"/>
  <cols>
    <col min="1" max="1" width="12.33203125" bestFit="1" customWidth="1"/>
    <col min="2" max="2" width="35.5546875" bestFit="1" customWidth="1"/>
    <col min="3" max="4" width="8" customWidth="1"/>
    <col min="5" max="5" width="47" bestFit="1" customWidth="1"/>
    <col min="6" max="11" width="47" customWidth="1"/>
    <col min="12" max="12" width="13.88671875" customWidth="1"/>
    <col min="13" max="13" width="14.6640625" customWidth="1"/>
    <col min="14" max="14" width="16.88671875" customWidth="1"/>
    <col min="15" max="15" width="17.44140625" customWidth="1"/>
    <col min="16" max="17" width="14.5546875" customWidth="1"/>
    <col min="18" max="18" width="13.5546875" customWidth="1"/>
    <col min="19" max="20" width="15.44140625" customWidth="1"/>
    <col min="21" max="21" width="15.33203125" customWidth="1"/>
    <col min="22" max="22" width="17" customWidth="1"/>
    <col min="23" max="23" width="13.21875" customWidth="1"/>
    <col min="24" max="24" width="17" customWidth="1"/>
    <col min="25" max="25" width="16.6640625" customWidth="1"/>
    <col min="26" max="26" width="17.6640625" customWidth="1"/>
    <col min="27" max="27" width="14.5546875" customWidth="1"/>
    <col min="28" max="28" width="14.88671875" customWidth="1"/>
    <col min="29" max="29" width="15.6640625" customWidth="1"/>
    <col min="30" max="30" width="8.6640625" customWidth="1"/>
    <col min="31" max="31" width="17.21875" customWidth="1"/>
    <col min="32" max="32" width="17.88671875" customWidth="1"/>
    <col min="33" max="33" width="12.33203125" customWidth="1"/>
    <col min="34" max="34" width="14.6640625" customWidth="1"/>
    <col min="35" max="35" width="10.33203125" customWidth="1"/>
    <col min="36" max="36" width="20.44140625" customWidth="1"/>
    <col min="37" max="37" width="11.33203125" customWidth="1"/>
    <col min="38" max="38" width="7.6640625" customWidth="1"/>
    <col min="39" max="39" width="18.77734375" customWidth="1"/>
    <col min="40" max="40" width="21" customWidth="1"/>
    <col min="41" max="41" width="19" customWidth="1"/>
    <col min="42" max="42" width="11.77734375" customWidth="1"/>
    <col min="43" max="43" width="13.44140625" customWidth="1"/>
    <col min="44" max="44" width="8.5546875" customWidth="1"/>
    <col min="45" max="45" width="12" customWidth="1"/>
    <col min="46" max="46" width="12.77734375" customWidth="1"/>
    <col min="47" max="47" width="14.44140625" customWidth="1"/>
  </cols>
  <sheetData>
    <row r="1" spans="1:47" s="6" customFormat="1" ht="15.6" x14ac:dyDescent="0.3">
      <c r="A1" s="4" t="s">
        <v>28</v>
      </c>
      <c r="B1" s="4" t="s">
        <v>27</v>
      </c>
      <c r="C1" s="4" t="s">
        <v>34</v>
      </c>
      <c r="D1" s="4" t="s">
        <v>35</v>
      </c>
      <c r="E1" s="4" t="s">
        <v>3050</v>
      </c>
      <c r="F1" s="5" t="s">
        <v>3218</v>
      </c>
      <c r="G1" s="5" t="s">
        <v>3219</v>
      </c>
      <c r="H1" s="5" t="s">
        <v>3286</v>
      </c>
      <c r="I1" s="5" t="s">
        <v>3220</v>
      </c>
      <c r="J1" s="5" t="s">
        <v>3221</v>
      </c>
      <c r="K1" s="5" t="s">
        <v>3222</v>
      </c>
      <c r="L1" s="4" t="s">
        <v>0</v>
      </c>
      <c r="M1" s="4" t="s">
        <v>1</v>
      </c>
      <c r="N1" s="4" t="s">
        <v>2</v>
      </c>
      <c r="O1" s="4" t="s">
        <v>3</v>
      </c>
      <c r="P1" s="4" t="s">
        <v>4</v>
      </c>
      <c r="Q1" s="4" t="s">
        <v>5</v>
      </c>
      <c r="R1" s="4" t="s">
        <v>6</v>
      </c>
      <c r="S1" s="4" t="s">
        <v>7</v>
      </c>
      <c r="T1" s="4" t="s">
        <v>8</v>
      </c>
      <c r="U1" s="4" t="s">
        <v>9</v>
      </c>
      <c r="V1" s="4" t="s">
        <v>10</v>
      </c>
      <c r="W1" s="4" t="s">
        <v>11</v>
      </c>
      <c r="X1" s="4" t="s">
        <v>12</v>
      </c>
      <c r="Y1" s="4" t="s">
        <v>13</v>
      </c>
      <c r="Z1" s="4" t="s">
        <v>14</v>
      </c>
      <c r="AA1" s="4" t="s">
        <v>15</v>
      </c>
      <c r="AB1" s="4" t="s">
        <v>16</v>
      </c>
      <c r="AC1" s="4" t="s">
        <v>17</v>
      </c>
      <c r="AD1" s="4" t="s">
        <v>18</v>
      </c>
      <c r="AE1" s="4" t="s">
        <v>19</v>
      </c>
      <c r="AF1" s="4" t="s">
        <v>20</v>
      </c>
      <c r="AG1" s="4" t="s">
        <v>21</v>
      </c>
      <c r="AH1" s="4" t="s">
        <v>22</v>
      </c>
      <c r="AI1" s="4" t="s">
        <v>23</v>
      </c>
      <c r="AJ1" s="4" t="s">
        <v>24</v>
      </c>
      <c r="AK1" s="4" t="s">
        <v>25</v>
      </c>
      <c r="AL1" s="4" t="s">
        <v>26</v>
      </c>
      <c r="AM1" s="4" t="s">
        <v>29</v>
      </c>
      <c r="AN1" s="4" t="s">
        <v>3053</v>
      </c>
      <c r="AO1" s="4" t="s">
        <v>30</v>
      </c>
      <c r="AP1" s="4" t="s">
        <v>31</v>
      </c>
      <c r="AQ1" s="4" t="s">
        <v>32</v>
      </c>
      <c r="AR1" s="4" t="s">
        <v>33</v>
      </c>
      <c r="AS1" s="4" t="s">
        <v>36</v>
      </c>
      <c r="AT1" s="4" t="s">
        <v>37</v>
      </c>
      <c r="AU1" s="4" t="s">
        <v>38</v>
      </c>
    </row>
    <row r="2" spans="1:47" x14ac:dyDescent="0.3">
      <c r="A2" s="1" t="s">
        <v>41</v>
      </c>
      <c r="B2" s="1" t="s">
        <v>40</v>
      </c>
      <c r="C2" s="1" t="s">
        <v>42</v>
      </c>
      <c r="D2" s="1" t="s">
        <v>43</v>
      </c>
      <c r="E2" s="1" t="s">
        <v>39</v>
      </c>
      <c r="F2" t="s">
        <v>3113</v>
      </c>
      <c r="G2" t="s">
        <v>3068</v>
      </c>
      <c r="H2" t="s">
        <v>52</v>
      </c>
      <c r="I2" t="s">
        <v>52</v>
      </c>
      <c r="J2" t="s">
        <v>52</v>
      </c>
      <c r="K2" t="s">
        <v>52</v>
      </c>
      <c r="L2" s="2">
        <v>1</v>
      </c>
      <c r="M2" s="2">
        <v>1</v>
      </c>
      <c r="N2" s="2">
        <v>1</v>
      </c>
      <c r="O2" s="2">
        <v>0.5</v>
      </c>
      <c r="P2" s="2">
        <v>0.5</v>
      </c>
      <c r="Q2" s="2">
        <v>0.5</v>
      </c>
      <c r="R2" s="2">
        <v>2</v>
      </c>
      <c r="S2" s="2">
        <v>2</v>
      </c>
      <c r="T2" s="2">
        <v>1</v>
      </c>
      <c r="U2" s="2">
        <v>0.25</v>
      </c>
      <c r="V2" s="2">
        <v>1</v>
      </c>
      <c r="W2" s="2">
        <v>2</v>
      </c>
      <c r="X2" s="2">
        <v>1</v>
      </c>
      <c r="Y2" s="2">
        <v>1</v>
      </c>
      <c r="Z2" s="2">
        <v>2</v>
      </c>
      <c r="AA2" s="2">
        <v>1</v>
      </c>
      <c r="AB2" s="2">
        <v>1</v>
      </c>
      <c r="AC2" s="2">
        <v>0.5</v>
      </c>
      <c r="AD2" s="2">
        <v>49</v>
      </c>
      <c r="AE2" s="2">
        <v>5120</v>
      </c>
      <c r="AF2" s="2">
        <v>70</v>
      </c>
      <c r="AG2" s="2">
        <v>318</v>
      </c>
      <c r="AH2" s="2">
        <v>45</v>
      </c>
      <c r="AI2" s="2">
        <v>49</v>
      </c>
      <c r="AJ2" s="1">
        <v>1059860</v>
      </c>
      <c r="AK2" s="1">
        <v>0.7</v>
      </c>
      <c r="AL2" s="1">
        <v>45</v>
      </c>
      <c r="AM2" s="2">
        <v>88.1</v>
      </c>
      <c r="AN2" s="2">
        <f>IF(AM2="","",100-AM2)</f>
        <v>11.900000000000006</v>
      </c>
      <c r="AO2" s="3">
        <v>1</v>
      </c>
      <c r="AP2" s="3">
        <v>65</v>
      </c>
      <c r="AQ2" s="3">
        <v>65</v>
      </c>
      <c r="AR2" s="3">
        <v>45</v>
      </c>
      <c r="AS2" s="1">
        <v>6.9</v>
      </c>
      <c r="AT2" s="3">
        <v>1</v>
      </c>
      <c r="AU2" s="3" t="s">
        <v>3051</v>
      </c>
    </row>
    <row r="3" spans="1:47" x14ac:dyDescent="0.3">
      <c r="A3" s="1" t="s">
        <v>45</v>
      </c>
      <c r="B3" s="1" t="s">
        <v>44</v>
      </c>
      <c r="C3" s="1" t="s">
        <v>42</v>
      </c>
      <c r="D3" s="1" t="s">
        <v>43</v>
      </c>
      <c r="E3" s="1" t="s">
        <v>39</v>
      </c>
      <c r="F3" t="s">
        <v>3113</v>
      </c>
      <c r="G3" t="s">
        <v>3068</v>
      </c>
      <c r="H3" t="s">
        <v>52</v>
      </c>
      <c r="I3" t="s">
        <v>52</v>
      </c>
      <c r="J3" t="s">
        <v>52</v>
      </c>
      <c r="K3" t="s">
        <v>52</v>
      </c>
      <c r="L3" s="2">
        <v>1</v>
      </c>
      <c r="M3" s="2">
        <v>1</v>
      </c>
      <c r="N3" s="2">
        <v>1</v>
      </c>
      <c r="O3" s="2">
        <v>0.5</v>
      </c>
      <c r="P3" s="2">
        <v>0.5</v>
      </c>
      <c r="Q3" s="2">
        <v>0.5</v>
      </c>
      <c r="R3" s="2">
        <v>2</v>
      </c>
      <c r="S3" s="2">
        <v>2</v>
      </c>
      <c r="T3" s="2">
        <v>1</v>
      </c>
      <c r="U3" s="2">
        <v>0.25</v>
      </c>
      <c r="V3" s="2">
        <v>1</v>
      </c>
      <c r="W3" s="2">
        <v>2</v>
      </c>
      <c r="X3" s="2">
        <v>1</v>
      </c>
      <c r="Y3" s="2">
        <v>1</v>
      </c>
      <c r="Z3" s="2">
        <v>2</v>
      </c>
      <c r="AA3" s="2">
        <v>1</v>
      </c>
      <c r="AB3" s="2">
        <v>1</v>
      </c>
      <c r="AC3" s="2">
        <v>0.5</v>
      </c>
      <c r="AD3" s="2">
        <v>62</v>
      </c>
      <c r="AE3" s="2">
        <v>5120</v>
      </c>
      <c r="AF3" s="2">
        <v>70</v>
      </c>
      <c r="AG3" s="2">
        <v>405</v>
      </c>
      <c r="AH3" s="2">
        <v>45</v>
      </c>
      <c r="AI3" s="2">
        <v>63</v>
      </c>
      <c r="AJ3" s="1">
        <v>1059860</v>
      </c>
      <c r="AK3" s="1">
        <v>1</v>
      </c>
      <c r="AL3" s="1">
        <v>60</v>
      </c>
      <c r="AM3" s="2">
        <v>88.1</v>
      </c>
      <c r="AN3" s="2">
        <f t="shared" ref="AN3:AN66" si="0">IF(AM3="","",100-AM3)</f>
        <v>11.900000000000006</v>
      </c>
      <c r="AO3" s="3">
        <v>2</v>
      </c>
      <c r="AP3" s="3">
        <v>80</v>
      </c>
      <c r="AQ3" s="3">
        <v>80</v>
      </c>
      <c r="AR3" s="3">
        <v>60</v>
      </c>
      <c r="AS3" s="1">
        <v>13</v>
      </c>
      <c r="AT3" s="3">
        <v>1</v>
      </c>
      <c r="AU3" s="3" t="s">
        <v>3051</v>
      </c>
    </row>
    <row r="4" spans="1:47" x14ac:dyDescent="0.3">
      <c r="A4" s="1" t="s">
        <v>47</v>
      </c>
      <c r="B4" s="1" t="s">
        <v>46</v>
      </c>
      <c r="C4" s="1" t="s">
        <v>42</v>
      </c>
      <c r="D4" s="1" t="s">
        <v>43</v>
      </c>
      <c r="E4" s="1" t="s">
        <v>39</v>
      </c>
      <c r="F4" t="s">
        <v>3113</v>
      </c>
      <c r="G4" t="s">
        <v>3068</v>
      </c>
      <c r="H4" t="s">
        <v>52</v>
      </c>
      <c r="I4" t="s">
        <v>52</v>
      </c>
      <c r="J4" t="s">
        <v>52</v>
      </c>
      <c r="K4" t="s">
        <v>52</v>
      </c>
      <c r="L4" s="2">
        <v>1</v>
      </c>
      <c r="M4" s="2">
        <v>1</v>
      </c>
      <c r="N4" s="2">
        <v>1</v>
      </c>
      <c r="O4" s="2">
        <v>0.5</v>
      </c>
      <c r="P4" s="2">
        <v>0.5</v>
      </c>
      <c r="Q4" s="2">
        <v>0.5</v>
      </c>
      <c r="R4" s="2">
        <v>2</v>
      </c>
      <c r="S4" s="2">
        <v>2</v>
      </c>
      <c r="T4" s="2">
        <v>1</v>
      </c>
      <c r="U4" s="2">
        <v>0.25</v>
      </c>
      <c r="V4" s="2">
        <v>1</v>
      </c>
      <c r="W4" s="2">
        <v>2</v>
      </c>
      <c r="X4" s="2">
        <v>1</v>
      </c>
      <c r="Y4" s="2">
        <v>1</v>
      </c>
      <c r="Z4" s="2">
        <v>2</v>
      </c>
      <c r="AA4" s="2">
        <v>1</v>
      </c>
      <c r="AB4" s="2">
        <v>1</v>
      </c>
      <c r="AC4" s="2">
        <v>0.5</v>
      </c>
      <c r="AD4" s="2">
        <v>100</v>
      </c>
      <c r="AE4" s="2">
        <v>5120</v>
      </c>
      <c r="AF4" s="2">
        <v>70</v>
      </c>
      <c r="AG4" s="2">
        <v>625</v>
      </c>
      <c r="AH4" s="2">
        <v>45</v>
      </c>
      <c r="AI4" s="2">
        <v>123</v>
      </c>
      <c r="AJ4" s="1">
        <v>1059860</v>
      </c>
      <c r="AK4" s="1">
        <v>2</v>
      </c>
      <c r="AL4" s="1">
        <v>80</v>
      </c>
      <c r="AM4" s="2">
        <v>88.1</v>
      </c>
      <c r="AN4" s="2">
        <f t="shared" si="0"/>
        <v>11.900000000000006</v>
      </c>
      <c r="AO4" s="3">
        <v>3</v>
      </c>
      <c r="AP4" s="3">
        <v>122</v>
      </c>
      <c r="AQ4" s="3">
        <v>120</v>
      </c>
      <c r="AR4" s="3">
        <v>80</v>
      </c>
      <c r="AS4" s="1">
        <v>100</v>
      </c>
      <c r="AT4" s="3">
        <v>1</v>
      </c>
      <c r="AU4" s="3" t="s">
        <v>3051</v>
      </c>
    </row>
    <row r="5" spans="1:47" x14ac:dyDescent="0.3">
      <c r="A5" s="1" t="s">
        <v>50</v>
      </c>
      <c r="B5" s="1" t="s">
        <v>49</v>
      </c>
      <c r="C5" s="1" t="s">
        <v>51</v>
      </c>
      <c r="D5" s="1" t="s">
        <v>52</v>
      </c>
      <c r="E5" s="1" t="s">
        <v>48</v>
      </c>
      <c r="F5" t="s">
        <v>3114</v>
      </c>
      <c r="G5" t="s">
        <v>3223</v>
      </c>
      <c r="H5" t="s">
        <v>52</v>
      </c>
      <c r="I5" t="s">
        <v>52</v>
      </c>
      <c r="J5" t="s">
        <v>52</v>
      </c>
      <c r="K5" t="s">
        <v>52</v>
      </c>
      <c r="L5" s="2">
        <v>0.5</v>
      </c>
      <c r="M5" s="2">
        <v>1</v>
      </c>
      <c r="N5" s="2">
        <v>1</v>
      </c>
      <c r="O5" s="2">
        <v>1</v>
      </c>
      <c r="P5" s="2">
        <v>0.5</v>
      </c>
      <c r="Q5" s="2">
        <v>1</v>
      </c>
      <c r="R5" s="2">
        <v>0.5</v>
      </c>
      <c r="S5" s="2">
        <v>1</v>
      </c>
      <c r="T5" s="2">
        <v>1</v>
      </c>
      <c r="U5" s="2">
        <v>0.5</v>
      </c>
      <c r="V5" s="2">
        <v>2</v>
      </c>
      <c r="W5" s="2">
        <v>0.5</v>
      </c>
      <c r="X5" s="2">
        <v>1</v>
      </c>
      <c r="Y5" s="2">
        <v>1</v>
      </c>
      <c r="Z5" s="2">
        <v>1</v>
      </c>
      <c r="AA5" s="2">
        <v>2</v>
      </c>
      <c r="AB5" s="2">
        <v>0.5</v>
      </c>
      <c r="AC5" s="2">
        <v>2</v>
      </c>
      <c r="AD5" s="2">
        <v>52</v>
      </c>
      <c r="AE5" s="2">
        <v>5120</v>
      </c>
      <c r="AF5" s="2">
        <v>70</v>
      </c>
      <c r="AG5" s="2">
        <v>309</v>
      </c>
      <c r="AH5" s="2">
        <v>45</v>
      </c>
      <c r="AI5" s="2">
        <v>43</v>
      </c>
      <c r="AJ5" s="1">
        <v>1059860</v>
      </c>
      <c r="AK5" s="1">
        <v>0.6</v>
      </c>
      <c r="AL5" s="1">
        <v>39</v>
      </c>
      <c r="AM5" s="2">
        <v>88.1</v>
      </c>
      <c r="AN5" s="2">
        <f t="shared" si="0"/>
        <v>11.900000000000006</v>
      </c>
      <c r="AO5" s="3">
        <v>4</v>
      </c>
      <c r="AP5" s="3">
        <v>60</v>
      </c>
      <c r="AQ5" s="3">
        <v>50</v>
      </c>
      <c r="AR5" s="3">
        <v>65</v>
      </c>
      <c r="AS5" s="1">
        <v>8.5</v>
      </c>
      <c r="AT5" s="3">
        <v>1</v>
      </c>
      <c r="AU5" s="3" t="s">
        <v>3051</v>
      </c>
    </row>
    <row r="6" spans="1:47" x14ac:dyDescent="0.3">
      <c r="A6" s="1" t="s">
        <v>55</v>
      </c>
      <c r="B6" s="1" t="s">
        <v>54</v>
      </c>
      <c r="C6" s="1" t="s">
        <v>51</v>
      </c>
      <c r="D6" s="1" t="s">
        <v>52</v>
      </c>
      <c r="E6" s="1" t="s">
        <v>53</v>
      </c>
      <c r="F6" t="s">
        <v>3114</v>
      </c>
      <c r="G6" t="s">
        <v>3223</v>
      </c>
      <c r="H6" t="s">
        <v>52</v>
      </c>
      <c r="I6" t="s">
        <v>52</v>
      </c>
      <c r="J6" t="s">
        <v>52</v>
      </c>
      <c r="K6" t="s">
        <v>52</v>
      </c>
      <c r="L6" s="2">
        <v>0.5</v>
      </c>
      <c r="M6" s="2">
        <v>1</v>
      </c>
      <c r="N6" s="2">
        <v>1</v>
      </c>
      <c r="O6" s="2">
        <v>1</v>
      </c>
      <c r="P6" s="2">
        <v>0.5</v>
      </c>
      <c r="Q6" s="2">
        <v>1</v>
      </c>
      <c r="R6" s="2">
        <v>0.5</v>
      </c>
      <c r="S6" s="2">
        <v>1</v>
      </c>
      <c r="T6" s="2">
        <v>1</v>
      </c>
      <c r="U6" s="2">
        <v>0.5</v>
      </c>
      <c r="V6" s="2">
        <v>2</v>
      </c>
      <c r="W6" s="2">
        <v>0.5</v>
      </c>
      <c r="X6" s="2">
        <v>1</v>
      </c>
      <c r="Y6" s="2">
        <v>1</v>
      </c>
      <c r="Z6" s="2">
        <v>1</v>
      </c>
      <c r="AA6" s="2">
        <v>2</v>
      </c>
      <c r="AB6" s="2">
        <v>0.5</v>
      </c>
      <c r="AC6" s="2">
        <v>2</v>
      </c>
      <c r="AD6" s="2">
        <v>64</v>
      </c>
      <c r="AE6" s="2">
        <v>5120</v>
      </c>
      <c r="AF6" s="2">
        <v>70</v>
      </c>
      <c r="AG6" s="2">
        <v>405</v>
      </c>
      <c r="AH6" s="2">
        <v>45</v>
      </c>
      <c r="AI6" s="2">
        <v>58</v>
      </c>
      <c r="AJ6" s="1">
        <v>1059860</v>
      </c>
      <c r="AK6" s="1">
        <v>1.1000000000000001</v>
      </c>
      <c r="AL6" s="1">
        <v>58</v>
      </c>
      <c r="AM6" s="2">
        <v>88.1</v>
      </c>
      <c r="AN6" s="2">
        <f t="shared" si="0"/>
        <v>11.900000000000006</v>
      </c>
      <c r="AO6" s="3">
        <v>5</v>
      </c>
      <c r="AP6" s="3">
        <v>80</v>
      </c>
      <c r="AQ6" s="3">
        <v>65</v>
      </c>
      <c r="AR6" s="3">
        <v>80</v>
      </c>
      <c r="AS6" s="1">
        <v>19</v>
      </c>
      <c r="AT6" s="3">
        <v>1</v>
      </c>
      <c r="AU6" s="3" t="s">
        <v>3051</v>
      </c>
    </row>
    <row r="7" spans="1:47" x14ac:dyDescent="0.3">
      <c r="A7" s="1" t="s">
        <v>57</v>
      </c>
      <c r="B7" s="1" t="s">
        <v>56</v>
      </c>
      <c r="C7" s="1" t="s">
        <v>51</v>
      </c>
      <c r="D7" s="1" t="s">
        <v>58</v>
      </c>
      <c r="E7" s="1" t="s">
        <v>53</v>
      </c>
      <c r="F7" t="s">
        <v>3114</v>
      </c>
      <c r="G7" t="s">
        <v>3223</v>
      </c>
      <c r="H7" t="s">
        <v>52</v>
      </c>
      <c r="I7" t="s">
        <v>52</v>
      </c>
      <c r="J7" t="s">
        <v>52</v>
      </c>
      <c r="K7" t="s">
        <v>52</v>
      </c>
      <c r="L7" s="2">
        <v>0.25</v>
      </c>
      <c r="M7" s="2">
        <v>1</v>
      </c>
      <c r="N7" s="2">
        <v>1</v>
      </c>
      <c r="O7" s="2">
        <v>2</v>
      </c>
      <c r="P7" s="2">
        <v>0.5</v>
      </c>
      <c r="Q7" s="2">
        <v>0.5</v>
      </c>
      <c r="R7" s="2">
        <v>0.5</v>
      </c>
      <c r="S7" s="2">
        <v>1</v>
      </c>
      <c r="T7" s="2">
        <v>1</v>
      </c>
      <c r="U7" s="2">
        <v>0.25</v>
      </c>
      <c r="V7" s="2">
        <v>0</v>
      </c>
      <c r="W7" s="2">
        <v>1</v>
      </c>
      <c r="X7" s="2">
        <v>1</v>
      </c>
      <c r="Y7" s="2">
        <v>1</v>
      </c>
      <c r="Z7" s="2">
        <v>1</v>
      </c>
      <c r="AA7" s="2">
        <v>4</v>
      </c>
      <c r="AB7" s="2">
        <v>0.5</v>
      </c>
      <c r="AC7" s="2">
        <v>2</v>
      </c>
      <c r="AD7" s="2">
        <v>104</v>
      </c>
      <c r="AE7" s="2">
        <v>5120</v>
      </c>
      <c r="AF7" s="2">
        <v>70</v>
      </c>
      <c r="AG7" s="2">
        <v>634</v>
      </c>
      <c r="AH7" s="2">
        <v>45</v>
      </c>
      <c r="AI7" s="2">
        <v>78</v>
      </c>
      <c r="AJ7" s="1">
        <v>1059860</v>
      </c>
      <c r="AK7" s="1">
        <v>1.7</v>
      </c>
      <c r="AL7" s="1">
        <v>78</v>
      </c>
      <c r="AM7" s="2">
        <v>88.1</v>
      </c>
      <c r="AN7" s="2">
        <f t="shared" si="0"/>
        <v>11.900000000000006</v>
      </c>
      <c r="AO7" s="3">
        <v>6</v>
      </c>
      <c r="AP7" s="3">
        <v>159</v>
      </c>
      <c r="AQ7" s="3">
        <v>115</v>
      </c>
      <c r="AR7" s="3">
        <v>100</v>
      </c>
      <c r="AS7" s="1">
        <v>90.5</v>
      </c>
      <c r="AT7" s="3">
        <v>1</v>
      </c>
      <c r="AU7" s="3" t="s">
        <v>3051</v>
      </c>
    </row>
    <row r="8" spans="1:47" x14ac:dyDescent="0.3">
      <c r="A8" s="1" t="s">
        <v>61</v>
      </c>
      <c r="B8" s="1" t="s">
        <v>60</v>
      </c>
      <c r="C8" s="1" t="s">
        <v>62</v>
      </c>
      <c r="D8" s="1" t="s">
        <v>52</v>
      </c>
      <c r="E8" s="1" t="s">
        <v>59</v>
      </c>
      <c r="F8" t="s">
        <v>3115</v>
      </c>
      <c r="G8" t="s">
        <v>3224</v>
      </c>
      <c r="H8" t="s">
        <v>52</v>
      </c>
      <c r="I8" t="s">
        <v>52</v>
      </c>
      <c r="J8" t="s">
        <v>52</v>
      </c>
      <c r="K8" t="s">
        <v>52</v>
      </c>
      <c r="L8" s="2">
        <v>1</v>
      </c>
      <c r="M8" s="2">
        <v>1</v>
      </c>
      <c r="N8" s="2">
        <v>1</v>
      </c>
      <c r="O8" s="2">
        <v>2</v>
      </c>
      <c r="P8" s="2">
        <v>1</v>
      </c>
      <c r="Q8" s="2">
        <v>1</v>
      </c>
      <c r="R8" s="2">
        <v>0.5</v>
      </c>
      <c r="S8" s="2">
        <v>1</v>
      </c>
      <c r="T8" s="2">
        <v>1</v>
      </c>
      <c r="U8" s="2">
        <v>2</v>
      </c>
      <c r="V8" s="2">
        <v>1</v>
      </c>
      <c r="W8" s="2">
        <v>0.5</v>
      </c>
      <c r="X8" s="2">
        <v>1</v>
      </c>
      <c r="Y8" s="2">
        <v>1</v>
      </c>
      <c r="Z8" s="2">
        <v>1</v>
      </c>
      <c r="AA8" s="2">
        <v>1</v>
      </c>
      <c r="AB8" s="2">
        <v>0.5</v>
      </c>
      <c r="AC8" s="2">
        <v>0.5</v>
      </c>
      <c r="AD8" s="2">
        <v>48</v>
      </c>
      <c r="AE8" s="2">
        <v>5120</v>
      </c>
      <c r="AF8" s="2">
        <v>70</v>
      </c>
      <c r="AG8" s="2">
        <v>314</v>
      </c>
      <c r="AH8" s="2">
        <v>45</v>
      </c>
      <c r="AI8" s="2">
        <v>65</v>
      </c>
      <c r="AJ8" s="1">
        <v>1059860</v>
      </c>
      <c r="AK8" s="1">
        <v>0.5</v>
      </c>
      <c r="AL8" s="1">
        <v>44</v>
      </c>
      <c r="AM8" s="2">
        <v>88.1</v>
      </c>
      <c r="AN8" s="2">
        <f t="shared" si="0"/>
        <v>11.900000000000006</v>
      </c>
      <c r="AO8" s="3">
        <v>7</v>
      </c>
      <c r="AP8" s="3">
        <v>50</v>
      </c>
      <c r="AQ8" s="3">
        <v>64</v>
      </c>
      <c r="AR8" s="3">
        <v>43</v>
      </c>
      <c r="AS8" s="1">
        <v>9</v>
      </c>
      <c r="AT8" s="3">
        <v>1</v>
      </c>
      <c r="AU8" s="3" t="s">
        <v>3051</v>
      </c>
    </row>
    <row r="9" spans="1:47" x14ac:dyDescent="0.3">
      <c r="A9" s="1" t="s">
        <v>65</v>
      </c>
      <c r="B9" s="1" t="s">
        <v>64</v>
      </c>
      <c r="C9" s="1" t="s">
        <v>62</v>
      </c>
      <c r="D9" s="1" t="s">
        <v>52</v>
      </c>
      <c r="E9" s="1" t="s">
        <v>63</v>
      </c>
      <c r="F9" t="s">
        <v>3115</v>
      </c>
      <c r="G9" t="s">
        <v>3224</v>
      </c>
      <c r="H9" t="s">
        <v>52</v>
      </c>
      <c r="I9" t="s">
        <v>52</v>
      </c>
      <c r="J9" t="s">
        <v>52</v>
      </c>
      <c r="K9" t="s">
        <v>52</v>
      </c>
      <c r="L9" s="2">
        <v>1</v>
      </c>
      <c r="M9" s="2">
        <v>1</v>
      </c>
      <c r="N9" s="2">
        <v>1</v>
      </c>
      <c r="O9" s="2">
        <v>2</v>
      </c>
      <c r="P9" s="2">
        <v>1</v>
      </c>
      <c r="Q9" s="2">
        <v>1</v>
      </c>
      <c r="R9" s="2">
        <v>0.5</v>
      </c>
      <c r="S9" s="2">
        <v>1</v>
      </c>
      <c r="T9" s="2">
        <v>1</v>
      </c>
      <c r="U9" s="2">
        <v>2</v>
      </c>
      <c r="V9" s="2">
        <v>1</v>
      </c>
      <c r="W9" s="2">
        <v>0.5</v>
      </c>
      <c r="X9" s="2">
        <v>1</v>
      </c>
      <c r="Y9" s="2">
        <v>1</v>
      </c>
      <c r="Z9" s="2">
        <v>1</v>
      </c>
      <c r="AA9" s="2">
        <v>1</v>
      </c>
      <c r="AB9" s="2">
        <v>0.5</v>
      </c>
      <c r="AC9" s="2">
        <v>0.5</v>
      </c>
      <c r="AD9" s="2">
        <v>63</v>
      </c>
      <c r="AE9" s="2">
        <v>5120</v>
      </c>
      <c r="AF9" s="2">
        <v>70</v>
      </c>
      <c r="AG9" s="2">
        <v>405</v>
      </c>
      <c r="AH9" s="2">
        <v>45</v>
      </c>
      <c r="AI9" s="2">
        <v>80</v>
      </c>
      <c r="AJ9" s="1">
        <v>1059860</v>
      </c>
      <c r="AK9" s="1">
        <v>1</v>
      </c>
      <c r="AL9" s="1">
        <v>59</v>
      </c>
      <c r="AM9" s="2">
        <v>88.1</v>
      </c>
      <c r="AN9" s="2">
        <f t="shared" si="0"/>
        <v>11.900000000000006</v>
      </c>
      <c r="AO9" s="3">
        <v>8</v>
      </c>
      <c r="AP9" s="3">
        <v>65</v>
      </c>
      <c r="AQ9" s="3">
        <v>80</v>
      </c>
      <c r="AR9" s="3">
        <v>58</v>
      </c>
      <c r="AS9" s="1">
        <v>22.5</v>
      </c>
      <c r="AT9" s="3">
        <v>1</v>
      </c>
      <c r="AU9" s="3" t="s">
        <v>3051</v>
      </c>
    </row>
    <row r="10" spans="1:47" x14ac:dyDescent="0.3">
      <c r="A10" s="1" t="s">
        <v>68</v>
      </c>
      <c r="B10" s="1" t="s">
        <v>67</v>
      </c>
      <c r="C10" s="1" t="s">
        <v>62</v>
      </c>
      <c r="D10" s="1" t="s">
        <v>52</v>
      </c>
      <c r="E10" s="1" t="s">
        <v>66</v>
      </c>
      <c r="F10" t="s">
        <v>3115</v>
      </c>
      <c r="G10" t="s">
        <v>3224</v>
      </c>
      <c r="H10" t="s">
        <v>52</v>
      </c>
      <c r="I10" t="s">
        <v>52</v>
      </c>
      <c r="J10" t="s">
        <v>52</v>
      </c>
      <c r="K10" t="s">
        <v>52</v>
      </c>
      <c r="L10" s="2">
        <v>1</v>
      </c>
      <c r="M10" s="2">
        <v>1</v>
      </c>
      <c r="N10" s="2">
        <v>1</v>
      </c>
      <c r="O10" s="2">
        <v>2</v>
      </c>
      <c r="P10" s="2">
        <v>1</v>
      </c>
      <c r="Q10" s="2">
        <v>1</v>
      </c>
      <c r="R10" s="2">
        <v>0.5</v>
      </c>
      <c r="S10" s="2">
        <v>1</v>
      </c>
      <c r="T10" s="2">
        <v>1</v>
      </c>
      <c r="U10" s="2">
        <v>2</v>
      </c>
      <c r="V10" s="2">
        <v>1</v>
      </c>
      <c r="W10" s="2">
        <v>0.5</v>
      </c>
      <c r="X10" s="2">
        <v>1</v>
      </c>
      <c r="Y10" s="2">
        <v>1</v>
      </c>
      <c r="Z10" s="2">
        <v>1</v>
      </c>
      <c r="AA10" s="2">
        <v>1</v>
      </c>
      <c r="AB10" s="2">
        <v>0.5</v>
      </c>
      <c r="AC10" s="2">
        <v>0.5</v>
      </c>
      <c r="AD10" s="2">
        <v>103</v>
      </c>
      <c r="AE10" s="2">
        <v>5120</v>
      </c>
      <c r="AF10" s="2">
        <v>70</v>
      </c>
      <c r="AG10" s="2">
        <v>630</v>
      </c>
      <c r="AH10" s="2">
        <v>45</v>
      </c>
      <c r="AI10" s="2">
        <v>120</v>
      </c>
      <c r="AJ10" s="1">
        <v>1059860</v>
      </c>
      <c r="AK10" s="1">
        <v>1.6</v>
      </c>
      <c r="AL10" s="1">
        <v>79</v>
      </c>
      <c r="AM10" s="2">
        <v>88.1</v>
      </c>
      <c r="AN10" s="2">
        <f t="shared" si="0"/>
        <v>11.900000000000006</v>
      </c>
      <c r="AO10" s="3">
        <v>9</v>
      </c>
      <c r="AP10" s="3">
        <v>135</v>
      </c>
      <c r="AQ10" s="3">
        <v>115</v>
      </c>
      <c r="AR10" s="3">
        <v>78</v>
      </c>
      <c r="AS10" s="1">
        <v>85.5</v>
      </c>
      <c r="AT10" s="3">
        <v>1</v>
      </c>
      <c r="AU10" s="3" t="s">
        <v>3051</v>
      </c>
    </row>
    <row r="11" spans="1:47" x14ac:dyDescent="0.3">
      <c r="A11" s="1" t="s">
        <v>71</v>
      </c>
      <c r="B11" s="1" t="s">
        <v>70</v>
      </c>
      <c r="C11" s="1" t="s">
        <v>72</v>
      </c>
      <c r="D11" s="1" t="s">
        <v>52</v>
      </c>
      <c r="E11" s="1" t="s">
        <v>69</v>
      </c>
      <c r="F11" t="s">
        <v>3116</v>
      </c>
      <c r="G11" t="s">
        <v>3119</v>
      </c>
      <c r="H11" t="s">
        <v>52</v>
      </c>
      <c r="I11" t="s">
        <v>52</v>
      </c>
      <c r="J11" t="s">
        <v>52</v>
      </c>
      <c r="K11" t="s">
        <v>52</v>
      </c>
      <c r="L11" s="2">
        <v>1</v>
      </c>
      <c r="M11" s="2">
        <v>1</v>
      </c>
      <c r="N11" s="2">
        <v>1</v>
      </c>
      <c r="O11" s="2">
        <v>1</v>
      </c>
      <c r="P11" s="2">
        <v>1</v>
      </c>
      <c r="Q11" s="2">
        <v>0.5</v>
      </c>
      <c r="R11" s="2">
        <v>2</v>
      </c>
      <c r="S11" s="2">
        <v>2</v>
      </c>
      <c r="T11" s="2">
        <v>1</v>
      </c>
      <c r="U11" s="2">
        <v>0.5</v>
      </c>
      <c r="V11" s="2">
        <v>0.5</v>
      </c>
      <c r="W11" s="2">
        <v>1</v>
      </c>
      <c r="X11" s="2">
        <v>1</v>
      </c>
      <c r="Y11" s="2">
        <v>1</v>
      </c>
      <c r="Z11" s="2">
        <v>1</v>
      </c>
      <c r="AA11" s="2">
        <v>2</v>
      </c>
      <c r="AB11" s="2">
        <v>1</v>
      </c>
      <c r="AC11" s="2">
        <v>1</v>
      </c>
      <c r="AD11" s="2">
        <v>30</v>
      </c>
      <c r="AE11" s="2">
        <v>3840</v>
      </c>
      <c r="AF11" s="2">
        <v>70</v>
      </c>
      <c r="AG11" s="2">
        <v>195</v>
      </c>
      <c r="AH11" s="2">
        <v>255</v>
      </c>
      <c r="AI11" s="2">
        <v>35</v>
      </c>
      <c r="AJ11" s="1">
        <v>1000000</v>
      </c>
      <c r="AK11" s="1">
        <v>0.3</v>
      </c>
      <c r="AL11" s="1">
        <v>45</v>
      </c>
      <c r="AM11" s="2">
        <v>50</v>
      </c>
      <c r="AN11" s="2">
        <f t="shared" si="0"/>
        <v>50</v>
      </c>
      <c r="AO11" s="3">
        <v>10</v>
      </c>
      <c r="AP11" s="3">
        <v>20</v>
      </c>
      <c r="AQ11" s="3">
        <v>20</v>
      </c>
      <c r="AR11" s="3">
        <v>45</v>
      </c>
      <c r="AS11" s="1">
        <v>2.9</v>
      </c>
      <c r="AT11" s="3">
        <v>1</v>
      </c>
      <c r="AU11" s="3" t="s">
        <v>3051</v>
      </c>
    </row>
    <row r="12" spans="1:47" x14ac:dyDescent="0.3">
      <c r="A12" s="1" t="s">
        <v>75</v>
      </c>
      <c r="B12" s="1" t="s">
        <v>74</v>
      </c>
      <c r="C12" s="1" t="s">
        <v>72</v>
      </c>
      <c r="D12" s="1" t="s">
        <v>52</v>
      </c>
      <c r="E12" s="1" t="s">
        <v>73</v>
      </c>
      <c r="F12" t="s">
        <v>3054</v>
      </c>
      <c r="G12" t="s">
        <v>52</v>
      </c>
      <c r="H12" t="s">
        <v>52</v>
      </c>
      <c r="I12" t="s">
        <v>52</v>
      </c>
      <c r="J12" t="s">
        <v>52</v>
      </c>
      <c r="K12" t="s">
        <v>52</v>
      </c>
      <c r="L12" s="2">
        <v>1</v>
      </c>
      <c r="M12" s="2">
        <v>1</v>
      </c>
      <c r="N12" s="2">
        <v>1</v>
      </c>
      <c r="O12" s="2">
        <v>1</v>
      </c>
      <c r="P12" s="2">
        <v>1</v>
      </c>
      <c r="Q12" s="2">
        <v>0.5</v>
      </c>
      <c r="R12" s="2">
        <v>2</v>
      </c>
      <c r="S12" s="2">
        <v>2</v>
      </c>
      <c r="T12" s="2">
        <v>1</v>
      </c>
      <c r="U12" s="2">
        <v>0.5</v>
      </c>
      <c r="V12" s="2">
        <v>0.5</v>
      </c>
      <c r="W12" s="2">
        <v>1</v>
      </c>
      <c r="X12" s="2">
        <v>1</v>
      </c>
      <c r="Y12" s="2">
        <v>1</v>
      </c>
      <c r="Z12" s="2">
        <v>1</v>
      </c>
      <c r="AA12" s="2">
        <v>2</v>
      </c>
      <c r="AB12" s="2">
        <v>1</v>
      </c>
      <c r="AC12" s="2">
        <v>1</v>
      </c>
      <c r="AD12" s="2">
        <v>20</v>
      </c>
      <c r="AE12" s="2">
        <v>3840</v>
      </c>
      <c r="AF12" s="2">
        <v>70</v>
      </c>
      <c r="AG12" s="2">
        <v>205</v>
      </c>
      <c r="AH12" s="2">
        <v>120</v>
      </c>
      <c r="AI12" s="2">
        <v>55</v>
      </c>
      <c r="AJ12" s="1">
        <v>1000000</v>
      </c>
      <c r="AK12" s="1">
        <v>0.7</v>
      </c>
      <c r="AL12" s="1">
        <v>50</v>
      </c>
      <c r="AM12" s="2">
        <v>50</v>
      </c>
      <c r="AN12" s="2">
        <f t="shared" si="0"/>
        <v>50</v>
      </c>
      <c r="AO12" s="3">
        <v>11</v>
      </c>
      <c r="AP12" s="3">
        <v>25</v>
      </c>
      <c r="AQ12" s="3">
        <v>25</v>
      </c>
      <c r="AR12" s="3">
        <v>30</v>
      </c>
      <c r="AS12" s="1">
        <v>9.9</v>
      </c>
      <c r="AT12" s="3">
        <v>1</v>
      </c>
      <c r="AU12" s="3" t="s">
        <v>3051</v>
      </c>
    </row>
    <row r="13" spans="1:47" x14ac:dyDescent="0.3">
      <c r="A13" s="1" t="s">
        <v>78</v>
      </c>
      <c r="B13" s="1" t="s">
        <v>77</v>
      </c>
      <c r="C13" s="1" t="s">
        <v>72</v>
      </c>
      <c r="D13" s="1" t="s">
        <v>58</v>
      </c>
      <c r="E13" s="1" t="s">
        <v>76</v>
      </c>
      <c r="F13" t="s">
        <v>3117</v>
      </c>
      <c r="G13" t="s">
        <v>3225</v>
      </c>
      <c r="H13" t="s">
        <v>52</v>
      </c>
      <c r="I13" t="s">
        <v>52</v>
      </c>
      <c r="J13" t="s">
        <v>52</v>
      </c>
      <c r="K13" t="s">
        <v>52</v>
      </c>
      <c r="L13" s="2">
        <v>0.5</v>
      </c>
      <c r="M13" s="2">
        <v>1</v>
      </c>
      <c r="N13" s="2">
        <v>1</v>
      </c>
      <c r="O13" s="2">
        <v>2</v>
      </c>
      <c r="P13" s="2">
        <v>1</v>
      </c>
      <c r="Q13" s="2">
        <v>0.25</v>
      </c>
      <c r="R13" s="2">
        <v>2</v>
      </c>
      <c r="S13" s="2">
        <v>2</v>
      </c>
      <c r="T13" s="2">
        <v>1</v>
      </c>
      <c r="U13" s="2">
        <v>0.25</v>
      </c>
      <c r="V13" s="2">
        <v>0</v>
      </c>
      <c r="W13" s="2">
        <v>2</v>
      </c>
      <c r="X13" s="2">
        <v>1</v>
      </c>
      <c r="Y13" s="2">
        <v>1</v>
      </c>
      <c r="Z13" s="2">
        <v>1</v>
      </c>
      <c r="AA13" s="2">
        <v>4</v>
      </c>
      <c r="AB13" s="2">
        <v>1</v>
      </c>
      <c r="AC13" s="2">
        <v>1</v>
      </c>
      <c r="AD13" s="2">
        <v>45</v>
      </c>
      <c r="AE13" s="2">
        <v>3840</v>
      </c>
      <c r="AF13" s="2">
        <v>70</v>
      </c>
      <c r="AG13" s="2">
        <v>395</v>
      </c>
      <c r="AH13" s="2">
        <v>45</v>
      </c>
      <c r="AI13" s="2">
        <v>50</v>
      </c>
      <c r="AJ13" s="1">
        <v>1000000</v>
      </c>
      <c r="AK13" s="1">
        <v>1.1000000000000001</v>
      </c>
      <c r="AL13" s="1">
        <v>60</v>
      </c>
      <c r="AM13" s="2">
        <v>50</v>
      </c>
      <c r="AN13" s="2">
        <f t="shared" si="0"/>
        <v>50</v>
      </c>
      <c r="AO13" s="3">
        <v>12</v>
      </c>
      <c r="AP13" s="3">
        <v>90</v>
      </c>
      <c r="AQ13" s="3">
        <v>80</v>
      </c>
      <c r="AR13" s="3">
        <v>70</v>
      </c>
      <c r="AS13" s="1">
        <v>32</v>
      </c>
      <c r="AT13" s="3">
        <v>1</v>
      </c>
      <c r="AU13" s="3" t="s">
        <v>3051</v>
      </c>
    </row>
    <row r="14" spans="1:47" x14ac:dyDescent="0.3">
      <c r="A14" s="1" t="s">
        <v>81</v>
      </c>
      <c r="B14" s="1" t="s">
        <v>80</v>
      </c>
      <c r="C14" s="1" t="s">
        <v>72</v>
      </c>
      <c r="D14" s="1" t="s">
        <v>43</v>
      </c>
      <c r="E14" s="1" t="s">
        <v>79</v>
      </c>
      <c r="F14" t="s">
        <v>3116</v>
      </c>
      <c r="G14" t="s">
        <v>3119</v>
      </c>
      <c r="H14" t="s">
        <v>52</v>
      </c>
      <c r="I14" t="s">
        <v>52</v>
      </c>
      <c r="J14" t="s">
        <v>52</v>
      </c>
      <c r="K14" t="s">
        <v>52</v>
      </c>
      <c r="L14" s="2">
        <v>0.5</v>
      </c>
      <c r="M14" s="2">
        <v>1</v>
      </c>
      <c r="N14" s="2">
        <v>1</v>
      </c>
      <c r="O14" s="2">
        <v>1</v>
      </c>
      <c r="P14" s="2">
        <v>0.5</v>
      </c>
      <c r="Q14" s="2">
        <v>0.25</v>
      </c>
      <c r="R14" s="2">
        <v>2</v>
      </c>
      <c r="S14" s="2">
        <v>2</v>
      </c>
      <c r="T14" s="2">
        <v>1</v>
      </c>
      <c r="U14" s="2">
        <v>0.25</v>
      </c>
      <c r="V14" s="2">
        <v>1</v>
      </c>
      <c r="W14" s="2">
        <v>1</v>
      </c>
      <c r="X14" s="2">
        <v>1</v>
      </c>
      <c r="Y14" s="2">
        <v>0.5</v>
      </c>
      <c r="Z14" s="2">
        <v>2</v>
      </c>
      <c r="AA14" s="2">
        <v>2</v>
      </c>
      <c r="AB14" s="2">
        <v>1</v>
      </c>
      <c r="AC14" s="2">
        <v>1</v>
      </c>
      <c r="AD14" s="2">
        <v>35</v>
      </c>
      <c r="AE14" s="2">
        <v>3840</v>
      </c>
      <c r="AF14" s="2">
        <v>70</v>
      </c>
      <c r="AG14" s="2">
        <v>195</v>
      </c>
      <c r="AH14" s="2">
        <v>255</v>
      </c>
      <c r="AI14" s="2">
        <v>30</v>
      </c>
      <c r="AJ14" s="1">
        <v>1000000</v>
      </c>
      <c r="AK14" s="1">
        <v>0.3</v>
      </c>
      <c r="AL14" s="1">
        <v>40</v>
      </c>
      <c r="AM14" s="2">
        <v>50</v>
      </c>
      <c r="AN14" s="2">
        <f t="shared" si="0"/>
        <v>50</v>
      </c>
      <c r="AO14" s="3">
        <v>13</v>
      </c>
      <c r="AP14" s="3">
        <v>20</v>
      </c>
      <c r="AQ14" s="3">
        <v>20</v>
      </c>
      <c r="AR14" s="3">
        <v>50</v>
      </c>
      <c r="AS14" s="1">
        <v>3.2</v>
      </c>
      <c r="AT14" s="3">
        <v>1</v>
      </c>
      <c r="AU14" s="3" t="s">
        <v>3051</v>
      </c>
    </row>
    <row r="15" spans="1:47" x14ac:dyDescent="0.3">
      <c r="A15" s="1" t="s">
        <v>83</v>
      </c>
      <c r="B15" s="1" t="s">
        <v>82</v>
      </c>
      <c r="C15" s="1" t="s">
        <v>72</v>
      </c>
      <c r="D15" s="1" t="s">
        <v>43</v>
      </c>
      <c r="E15" s="1" t="s">
        <v>73</v>
      </c>
      <c r="F15" t="s">
        <v>3054</v>
      </c>
      <c r="G15" t="s">
        <v>52</v>
      </c>
      <c r="H15" t="s">
        <v>52</v>
      </c>
      <c r="I15" t="s">
        <v>52</v>
      </c>
      <c r="J15" t="s">
        <v>52</v>
      </c>
      <c r="K15" t="s">
        <v>52</v>
      </c>
      <c r="L15" s="2">
        <v>0.5</v>
      </c>
      <c r="M15" s="2">
        <v>1</v>
      </c>
      <c r="N15" s="2">
        <v>1</v>
      </c>
      <c r="O15" s="2">
        <v>1</v>
      </c>
      <c r="P15" s="2">
        <v>0.5</v>
      </c>
      <c r="Q15" s="2">
        <v>0.25</v>
      </c>
      <c r="R15" s="2">
        <v>2</v>
      </c>
      <c r="S15" s="2">
        <v>2</v>
      </c>
      <c r="T15" s="2">
        <v>1</v>
      </c>
      <c r="U15" s="2">
        <v>0.25</v>
      </c>
      <c r="V15" s="2">
        <v>1</v>
      </c>
      <c r="W15" s="2">
        <v>1</v>
      </c>
      <c r="X15" s="2">
        <v>1</v>
      </c>
      <c r="Y15" s="2">
        <v>0.5</v>
      </c>
      <c r="Z15" s="2">
        <v>2</v>
      </c>
      <c r="AA15" s="2">
        <v>2</v>
      </c>
      <c r="AB15" s="2">
        <v>1</v>
      </c>
      <c r="AC15" s="2">
        <v>1</v>
      </c>
      <c r="AD15" s="2">
        <v>25</v>
      </c>
      <c r="AE15" s="2">
        <v>3840</v>
      </c>
      <c r="AF15" s="2">
        <v>70</v>
      </c>
      <c r="AG15" s="2">
        <v>205</v>
      </c>
      <c r="AH15" s="2">
        <v>120</v>
      </c>
      <c r="AI15" s="2">
        <v>50</v>
      </c>
      <c r="AJ15" s="1">
        <v>1000000</v>
      </c>
      <c r="AK15" s="1">
        <v>0.6</v>
      </c>
      <c r="AL15" s="1">
        <v>45</v>
      </c>
      <c r="AM15" s="2">
        <v>50</v>
      </c>
      <c r="AN15" s="2">
        <f t="shared" si="0"/>
        <v>50</v>
      </c>
      <c r="AO15" s="3">
        <v>14</v>
      </c>
      <c r="AP15" s="3">
        <v>25</v>
      </c>
      <c r="AQ15" s="3">
        <v>25</v>
      </c>
      <c r="AR15" s="3">
        <v>35</v>
      </c>
      <c r="AS15" s="1">
        <v>10</v>
      </c>
      <c r="AT15" s="3">
        <v>1</v>
      </c>
      <c r="AU15" s="3" t="s">
        <v>3051</v>
      </c>
    </row>
    <row r="16" spans="1:47" x14ac:dyDescent="0.3">
      <c r="A16" s="1" t="s">
        <v>86</v>
      </c>
      <c r="B16" s="1" t="s">
        <v>85</v>
      </c>
      <c r="C16" s="1" t="s">
        <v>72</v>
      </c>
      <c r="D16" s="1" t="s">
        <v>43</v>
      </c>
      <c r="E16" s="1" t="s">
        <v>84</v>
      </c>
      <c r="F16" t="s">
        <v>3093</v>
      </c>
      <c r="G16" t="s">
        <v>3226</v>
      </c>
      <c r="H16" t="s">
        <v>52</v>
      </c>
      <c r="I16" t="s">
        <v>52</v>
      </c>
      <c r="J16" t="s">
        <v>52</v>
      </c>
      <c r="K16" t="s">
        <v>52</v>
      </c>
      <c r="L16" s="2">
        <v>0.5</v>
      </c>
      <c r="M16" s="2">
        <v>1</v>
      </c>
      <c r="N16" s="2">
        <v>1</v>
      </c>
      <c r="O16" s="2">
        <v>1</v>
      </c>
      <c r="P16" s="2">
        <v>0.5</v>
      </c>
      <c r="Q16" s="2">
        <v>0.25</v>
      </c>
      <c r="R16" s="2">
        <v>2</v>
      </c>
      <c r="S16" s="2">
        <v>2</v>
      </c>
      <c r="T16" s="2">
        <v>1</v>
      </c>
      <c r="U16" s="2">
        <v>0.25</v>
      </c>
      <c r="V16" s="2">
        <v>1</v>
      </c>
      <c r="W16" s="2">
        <v>1</v>
      </c>
      <c r="X16" s="2">
        <v>1</v>
      </c>
      <c r="Y16" s="2">
        <v>0.5</v>
      </c>
      <c r="Z16" s="2">
        <v>2</v>
      </c>
      <c r="AA16" s="2">
        <v>2</v>
      </c>
      <c r="AB16" s="2">
        <v>1</v>
      </c>
      <c r="AC16" s="2">
        <v>1</v>
      </c>
      <c r="AD16" s="2">
        <v>150</v>
      </c>
      <c r="AE16" s="2">
        <v>3840</v>
      </c>
      <c r="AF16" s="2">
        <v>70</v>
      </c>
      <c r="AG16" s="2">
        <v>495</v>
      </c>
      <c r="AH16" s="2">
        <v>45</v>
      </c>
      <c r="AI16" s="2">
        <v>40</v>
      </c>
      <c r="AJ16" s="1">
        <v>1000000</v>
      </c>
      <c r="AK16" s="1">
        <v>1</v>
      </c>
      <c r="AL16" s="1">
        <v>65</v>
      </c>
      <c r="AM16" s="2">
        <v>50</v>
      </c>
      <c r="AN16" s="2">
        <f t="shared" si="0"/>
        <v>50</v>
      </c>
      <c r="AO16" s="3">
        <v>15</v>
      </c>
      <c r="AP16" s="3">
        <v>15</v>
      </c>
      <c r="AQ16" s="3">
        <v>80</v>
      </c>
      <c r="AR16" s="3">
        <v>145</v>
      </c>
      <c r="AS16" s="1">
        <v>29.5</v>
      </c>
      <c r="AT16" s="3">
        <v>1</v>
      </c>
      <c r="AU16" s="3" t="s">
        <v>3051</v>
      </c>
    </row>
    <row r="17" spans="1:47" x14ac:dyDescent="0.3">
      <c r="A17" s="1" t="s">
        <v>89</v>
      </c>
      <c r="B17" s="1" t="s">
        <v>88</v>
      </c>
      <c r="C17" s="1" t="s">
        <v>90</v>
      </c>
      <c r="D17" s="1" t="s">
        <v>58</v>
      </c>
      <c r="E17" s="1" t="s">
        <v>87</v>
      </c>
      <c r="F17" t="s">
        <v>3118</v>
      </c>
      <c r="G17" t="s">
        <v>3227</v>
      </c>
      <c r="H17" t="s">
        <v>3179</v>
      </c>
      <c r="I17" t="s">
        <v>52</v>
      </c>
      <c r="J17" t="s">
        <v>52</v>
      </c>
      <c r="K17" t="s">
        <v>52</v>
      </c>
      <c r="L17" s="2">
        <v>0.5</v>
      </c>
      <c r="M17" s="2">
        <v>1</v>
      </c>
      <c r="N17" s="2">
        <v>1</v>
      </c>
      <c r="O17" s="2">
        <v>2</v>
      </c>
      <c r="P17" s="2">
        <v>1</v>
      </c>
      <c r="Q17" s="2">
        <v>1</v>
      </c>
      <c r="R17" s="2">
        <v>1</v>
      </c>
      <c r="S17" s="2">
        <v>1</v>
      </c>
      <c r="T17" s="2">
        <v>0</v>
      </c>
      <c r="U17" s="2">
        <v>0.5</v>
      </c>
      <c r="V17" s="2">
        <v>0</v>
      </c>
      <c r="W17" s="2">
        <v>2</v>
      </c>
      <c r="X17" s="2">
        <v>1</v>
      </c>
      <c r="Y17" s="2">
        <v>1</v>
      </c>
      <c r="Z17" s="2">
        <v>1</v>
      </c>
      <c r="AA17" s="2">
        <v>2</v>
      </c>
      <c r="AB17" s="2">
        <v>1</v>
      </c>
      <c r="AC17" s="2">
        <v>1</v>
      </c>
      <c r="AD17" s="2">
        <v>45</v>
      </c>
      <c r="AE17" s="2">
        <v>3840</v>
      </c>
      <c r="AF17" s="2">
        <v>70</v>
      </c>
      <c r="AG17" s="2">
        <v>251</v>
      </c>
      <c r="AH17" s="2">
        <v>255</v>
      </c>
      <c r="AI17" s="2">
        <v>40</v>
      </c>
      <c r="AJ17" s="1">
        <v>1059860</v>
      </c>
      <c r="AK17" s="1">
        <v>0.3</v>
      </c>
      <c r="AL17" s="1">
        <v>40</v>
      </c>
      <c r="AM17" s="2">
        <v>50</v>
      </c>
      <c r="AN17" s="2">
        <f t="shared" si="0"/>
        <v>50</v>
      </c>
      <c r="AO17" s="3">
        <v>16</v>
      </c>
      <c r="AP17" s="3">
        <v>35</v>
      </c>
      <c r="AQ17" s="3">
        <v>35</v>
      </c>
      <c r="AR17" s="3">
        <v>56</v>
      </c>
      <c r="AS17" s="1">
        <v>1.8</v>
      </c>
      <c r="AT17" s="3">
        <v>1</v>
      </c>
      <c r="AU17" s="3" t="s">
        <v>3051</v>
      </c>
    </row>
    <row r="18" spans="1:47" x14ac:dyDescent="0.3">
      <c r="A18" s="1" t="s">
        <v>93</v>
      </c>
      <c r="B18" s="1" t="s">
        <v>92</v>
      </c>
      <c r="C18" s="1" t="s">
        <v>90</v>
      </c>
      <c r="D18" s="1" t="s">
        <v>58</v>
      </c>
      <c r="E18" s="1" t="s">
        <v>91</v>
      </c>
      <c r="F18" t="s">
        <v>3118</v>
      </c>
      <c r="G18" t="s">
        <v>3227</v>
      </c>
      <c r="H18" t="s">
        <v>3179</v>
      </c>
      <c r="I18" t="s">
        <v>52</v>
      </c>
      <c r="J18" t="s">
        <v>52</v>
      </c>
      <c r="K18" t="s">
        <v>52</v>
      </c>
      <c r="L18" s="2">
        <v>0.5</v>
      </c>
      <c r="M18" s="2">
        <v>1</v>
      </c>
      <c r="N18" s="2">
        <v>1</v>
      </c>
      <c r="O18" s="2">
        <v>2</v>
      </c>
      <c r="P18" s="2">
        <v>1</v>
      </c>
      <c r="Q18" s="2">
        <v>1</v>
      </c>
      <c r="R18" s="2">
        <v>1</v>
      </c>
      <c r="S18" s="2">
        <v>1</v>
      </c>
      <c r="T18" s="2">
        <v>0</v>
      </c>
      <c r="U18" s="2">
        <v>0.5</v>
      </c>
      <c r="V18" s="2">
        <v>0</v>
      </c>
      <c r="W18" s="2">
        <v>2</v>
      </c>
      <c r="X18" s="2">
        <v>1</v>
      </c>
      <c r="Y18" s="2">
        <v>1</v>
      </c>
      <c r="Z18" s="2">
        <v>1</v>
      </c>
      <c r="AA18" s="2">
        <v>2</v>
      </c>
      <c r="AB18" s="2">
        <v>1</v>
      </c>
      <c r="AC18" s="2">
        <v>1</v>
      </c>
      <c r="AD18" s="2">
        <v>60</v>
      </c>
      <c r="AE18" s="2">
        <v>3840</v>
      </c>
      <c r="AF18" s="2">
        <v>70</v>
      </c>
      <c r="AG18" s="2">
        <v>349</v>
      </c>
      <c r="AH18" s="2">
        <v>120</v>
      </c>
      <c r="AI18" s="2">
        <v>55</v>
      </c>
      <c r="AJ18" s="1">
        <v>1059860</v>
      </c>
      <c r="AK18" s="1">
        <v>1.1000000000000001</v>
      </c>
      <c r="AL18" s="1">
        <v>63</v>
      </c>
      <c r="AM18" s="2">
        <v>50</v>
      </c>
      <c r="AN18" s="2">
        <f t="shared" si="0"/>
        <v>50</v>
      </c>
      <c r="AO18" s="3">
        <v>17</v>
      </c>
      <c r="AP18" s="3">
        <v>50</v>
      </c>
      <c r="AQ18" s="3">
        <v>50</v>
      </c>
      <c r="AR18" s="3">
        <v>71</v>
      </c>
      <c r="AS18" s="1">
        <v>30</v>
      </c>
      <c r="AT18" s="3">
        <v>1</v>
      </c>
      <c r="AU18" s="3" t="s">
        <v>3051</v>
      </c>
    </row>
    <row r="19" spans="1:47" x14ac:dyDescent="0.3">
      <c r="A19" s="1" t="s">
        <v>95</v>
      </c>
      <c r="B19" s="1" t="s">
        <v>94</v>
      </c>
      <c r="C19" s="1" t="s">
        <v>90</v>
      </c>
      <c r="D19" s="1" t="s">
        <v>58</v>
      </c>
      <c r="E19" s="1" t="s">
        <v>91</v>
      </c>
      <c r="F19" t="s">
        <v>3118</v>
      </c>
      <c r="G19" t="s">
        <v>3227</v>
      </c>
      <c r="H19" t="s">
        <v>3179</v>
      </c>
      <c r="I19" t="s">
        <v>52</v>
      </c>
      <c r="J19" t="s">
        <v>52</v>
      </c>
      <c r="K19" t="s">
        <v>52</v>
      </c>
      <c r="L19" s="2">
        <v>0.5</v>
      </c>
      <c r="M19" s="2">
        <v>1</v>
      </c>
      <c r="N19" s="2">
        <v>1</v>
      </c>
      <c r="O19" s="2">
        <v>2</v>
      </c>
      <c r="P19" s="2">
        <v>1</v>
      </c>
      <c r="Q19" s="2">
        <v>1</v>
      </c>
      <c r="R19" s="2">
        <v>1</v>
      </c>
      <c r="S19" s="2">
        <v>1</v>
      </c>
      <c r="T19" s="2">
        <v>0</v>
      </c>
      <c r="U19" s="2">
        <v>0.5</v>
      </c>
      <c r="V19" s="2">
        <v>0</v>
      </c>
      <c r="W19" s="2">
        <v>2</v>
      </c>
      <c r="X19" s="2">
        <v>1</v>
      </c>
      <c r="Y19" s="2">
        <v>1</v>
      </c>
      <c r="Z19" s="2">
        <v>1</v>
      </c>
      <c r="AA19" s="2">
        <v>2</v>
      </c>
      <c r="AB19" s="2">
        <v>1</v>
      </c>
      <c r="AC19" s="2">
        <v>1</v>
      </c>
      <c r="AD19" s="2">
        <v>80</v>
      </c>
      <c r="AE19" s="2">
        <v>3840</v>
      </c>
      <c r="AF19" s="2">
        <v>70</v>
      </c>
      <c r="AG19" s="2">
        <v>579</v>
      </c>
      <c r="AH19" s="2">
        <v>45</v>
      </c>
      <c r="AI19" s="2">
        <v>80</v>
      </c>
      <c r="AJ19" s="1">
        <v>1059860</v>
      </c>
      <c r="AK19" s="1">
        <v>1.5</v>
      </c>
      <c r="AL19" s="1">
        <v>83</v>
      </c>
      <c r="AM19" s="2">
        <v>50</v>
      </c>
      <c r="AN19" s="2">
        <f t="shared" si="0"/>
        <v>50</v>
      </c>
      <c r="AO19" s="3">
        <v>18</v>
      </c>
      <c r="AP19" s="3">
        <v>135</v>
      </c>
      <c r="AQ19" s="3">
        <v>80</v>
      </c>
      <c r="AR19" s="3">
        <v>121</v>
      </c>
      <c r="AS19" s="1">
        <v>39.5</v>
      </c>
      <c r="AT19" s="3">
        <v>1</v>
      </c>
      <c r="AU19" s="3" t="s">
        <v>3051</v>
      </c>
    </row>
    <row r="20" spans="1:47" x14ac:dyDescent="0.3">
      <c r="A20" s="1" t="s">
        <v>98</v>
      </c>
      <c r="B20" s="1" t="s">
        <v>97</v>
      </c>
      <c r="C20" s="1" t="s">
        <v>90</v>
      </c>
      <c r="D20" s="1" t="s">
        <v>99</v>
      </c>
      <c r="E20" s="1" t="s">
        <v>96</v>
      </c>
      <c r="F20" t="s">
        <v>3119</v>
      </c>
      <c r="G20" t="s">
        <v>3131</v>
      </c>
      <c r="H20" t="s">
        <v>3079</v>
      </c>
      <c r="I20" t="s">
        <v>3177</v>
      </c>
      <c r="J20" t="s">
        <v>3079</v>
      </c>
      <c r="K20" t="s">
        <v>3135</v>
      </c>
      <c r="L20" s="2">
        <v>1</v>
      </c>
      <c r="M20" s="2">
        <v>1</v>
      </c>
      <c r="N20" s="2">
        <v>1</v>
      </c>
      <c r="O20" s="2">
        <v>1</v>
      </c>
      <c r="P20" s="2">
        <v>1</v>
      </c>
      <c r="Q20" s="2">
        <v>2</v>
      </c>
      <c r="R20" s="2">
        <v>1</v>
      </c>
      <c r="S20" s="2">
        <v>1</v>
      </c>
      <c r="T20" s="2">
        <v>0</v>
      </c>
      <c r="U20" s="2">
        <v>1</v>
      </c>
      <c r="V20" s="2">
        <v>1</v>
      </c>
      <c r="W20" s="2">
        <v>1</v>
      </c>
      <c r="X20" s="2">
        <v>1</v>
      </c>
      <c r="Y20" s="2">
        <v>1</v>
      </c>
      <c r="Z20" s="2">
        <v>1</v>
      </c>
      <c r="AA20" s="2">
        <v>1</v>
      </c>
      <c r="AB20" s="2">
        <v>1</v>
      </c>
      <c r="AC20" s="2">
        <v>1</v>
      </c>
      <c r="AD20" s="2">
        <v>56</v>
      </c>
      <c r="AE20" s="2">
        <v>3840</v>
      </c>
      <c r="AF20" s="2">
        <v>70</v>
      </c>
      <c r="AG20" s="2">
        <v>253</v>
      </c>
      <c r="AH20" s="2">
        <v>255</v>
      </c>
      <c r="AI20" s="2">
        <v>35</v>
      </c>
      <c r="AJ20" s="1">
        <v>1000000</v>
      </c>
      <c r="AK20" s="1">
        <v>0.3</v>
      </c>
      <c r="AL20" s="1">
        <v>30</v>
      </c>
      <c r="AM20" s="2">
        <v>50</v>
      </c>
      <c r="AN20" s="2">
        <f t="shared" si="0"/>
        <v>50</v>
      </c>
      <c r="AO20" s="3">
        <v>19</v>
      </c>
      <c r="AP20" s="3">
        <v>25</v>
      </c>
      <c r="AQ20" s="3">
        <v>35</v>
      </c>
      <c r="AR20" s="3">
        <v>72</v>
      </c>
      <c r="AS20" s="1">
        <v>3.5</v>
      </c>
      <c r="AT20" s="3">
        <v>1</v>
      </c>
      <c r="AU20" s="3" t="s">
        <v>3051</v>
      </c>
    </row>
    <row r="21" spans="1:47" x14ac:dyDescent="0.3">
      <c r="A21" s="1" t="s">
        <v>101</v>
      </c>
      <c r="B21" s="1" t="s">
        <v>100</v>
      </c>
      <c r="C21" s="1" t="s">
        <v>90</v>
      </c>
      <c r="D21" s="1" t="s">
        <v>99</v>
      </c>
      <c r="E21" s="1" t="s">
        <v>96</v>
      </c>
      <c r="F21" t="s">
        <v>3119</v>
      </c>
      <c r="G21" t="s">
        <v>3131</v>
      </c>
      <c r="H21" t="s">
        <v>3079</v>
      </c>
      <c r="I21" t="s">
        <v>3177</v>
      </c>
      <c r="J21" t="s">
        <v>3079</v>
      </c>
      <c r="K21" t="s">
        <v>3135</v>
      </c>
      <c r="L21" s="2">
        <v>1</v>
      </c>
      <c r="M21" s="2">
        <v>1</v>
      </c>
      <c r="N21" s="2">
        <v>1</v>
      </c>
      <c r="O21" s="2">
        <v>1</v>
      </c>
      <c r="P21" s="2">
        <v>1</v>
      </c>
      <c r="Q21" s="2">
        <v>2</v>
      </c>
      <c r="R21" s="2">
        <v>1</v>
      </c>
      <c r="S21" s="2">
        <v>1</v>
      </c>
      <c r="T21" s="2">
        <v>0</v>
      </c>
      <c r="U21" s="2">
        <v>1</v>
      </c>
      <c r="V21" s="2">
        <v>1</v>
      </c>
      <c r="W21" s="2">
        <v>1</v>
      </c>
      <c r="X21" s="2">
        <v>1</v>
      </c>
      <c r="Y21" s="2">
        <v>1</v>
      </c>
      <c r="Z21" s="2">
        <v>1</v>
      </c>
      <c r="AA21" s="2">
        <v>1</v>
      </c>
      <c r="AB21" s="2">
        <v>1</v>
      </c>
      <c r="AC21" s="2">
        <v>1</v>
      </c>
      <c r="AD21" s="2">
        <v>71</v>
      </c>
      <c r="AE21" s="2">
        <v>3840</v>
      </c>
      <c r="AF21" s="2">
        <v>70</v>
      </c>
      <c r="AG21" s="2">
        <v>413</v>
      </c>
      <c r="AH21" s="2">
        <v>127</v>
      </c>
      <c r="AI21" s="2">
        <v>70</v>
      </c>
      <c r="AJ21" s="1">
        <v>1000000</v>
      </c>
      <c r="AK21" s="1">
        <v>0.7</v>
      </c>
      <c r="AL21" s="1">
        <v>75</v>
      </c>
      <c r="AM21" s="2">
        <v>50</v>
      </c>
      <c r="AN21" s="2">
        <f t="shared" si="0"/>
        <v>50</v>
      </c>
      <c r="AO21" s="3">
        <v>20</v>
      </c>
      <c r="AP21" s="3">
        <v>40</v>
      </c>
      <c r="AQ21" s="3">
        <v>80</v>
      </c>
      <c r="AR21" s="3">
        <v>77</v>
      </c>
      <c r="AS21" s="1">
        <v>18.5</v>
      </c>
      <c r="AT21" s="3">
        <v>1</v>
      </c>
      <c r="AU21" s="3" t="s">
        <v>3051</v>
      </c>
    </row>
    <row r="22" spans="1:47" x14ac:dyDescent="0.3">
      <c r="A22" s="1" t="s">
        <v>103</v>
      </c>
      <c r="B22" s="1" t="s">
        <v>102</v>
      </c>
      <c r="C22" s="1" t="s">
        <v>90</v>
      </c>
      <c r="D22" s="1" t="s">
        <v>58</v>
      </c>
      <c r="E22" s="1" t="s">
        <v>87</v>
      </c>
      <c r="F22" t="s">
        <v>3118</v>
      </c>
      <c r="G22" t="s">
        <v>3226</v>
      </c>
      <c r="H22" t="s">
        <v>52</v>
      </c>
      <c r="I22" t="s">
        <v>52</v>
      </c>
      <c r="J22" t="s">
        <v>52</v>
      </c>
      <c r="K22" t="s">
        <v>52</v>
      </c>
      <c r="L22" s="2">
        <v>0.5</v>
      </c>
      <c r="M22" s="2">
        <v>1</v>
      </c>
      <c r="N22" s="2">
        <v>1</v>
      </c>
      <c r="O22" s="2">
        <v>2</v>
      </c>
      <c r="P22" s="2">
        <v>1</v>
      </c>
      <c r="Q22" s="2">
        <v>1</v>
      </c>
      <c r="R22" s="2">
        <v>1</v>
      </c>
      <c r="S22" s="2">
        <v>1</v>
      </c>
      <c r="T22" s="2">
        <v>0</v>
      </c>
      <c r="U22" s="2">
        <v>0.5</v>
      </c>
      <c r="V22" s="2">
        <v>0</v>
      </c>
      <c r="W22" s="2">
        <v>2</v>
      </c>
      <c r="X22" s="2">
        <v>1</v>
      </c>
      <c r="Y22" s="2">
        <v>1</v>
      </c>
      <c r="Z22" s="2">
        <v>1</v>
      </c>
      <c r="AA22" s="2">
        <v>2</v>
      </c>
      <c r="AB22" s="2">
        <v>1</v>
      </c>
      <c r="AC22" s="2">
        <v>1</v>
      </c>
      <c r="AD22" s="2">
        <v>60</v>
      </c>
      <c r="AE22" s="2">
        <v>3840</v>
      </c>
      <c r="AF22" s="2">
        <v>70</v>
      </c>
      <c r="AG22" s="2">
        <v>262</v>
      </c>
      <c r="AH22" s="2">
        <v>255</v>
      </c>
      <c r="AI22" s="2">
        <v>30</v>
      </c>
      <c r="AJ22" s="1">
        <v>1000000</v>
      </c>
      <c r="AK22" s="1">
        <v>0.3</v>
      </c>
      <c r="AL22" s="1">
        <v>40</v>
      </c>
      <c r="AM22" s="2">
        <v>50</v>
      </c>
      <c r="AN22" s="2">
        <f t="shared" si="0"/>
        <v>50</v>
      </c>
      <c r="AO22" s="3">
        <v>21</v>
      </c>
      <c r="AP22" s="3">
        <v>31</v>
      </c>
      <c r="AQ22" s="3">
        <v>31</v>
      </c>
      <c r="AR22" s="3">
        <v>70</v>
      </c>
      <c r="AS22" s="1">
        <v>2</v>
      </c>
      <c r="AT22" s="3">
        <v>1</v>
      </c>
      <c r="AU22" s="3" t="s">
        <v>3051</v>
      </c>
    </row>
    <row r="23" spans="1:47" x14ac:dyDescent="0.3">
      <c r="A23" s="1" t="s">
        <v>106</v>
      </c>
      <c r="B23" s="1" t="s">
        <v>105</v>
      </c>
      <c r="C23" s="1" t="s">
        <v>90</v>
      </c>
      <c r="D23" s="1" t="s">
        <v>58</v>
      </c>
      <c r="E23" s="1" t="s">
        <v>104</v>
      </c>
      <c r="F23" t="s">
        <v>3118</v>
      </c>
      <c r="G23" t="s">
        <v>3226</v>
      </c>
      <c r="H23" t="s">
        <v>52</v>
      </c>
      <c r="I23" t="s">
        <v>52</v>
      </c>
      <c r="J23" t="s">
        <v>52</v>
      </c>
      <c r="K23" t="s">
        <v>52</v>
      </c>
      <c r="L23" s="2">
        <v>0.5</v>
      </c>
      <c r="M23" s="2">
        <v>1</v>
      </c>
      <c r="N23" s="2">
        <v>1</v>
      </c>
      <c r="O23" s="2">
        <v>2</v>
      </c>
      <c r="P23" s="2">
        <v>1</v>
      </c>
      <c r="Q23" s="2">
        <v>1</v>
      </c>
      <c r="R23" s="2">
        <v>1</v>
      </c>
      <c r="S23" s="2">
        <v>1</v>
      </c>
      <c r="T23" s="2">
        <v>0</v>
      </c>
      <c r="U23" s="2">
        <v>0.5</v>
      </c>
      <c r="V23" s="2">
        <v>0</v>
      </c>
      <c r="W23" s="2">
        <v>2</v>
      </c>
      <c r="X23" s="2">
        <v>1</v>
      </c>
      <c r="Y23" s="2">
        <v>1</v>
      </c>
      <c r="Z23" s="2">
        <v>1</v>
      </c>
      <c r="AA23" s="2">
        <v>2</v>
      </c>
      <c r="AB23" s="2">
        <v>1</v>
      </c>
      <c r="AC23" s="2">
        <v>1</v>
      </c>
      <c r="AD23" s="2">
        <v>90</v>
      </c>
      <c r="AE23" s="2">
        <v>3840</v>
      </c>
      <c r="AF23" s="2">
        <v>70</v>
      </c>
      <c r="AG23" s="2">
        <v>442</v>
      </c>
      <c r="AH23" s="2">
        <v>90</v>
      </c>
      <c r="AI23" s="2">
        <v>65</v>
      </c>
      <c r="AJ23" s="1">
        <v>1000000</v>
      </c>
      <c r="AK23" s="1">
        <v>1.2</v>
      </c>
      <c r="AL23" s="1">
        <v>65</v>
      </c>
      <c r="AM23" s="2">
        <v>50</v>
      </c>
      <c r="AN23" s="2">
        <f t="shared" si="0"/>
        <v>50</v>
      </c>
      <c r="AO23" s="3">
        <v>22</v>
      </c>
      <c r="AP23" s="3">
        <v>61</v>
      </c>
      <c r="AQ23" s="3">
        <v>61</v>
      </c>
      <c r="AR23" s="3">
        <v>100</v>
      </c>
      <c r="AS23" s="1">
        <v>38</v>
      </c>
      <c r="AT23" s="3">
        <v>1</v>
      </c>
      <c r="AU23" s="3" t="s">
        <v>3051</v>
      </c>
    </row>
    <row r="24" spans="1:47" x14ac:dyDescent="0.3">
      <c r="A24" s="1" t="s">
        <v>109</v>
      </c>
      <c r="B24" s="1" t="s">
        <v>108</v>
      </c>
      <c r="C24" s="1" t="s">
        <v>43</v>
      </c>
      <c r="D24" s="1" t="s">
        <v>52</v>
      </c>
      <c r="E24" s="1" t="s">
        <v>107</v>
      </c>
      <c r="F24" t="s">
        <v>3120</v>
      </c>
      <c r="G24" t="s">
        <v>3054</v>
      </c>
      <c r="H24" t="s">
        <v>3228</v>
      </c>
      <c r="I24" t="s">
        <v>52</v>
      </c>
      <c r="J24" t="s">
        <v>52</v>
      </c>
      <c r="K24" t="s">
        <v>52</v>
      </c>
      <c r="L24" s="2">
        <v>0.5</v>
      </c>
      <c r="M24" s="2">
        <v>1</v>
      </c>
      <c r="N24" s="2">
        <v>1</v>
      </c>
      <c r="O24" s="2">
        <v>1</v>
      </c>
      <c r="P24" s="2">
        <v>0.5</v>
      </c>
      <c r="Q24" s="2">
        <v>0.5</v>
      </c>
      <c r="R24" s="2">
        <v>1</v>
      </c>
      <c r="S24" s="2">
        <v>1</v>
      </c>
      <c r="T24" s="2">
        <v>1</v>
      </c>
      <c r="U24" s="2">
        <v>0.5</v>
      </c>
      <c r="V24" s="2">
        <v>2</v>
      </c>
      <c r="W24" s="2">
        <v>1</v>
      </c>
      <c r="X24" s="2">
        <v>1</v>
      </c>
      <c r="Y24" s="2">
        <v>0.5</v>
      </c>
      <c r="Z24" s="2">
        <v>2</v>
      </c>
      <c r="AA24" s="2">
        <v>1</v>
      </c>
      <c r="AB24" s="2">
        <v>1</v>
      </c>
      <c r="AC24" s="2">
        <v>1</v>
      </c>
      <c r="AD24" s="2">
        <v>60</v>
      </c>
      <c r="AE24" s="2">
        <v>5120</v>
      </c>
      <c r="AF24" s="2">
        <v>70</v>
      </c>
      <c r="AG24" s="2">
        <v>288</v>
      </c>
      <c r="AH24" s="2">
        <v>255</v>
      </c>
      <c r="AI24" s="2">
        <v>44</v>
      </c>
      <c r="AJ24" s="1">
        <v>1000000</v>
      </c>
      <c r="AK24" s="1">
        <v>2</v>
      </c>
      <c r="AL24" s="1">
        <v>35</v>
      </c>
      <c r="AM24" s="2">
        <v>50</v>
      </c>
      <c r="AN24" s="2">
        <f t="shared" si="0"/>
        <v>50</v>
      </c>
      <c r="AO24" s="3">
        <v>23</v>
      </c>
      <c r="AP24" s="3">
        <v>40</v>
      </c>
      <c r="AQ24" s="3">
        <v>54</v>
      </c>
      <c r="AR24" s="3">
        <v>55</v>
      </c>
      <c r="AS24" s="1">
        <v>6.9</v>
      </c>
      <c r="AT24" s="3">
        <v>1</v>
      </c>
      <c r="AU24" s="3" t="s">
        <v>3051</v>
      </c>
    </row>
    <row r="25" spans="1:47" x14ac:dyDescent="0.3">
      <c r="A25" s="1" t="s">
        <v>112</v>
      </c>
      <c r="B25" s="1" t="s">
        <v>111</v>
      </c>
      <c r="C25" s="1" t="s">
        <v>43</v>
      </c>
      <c r="D25" s="1" t="s">
        <v>52</v>
      </c>
      <c r="E25" s="1" t="s">
        <v>110</v>
      </c>
      <c r="F25" t="s">
        <v>3120</v>
      </c>
      <c r="G25" t="s">
        <v>3054</v>
      </c>
      <c r="H25" t="s">
        <v>3228</v>
      </c>
      <c r="I25" t="s">
        <v>52</v>
      </c>
      <c r="J25" t="s">
        <v>52</v>
      </c>
      <c r="K25" t="s">
        <v>52</v>
      </c>
      <c r="L25" s="2">
        <v>0.5</v>
      </c>
      <c r="M25" s="2">
        <v>1</v>
      </c>
      <c r="N25" s="2">
        <v>1</v>
      </c>
      <c r="O25" s="2">
        <v>1</v>
      </c>
      <c r="P25" s="2">
        <v>0.5</v>
      </c>
      <c r="Q25" s="2">
        <v>0.5</v>
      </c>
      <c r="R25" s="2">
        <v>1</v>
      </c>
      <c r="S25" s="2">
        <v>1</v>
      </c>
      <c r="T25" s="2">
        <v>1</v>
      </c>
      <c r="U25" s="2">
        <v>0.5</v>
      </c>
      <c r="V25" s="2">
        <v>2</v>
      </c>
      <c r="W25" s="2">
        <v>1</v>
      </c>
      <c r="X25" s="2">
        <v>1</v>
      </c>
      <c r="Y25" s="2">
        <v>0.5</v>
      </c>
      <c r="Z25" s="2">
        <v>2</v>
      </c>
      <c r="AA25" s="2">
        <v>1</v>
      </c>
      <c r="AB25" s="2">
        <v>1</v>
      </c>
      <c r="AC25" s="2">
        <v>1</v>
      </c>
      <c r="AD25" s="2">
        <v>95</v>
      </c>
      <c r="AE25" s="2">
        <v>5120</v>
      </c>
      <c r="AF25" s="2">
        <v>70</v>
      </c>
      <c r="AG25" s="2">
        <v>448</v>
      </c>
      <c r="AH25" s="2">
        <v>90</v>
      </c>
      <c r="AI25" s="2">
        <v>69</v>
      </c>
      <c r="AJ25" s="1">
        <v>1000000</v>
      </c>
      <c r="AK25" s="1">
        <v>3.5</v>
      </c>
      <c r="AL25" s="1">
        <v>60</v>
      </c>
      <c r="AM25" s="2">
        <v>50</v>
      </c>
      <c r="AN25" s="2">
        <f t="shared" si="0"/>
        <v>50</v>
      </c>
      <c r="AO25" s="3">
        <v>24</v>
      </c>
      <c r="AP25" s="3">
        <v>65</v>
      </c>
      <c r="AQ25" s="3">
        <v>79</v>
      </c>
      <c r="AR25" s="3">
        <v>80</v>
      </c>
      <c r="AS25" s="1">
        <v>65</v>
      </c>
      <c r="AT25" s="3">
        <v>1</v>
      </c>
      <c r="AU25" s="3" t="s">
        <v>3051</v>
      </c>
    </row>
    <row r="26" spans="1:47" x14ac:dyDescent="0.3">
      <c r="A26" s="1" t="s">
        <v>114</v>
      </c>
      <c r="B26" s="1" t="s">
        <v>113</v>
      </c>
      <c r="C26" s="1" t="s">
        <v>115</v>
      </c>
      <c r="D26" s="1" t="s">
        <v>52</v>
      </c>
      <c r="E26" s="1" t="s">
        <v>96</v>
      </c>
      <c r="F26" t="s">
        <v>3121</v>
      </c>
      <c r="G26" t="s">
        <v>3141</v>
      </c>
      <c r="H26" t="s">
        <v>52</v>
      </c>
      <c r="I26" t="s">
        <v>52</v>
      </c>
      <c r="J26" t="s">
        <v>52</v>
      </c>
      <c r="K26" t="s">
        <v>52</v>
      </c>
      <c r="L26" s="2">
        <v>1</v>
      </c>
      <c r="M26" s="2">
        <v>1</v>
      </c>
      <c r="N26" s="2">
        <v>1</v>
      </c>
      <c r="O26" s="2">
        <v>0.5</v>
      </c>
      <c r="P26" s="2">
        <v>1</v>
      </c>
      <c r="Q26" s="2">
        <v>1</v>
      </c>
      <c r="R26" s="2">
        <v>1</v>
      </c>
      <c r="S26" s="2">
        <v>0.5</v>
      </c>
      <c r="T26" s="2">
        <v>1</v>
      </c>
      <c r="U26" s="2">
        <v>1</v>
      </c>
      <c r="V26" s="2">
        <v>2</v>
      </c>
      <c r="W26" s="2">
        <v>1</v>
      </c>
      <c r="X26" s="2">
        <v>1</v>
      </c>
      <c r="Y26" s="2">
        <v>1</v>
      </c>
      <c r="Z26" s="2">
        <v>1</v>
      </c>
      <c r="AA26" s="2">
        <v>1</v>
      </c>
      <c r="AB26" s="2">
        <v>0.5</v>
      </c>
      <c r="AC26" s="2">
        <v>1</v>
      </c>
      <c r="AD26" s="2">
        <v>55</v>
      </c>
      <c r="AE26" s="2">
        <v>2560</v>
      </c>
      <c r="AF26" s="2">
        <v>70</v>
      </c>
      <c r="AG26" s="2">
        <v>320</v>
      </c>
      <c r="AH26" s="2">
        <v>190</v>
      </c>
      <c r="AI26" s="2">
        <v>40</v>
      </c>
      <c r="AJ26" s="1">
        <v>1000000</v>
      </c>
      <c r="AK26" s="1">
        <v>0.4</v>
      </c>
      <c r="AL26" s="1">
        <v>35</v>
      </c>
      <c r="AM26" s="2">
        <v>50</v>
      </c>
      <c r="AN26" s="2">
        <f t="shared" si="0"/>
        <v>50</v>
      </c>
      <c r="AO26" s="3">
        <v>25</v>
      </c>
      <c r="AP26" s="3">
        <v>50</v>
      </c>
      <c r="AQ26" s="3">
        <v>50</v>
      </c>
      <c r="AR26" s="3">
        <v>90</v>
      </c>
      <c r="AS26" s="1">
        <v>6</v>
      </c>
      <c r="AT26" s="3">
        <v>1</v>
      </c>
      <c r="AU26" s="3" t="s">
        <v>3051</v>
      </c>
    </row>
    <row r="27" spans="1:47" x14ac:dyDescent="0.3">
      <c r="A27" s="1" t="s">
        <v>117</v>
      </c>
      <c r="B27" s="1" t="s">
        <v>116</v>
      </c>
      <c r="C27" s="1" t="s">
        <v>115</v>
      </c>
      <c r="D27" s="1" t="s">
        <v>115</v>
      </c>
      <c r="E27" s="1" t="s">
        <v>96</v>
      </c>
      <c r="F27" t="s">
        <v>3121</v>
      </c>
      <c r="G27" t="s">
        <v>3141</v>
      </c>
      <c r="H27" t="s">
        <v>3229</v>
      </c>
      <c r="I27" t="s">
        <v>52</v>
      </c>
      <c r="J27" t="s">
        <v>52</v>
      </c>
      <c r="K27" t="s">
        <v>52</v>
      </c>
      <c r="L27" s="2">
        <v>1</v>
      </c>
      <c r="M27" s="2">
        <v>1</v>
      </c>
      <c r="N27" s="2">
        <v>1</v>
      </c>
      <c r="O27" s="2">
        <v>0.5</v>
      </c>
      <c r="P27" s="2">
        <v>1</v>
      </c>
      <c r="Q27" s="2">
        <v>1</v>
      </c>
      <c r="R27" s="2">
        <v>1</v>
      </c>
      <c r="S27" s="2">
        <v>0.5</v>
      </c>
      <c r="T27" s="2">
        <v>1</v>
      </c>
      <c r="U27" s="2">
        <v>1</v>
      </c>
      <c r="V27" s="2">
        <v>2</v>
      </c>
      <c r="W27" s="2">
        <v>1</v>
      </c>
      <c r="X27" s="2">
        <v>1</v>
      </c>
      <c r="Y27" s="2">
        <v>1</v>
      </c>
      <c r="Z27" s="2">
        <v>1</v>
      </c>
      <c r="AA27" s="2">
        <v>1</v>
      </c>
      <c r="AB27" s="2">
        <v>0.5</v>
      </c>
      <c r="AC27" s="2">
        <v>1</v>
      </c>
      <c r="AD27" s="2">
        <v>85</v>
      </c>
      <c r="AE27" s="2">
        <v>2560</v>
      </c>
      <c r="AF27" s="2">
        <v>70</v>
      </c>
      <c r="AG27" s="2">
        <v>485</v>
      </c>
      <c r="AH27" s="2">
        <v>75</v>
      </c>
      <c r="AI27" s="2">
        <v>50</v>
      </c>
      <c r="AJ27" s="1">
        <v>1000000</v>
      </c>
      <c r="AK27" s="1">
        <v>0.8</v>
      </c>
      <c r="AL27" s="1">
        <v>60</v>
      </c>
      <c r="AM27" s="2">
        <v>50</v>
      </c>
      <c r="AN27" s="2">
        <f t="shared" si="0"/>
        <v>50</v>
      </c>
      <c r="AO27" s="3">
        <v>26</v>
      </c>
      <c r="AP27" s="3">
        <v>95</v>
      </c>
      <c r="AQ27" s="3">
        <v>85</v>
      </c>
      <c r="AR27" s="3">
        <v>110</v>
      </c>
      <c r="AS27" s="1">
        <v>30</v>
      </c>
      <c r="AT27" s="3">
        <v>1</v>
      </c>
      <c r="AU27" s="3" t="s">
        <v>3051</v>
      </c>
    </row>
    <row r="28" spans="1:47" x14ac:dyDescent="0.3">
      <c r="A28" s="1" t="s">
        <v>119</v>
      </c>
      <c r="B28" s="1" t="s">
        <v>118</v>
      </c>
      <c r="C28" s="1" t="s">
        <v>120</v>
      </c>
      <c r="D28" s="1" t="s">
        <v>121</v>
      </c>
      <c r="E28" s="1" t="s">
        <v>96</v>
      </c>
      <c r="F28" t="s">
        <v>3122</v>
      </c>
      <c r="G28" t="s">
        <v>3180</v>
      </c>
      <c r="H28" t="s">
        <v>3175</v>
      </c>
      <c r="I28" t="s">
        <v>3230</v>
      </c>
      <c r="J28" t="s">
        <v>52</v>
      </c>
      <c r="K28" t="s">
        <v>52</v>
      </c>
      <c r="L28" s="2">
        <v>1</v>
      </c>
      <c r="M28" s="2">
        <v>1</v>
      </c>
      <c r="N28" s="2">
        <v>1</v>
      </c>
      <c r="O28" s="2">
        <v>0</v>
      </c>
      <c r="P28" s="2">
        <v>1</v>
      </c>
      <c r="Q28" s="2">
        <v>1</v>
      </c>
      <c r="R28" s="2">
        <v>1</v>
      </c>
      <c r="S28" s="2">
        <v>1</v>
      </c>
      <c r="T28" s="2">
        <v>1</v>
      </c>
      <c r="U28" s="2">
        <v>2</v>
      </c>
      <c r="V28" s="2">
        <v>1</v>
      </c>
      <c r="W28" s="2">
        <v>2</v>
      </c>
      <c r="X28" s="2">
        <v>1</v>
      </c>
      <c r="Y28" s="2">
        <v>0.5</v>
      </c>
      <c r="Z28" s="2">
        <v>1</v>
      </c>
      <c r="AA28" s="2">
        <v>0.5</v>
      </c>
      <c r="AB28" s="2">
        <v>1</v>
      </c>
      <c r="AC28" s="2">
        <v>2</v>
      </c>
      <c r="AD28" s="2">
        <v>75</v>
      </c>
      <c r="AE28" s="2">
        <v>5120</v>
      </c>
      <c r="AF28" s="2">
        <v>70</v>
      </c>
      <c r="AG28" s="2">
        <v>300</v>
      </c>
      <c r="AH28" s="2">
        <v>255</v>
      </c>
      <c r="AI28" s="2">
        <v>90</v>
      </c>
      <c r="AJ28" s="1">
        <v>1000000</v>
      </c>
      <c r="AK28" s="1">
        <v>0.6</v>
      </c>
      <c r="AL28" s="1">
        <v>50</v>
      </c>
      <c r="AM28" s="2">
        <v>50</v>
      </c>
      <c r="AN28" s="2">
        <f t="shared" si="0"/>
        <v>50</v>
      </c>
      <c r="AO28" s="3">
        <v>27</v>
      </c>
      <c r="AP28" s="3">
        <v>10</v>
      </c>
      <c r="AQ28" s="3">
        <v>35</v>
      </c>
      <c r="AR28" s="3">
        <v>40</v>
      </c>
      <c r="AS28" s="1">
        <v>12</v>
      </c>
      <c r="AT28" s="3">
        <v>1</v>
      </c>
      <c r="AU28" s="3" t="s">
        <v>3051</v>
      </c>
    </row>
    <row r="29" spans="1:47" x14ac:dyDescent="0.3">
      <c r="A29" s="1" t="s">
        <v>123</v>
      </c>
      <c r="B29" s="1" t="s">
        <v>122</v>
      </c>
      <c r="C29" s="1" t="s">
        <v>120</v>
      </c>
      <c r="D29" s="1" t="s">
        <v>121</v>
      </c>
      <c r="E29" s="1" t="s">
        <v>96</v>
      </c>
      <c r="F29" t="s">
        <v>3122</v>
      </c>
      <c r="G29" t="s">
        <v>3180</v>
      </c>
      <c r="H29" t="s">
        <v>3175</v>
      </c>
      <c r="I29" t="s">
        <v>3230</v>
      </c>
      <c r="J29" t="s">
        <v>52</v>
      </c>
      <c r="K29" t="s">
        <v>52</v>
      </c>
      <c r="L29" s="2">
        <v>1</v>
      </c>
      <c r="M29" s="2">
        <v>1</v>
      </c>
      <c r="N29" s="2">
        <v>1</v>
      </c>
      <c r="O29" s="2">
        <v>0</v>
      </c>
      <c r="P29" s="2">
        <v>1</v>
      </c>
      <c r="Q29" s="2">
        <v>1</v>
      </c>
      <c r="R29" s="2">
        <v>1</v>
      </c>
      <c r="S29" s="2">
        <v>1</v>
      </c>
      <c r="T29" s="2">
        <v>1</v>
      </c>
      <c r="U29" s="2">
        <v>2</v>
      </c>
      <c r="V29" s="2">
        <v>1</v>
      </c>
      <c r="W29" s="2">
        <v>2</v>
      </c>
      <c r="X29" s="2">
        <v>1</v>
      </c>
      <c r="Y29" s="2">
        <v>0.5</v>
      </c>
      <c r="Z29" s="2">
        <v>1</v>
      </c>
      <c r="AA29" s="2">
        <v>0.5</v>
      </c>
      <c r="AB29" s="2">
        <v>1</v>
      </c>
      <c r="AC29" s="2">
        <v>2</v>
      </c>
      <c r="AD29" s="2">
        <v>100</v>
      </c>
      <c r="AE29" s="2">
        <v>5120</v>
      </c>
      <c r="AF29" s="2">
        <v>70</v>
      </c>
      <c r="AG29" s="2">
        <v>450</v>
      </c>
      <c r="AH29" s="2">
        <v>90</v>
      </c>
      <c r="AI29" s="2">
        <v>120</v>
      </c>
      <c r="AJ29" s="1">
        <v>1000000</v>
      </c>
      <c r="AK29" s="1">
        <v>1</v>
      </c>
      <c r="AL29" s="1">
        <v>75</v>
      </c>
      <c r="AM29" s="2">
        <v>50</v>
      </c>
      <c r="AN29" s="2">
        <f t="shared" si="0"/>
        <v>50</v>
      </c>
      <c r="AO29" s="3">
        <v>28</v>
      </c>
      <c r="AP29" s="3">
        <v>25</v>
      </c>
      <c r="AQ29" s="3">
        <v>65</v>
      </c>
      <c r="AR29" s="3">
        <v>65</v>
      </c>
      <c r="AS29" s="1">
        <v>29.5</v>
      </c>
      <c r="AT29" s="3">
        <v>1</v>
      </c>
      <c r="AU29" s="3" t="s">
        <v>3051</v>
      </c>
    </row>
    <row r="30" spans="1:47" x14ac:dyDescent="0.3">
      <c r="A30" s="1" t="s">
        <v>126</v>
      </c>
      <c r="B30" s="1" t="s">
        <v>125</v>
      </c>
      <c r="C30" s="1" t="s">
        <v>43</v>
      </c>
      <c r="D30" s="1" t="s">
        <v>52</v>
      </c>
      <c r="E30" s="1" t="s">
        <v>124</v>
      </c>
      <c r="F30" t="s">
        <v>3123</v>
      </c>
      <c r="G30" t="s">
        <v>3164</v>
      </c>
      <c r="H30" t="s">
        <v>3079</v>
      </c>
      <c r="I30" t="s">
        <v>52</v>
      </c>
      <c r="J30" t="s">
        <v>52</v>
      </c>
      <c r="K30" t="s">
        <v>52</v>
      </c>
      <c r="L30" s="2">
        <v>0.5</v>
      </c>
      <c r="M30" s="2">
        <v>1</v>
      </c>
      <c r="N30" s="2">
        <v>1</v>
      </c>
      <c r="O30" s="2">
        <v>1</v>
      </c>
      <c r="P30" s="2">
        <v>0.5</v>
      </c>
      <c r="Q30" s="2">
        <v>0.5</v>
      </c>
      <c r="R30" s="2">
        <v>1</v>
      </c>
      <c r="S30" s="2">
        <v>1</v>
      </c>
      <c r="T30" s="2">
        <v>1</v>
      </c>
      <c r="U30" s="2">
        <v>0.5</v>
      </c>
      <c r="V30" s="2">
        <v>2</v>
      </c>
      <c r="W30" s="2">
        <v>1</v>
      </c>
      <c r="X30" s="2">
        <v>1</v>
      </c>
      <c r="Y30" s="2">
        <v>0.5</v>
      </c>
      <c r="Z30" s="2">
        <v>2</v>
      </c>
      <c r="AA30" s="2">
        <v>1</v>
      </c>
      <c r="AB30" s="2">
        <v>1</v>
      </c>
      <c r="AC30" s="2">
        <v>1</v>
      </c>
      <c r="AD30" s="2">
        <v>47</v>
      </c>
      <c r="AE30" s="2">
        <v>5120</v>
      </c>
      <c r="AF30" s="2">
        <v>70</v>
      </c>
      <c r="AG30" s="2">
        <v>275</v>
      </c>
      <c r="AH30" s="2">
        <v>235</v>
      </c>
      <c r="AI30" s="2">
        <v>52</v>
      </c>
      <c r="AJ30" s="1">
        <v>1059860</v>
      </c>
      <c r="AK30" s="1">
        <v>0.4</v>
      </c>
      <c r="AL30" s="1">
        <v>55</v>
      </c>
      <c r="AM30" s="2">
        <v>0</v>
      </c>
      <c r="AN30" s="2">
        <f t="shared" si="0"/>
        <v>100</v>
      </c>
      <c r="AO30" s="3">
        <v>29</v>
      </c>
      <c r="AP30" s="3">
        <v>40</v>
      </c>
      <c r="AQ30" s="3">
        <v>40</v>
      </c>
      <c r="AR30" s="3">
        <v>41</v>
      </c>
      <c r="AS30" s="1">
        <v>7</v>
      </c>
      <c r="AT30" s="3">
        <v>1</v>
      </c>
      <c r="AU30" s="3" t="s">
        <v>3051</v>
      </c>
    </row>
    <row r="31" spans="1:47" x14ac:dyDescent="0.3">
      <c r="A31" s="1" t="s">
        <v>128</v>
      </c>
      <c r="B31" s="1" t="s">
        <v>127</v>
      </c>
      <c r="C31" s="1" t="s">
        <v>43</v>
      </c>
      <c r="D31" s="1" t="s">
        <v>52</v>
      </c>
      <c r="E31" s="1" t="s">
        <v>124</v>
      </c>
      <c r="F31" t="s">
        <v>3123</v>
      </c>
      <c r="G31" t="s">
        <v>3164</v>
      </c>
      <c r="H31" t="s">
        <v>3079</v>
      </c>
      <c r="I31" t="s">
        <v>52</v>
      </c>
      <c r="J31" t="s">
        <v>52</v>
      </c>
      <c r="K31" t="s">
        <v>52</v>
      </c>
      <c r="L31" s="2">
        <v>0.5</v>
      </c>
      <c r="M31" s="2">
        <v>1</v>
      </c>
      <c r="N31" s="2">
        <v>1</v>
      </c>
      <c r="O31" s="2">
        <v>1</v>
      </c>
      <c r="P31" s="2">
        <v>0.5</v>
      </c>
      <c r="Q31" s="2">
        <v>0.5</v>
      </c>
      <c r="R31" s="2">
        <v>1</v>
      </c>
      <c r="S31" s="2">
        <v>1</v>
      </c>
      <c r="T31" s="2">
        <v>1</v>
      </c>
      <c r="U31" s="2">
        <v>0.5</v>
      </c>
      <c r="V31" s="2">
        <v>2</v>
      </c>
      <c r="W31" s="2">
        <v>1</v>
      </c>
      <c r="X31" s="2">
        <v>1</v>
      </c>
      <c r="Y31" s="2">
        <v>0.5</v>
      </c>
      <c r="Z31" s="2">
        <v>2</v>
      </c>
      <c r="AA31" s="2">
        <v>1</v>
      </c>
      <c r="AB31" s="2">
        <v>1</v>
      </c>
      <c r="AC31" s="2">
        <v>1</v>
      </c>
      <c r="AD31" s="2">
        <v>62</v>
      </c>
      <c r="AE31" s="2">
        <v>5120</v>
      </c>
      <c r="AF31" s="2">
        <v>70</v>
      </c>
      <c r="AG31" s="2">
        <v>365</v>
      </c>
      <c r="AH31" s="2">
        <v>120</v>
      </c>
      <c r="AI31" s="2">
        <v>67</v>
      </c>
      <c r="AJ31" s="1">
        <v>1059860</v>
      </c>
      <c r="AK31" s="1">
        <v>0.8</v>
      </c>
      <c r="AL31" s="1">
        <v>70</v>
      </c>
      <c r="AM31" s="2">
        <v>0</v>
      </c>
      <c r="AN31" s="2">
        <f t="shared" si="0"/>
        <v>100</v>
      </c>
      <c r="AO31" s="3">
        <v>30</v>
      </c>
      <c r="AP31" s="3">
        <v>55</v>
      </c>
      <c r="AQ31" s="3">
        <v>55</v>
      </c>
      <c r="AR31" s="3">
        <v>56</v>
      </c>
      <c r="AS31" s="1">
        <v>20</v>
      </c>
      <c r="AT31" s="3">
        <v>1</v>
      </c>
      <c r="AU31" s="3" t="s">
        <v>3051</v>
      </c>
    </row>
    <row r="32" spans="1:47" x14ac:dyDescent="0.3">
      <c r="A32" s="1" t="s">
        <v>131</v>
      </c>
      <c r="B32" s="1" t="s">
        <v>130</v>
      </c>
      <c r="C32" s="1" t="s">
        <v>43</v>
      </c>
      <c r="D32" s="1" t="s">
        <v>120</v>
      </c>
      <c r="E32" s="1" t="s">
        <v>129</v>
      </c>
      <c r="F32" t="s">
        <v>3123</v>
      </c>
      <c r="G32" t="s">
        <v>3164</v>
      </c>
      <c r="H32" t="s">
        <v>3184</v>
      </c>
      <c r="I32" t="s">
        <v>52</v>
      </c>
      <c r="J32" t="s">
        <v>52</v>
      </c>
      <c r="K32" t="s">
        <v>52</v>
      </c>
      <c r="L32" s="2">
        <v>0.5</v>
      </c>
      <c r="M32" s="2">
        <v>1</v>
      </c>
      <c r="N32" s="2">
        <v>1</v>
      </c>
      <c r="O32" s="2">
        <v>0</v>
      </c>
      <c r="P32" s="2">
        <v>0.5</v>
      </c>
      <c r="Q32" s="2">
        <v>0.5</v>
      </c>
      <c r="R32" s="2">
        <v>1</v>
      </c>
      <c r="S32" s="2">
        <v>1</v>
      </c>
      <c r="T32" s="2">
        <v>1</v>
      </c>
      <c r="U32" s="2">
        <v>1</v>
      </c>
      <c r="V32" s="2">
        <v>2</v>
      </c>
      <c r="W32" s="2">
        <v>2</v>
      </c>
      <c r="X32" s="2">
        <v>1</v>
      </c>
      <c r="Y32" s="2">
        <v>0.25</v>
      </c>
      <c r="Z32" s="2">
        <v>2</v>
      </c>
      <c r="AA32" s="2">
        <v>0.5</v>
      </c>
      <c r="AB32" s="2">
        <v>1</v>
      </c>
      <c r="AC32" s="2">
        <v>2</v>
      </c>
      <c r="AD32" s="2">
        <v>92</v>
      </c>
      <c r="AE32" s="2">
        <v>5120</v>
      </c>
      <c r="AF32" s="2">
        <v>70</v>
      </c>
      <c r="AG32" s="2">
        <v>505</v>
      </c>
      <c r="AH32" s="2">
        <v>45</v>
      </c>
      <c r="AI32" s="2">
        <v>87</v>
      </c>
      <c r="AJ32" s="1">
        <v>1059860</v>
      </c>
      <c r="AK32" s="1">
        <v>1.3</v>
      </c>
      <c r="AL32" s="1">
        <v>90</v>
      </c>
      <c r="AM32" s="2">
        <v>0</v>
      </c>
      <c r="AN32" s="2">
        <f t="shared" si="0"/>
        <v>100</v>
      </c>
      <c r="AO32" s="3">
        <v>31</v>
      </c>
      <c r="AP32" s="3">
        <v>75</v>
      </c>
      <c r="AQ32" s="3">
        <v>85</v>
      </c>
      <c r="AR32" s="3">
        <v>76</v>
      </c>
      <c r="AS32" s="1">
        <v>60</v>
      </c>
      <c r="AT32" s="3">
        <v>1</v>
      </c>
      <c r="AU32" s="3" t="s">
        <v>3051</v>
      </c>
    </row>
    <row r="33" spans="1:47" x14ac:dyDescent="0.3">
      <c r="A33" s="1" t="s">
        <v>133</v>
      </c>
      <c r="B33" s="1" t="s">
        <v>132</v>
      </c>
      <c r="C33" s="1" t="s">
        <v>43</v>
      </c>
      <c r="D33" s="1" t="s">
        <v>52</v>
      </c>
      <c r="E33" s="1" t="s">
        <v>124</v>
      </c>
      <c r="F33" t="s">
        <v>3123</v>
      </c>
      <c r="G33" t="s">
        <v>3164</v>
      </c>
      <c r="H33" t="s">
        <v>3079</v>
      </c>
      <c r="I33" t="s">
        <v>52</v>
      </c>
      <c r="J33" t="s">
        <v>52</v>
      </c>
      <c r="K33" t="s">
        <v>52</v>
      </c>
      <c r="L33" s="2">
        <v>0.5</v>
      </c>
      <c r="M33" s="2">
        <v>1</v>
      </c>
      <c r="N33" s="2">
        <v>1</v>
      </c>
      <c r="O33" s="2">
        <v>1</v>
      </c>
      <c r="P33" s="2">
        <v>0.5</v>
      </c>
      <c r="Q33" s="2">
        <v>0.5</v>
      </c>
      <c r="R33" s="2">
        <v>1</v>
      </c>
      <c r="S33" s="2">
        <v>1</v>
      </c>
      <c r="T33" s="2">
        <v>1</v>
      </c>
      <c r="U33" s="2">
        <v>0.5</v>
      </c>
      <c r="V33" s="2">
        <v>2</v>
      </c>
      <c r="W33" s="2">
        <v>1</v>
      </c>
      <c r="X33" s="2">
        <v>1</v>
      </c>
      <c r="Y33" s="2">
        <v>0.5</v>
      </c>
      <c r="Z33" s="2">
        <v>2</v>
      </c>
      <c r="AA33" s="2">
        <v>1</v>
      </c>
      <c r="AB33" s="2">
        <v>1</v>
      </c>
      <c r="AC33" s="2">
        <v>1</v>
      </c>
      <c r="AD33" s="2">
        <v>57</v>
      </c>
      <c r="AE33" s="2">
        <v>5120</v>
      </c>
      <c r="AF33" s="2">
        <v>70</v>
      </c>
      <c r="AG33" s="2">
        <v>273</v>
      </c>
      <c r="AH33" s="2">
        <v>235</v>
      </c>
      <c r="AI33" s="2">
        <v>40</v>
      </c>
      <c r="AJ33" s="1">
        <v>1059860</v>
      </c>
      <c r="AK33" s="1">
        <v>0.5</v>
      </c>
      <c r="AL33" s="1">
        <v>46</v>
      </c>
      <c r="AM33" s="2">
        <v>100</v>
      </c>
      <c r="AN33" s="2">
        <f t="shared" si="0"/>
        <v>0</v>
      </c>
      <c r="AO33" s="3">
        <v>32</v>
      </c>
      <c r="AP33" s="3">
        <v>40</v>
      </c>
      <c r="AQ33" s="3">
        <v>40</v>
      </c>
      <c r="AR33" s="3">
        <v>50</v>
      </c>
      <c r="AS33" s="1">
        <v>9</v>
      </c>
      <c r="AT33" s="3">
        <v>1</v>
      </c>
      <c r="AU33" s="3" t="s">
        <v>3051</v>
      </c>
    </row>
    <row r="34" spans="1:47" x14ac:dyDescent="0.3">
      <c r="A34" s="1" t="s">
        <v>135</v>
      </c>
      <c r="B34" s="1" t="s">
        <v>134</v>
      </c>
      <c r="C34" s="1" t="s">
        <v>43</v>
      </c>
      <c r="D34" s="1" t="s">
        <v>52</v>
      </c>
      <c r="E34" s="1" t="s">
        <v>124</v>
      </c>
      <c r="F34" t="s">
        <v>3123</v>
      </c>
      <c r="G34" t="s">
        <v>3164</v>
      </c>
      <c r="H34" t="s">
        <v>3079</v>
      </c>
      <c r="I34" t="s">
        <v>52</v>
      </c>
      <c r="J34" t="s">
        <v>52</v>
      </c>
      <c r="K34" t="s">
        <v>52</v>
      </c>
      <c r="L34" s="2">
        <v>0.5</v>
      </c>
      <c r="M34" s="2">
        <v>1</v>
      </c>
      <c r="N34" s="2">
        <v>1</v>
      </c>
      <c r="O34" s="2">
        <v>1</v>
      </c>
      <c r="P34" s="2">
        <v>0.5</v>
      </c>
      <c r="Q34" s="2">
        <v>0.5</v>
      </c>
      <c r="R34" s="2">
        <v>1</v>
      </c>
      <c r="S34" s="2">
        <v>1</v>
      </c>
      <c r="T34" s="2">
        <v>1</v>
      </c>
      <c r="U34" s="2">
        <v>0.5</v>
      </c>
      <c r="V34" s="2">
        <v>2</v>
      </c>
      <c r="W34" s="2">
        <v>1</v>
      </c>
      <c r="X34" s="2">
        <v>1</v>
      </c>
      <c r="Y34" s="2">
        <v>0.5</v>
      </c>
      <c r="Z34" s="2">
        <v>2</v>
      </c>
      <c r="AA34" s="2">
        <v>1</v>
      </c>
      <c r="AB34" s="2">
        <v>1</v>
      </c>
      <c r="AC34" s="2">
        <v>1</v>
      </c>
      <c r="AD34" s="2">
        <v>72</v>
      </c>
      <c r="AE34" s="2">
        <v>5120</v>
      </c>
      <c r="AF34" s="2">
        <v>70</v>
      </c>
      <c r="AG34" s="2">
        <v>365</v>
      </c>
      <c r="AH34" s="2">
        <v>120</v>
      </c>
      <c r="AI34" s="2">
        <v>57</v>
      </c>
      <c r="AJ34" s="1">
        <v>1059860</v>
      </c>
      <c r="AK34" s="1">
        <v>0.9</v>
      </c>
      <c r="AL34" s="1">
        <v>61</v>
      </c>
      <c r="AM34" s="2">
        <v>100</v>
      </c>
      <c r="AN34" s="2">
        <f t="shared" si="0"/>
        <v>0</v>
      </c>
      <c r="AO34" s="3">
        <v>33</v>
      </c>
      <c r="AP34" s="3">
        <v>55</v>
      </c>
      <c r="AQ34" s="3">
        <v>55</v>
      </c>
      <c r="AR34" s="3">
        <v>65</v>
      </c>
      <c r="AS34" s="1">
        <v>19.5</v>
      </c>
      <c r="AT34" s="3">
        <v>1</v>
      </c>
      <c r="AU34" s="3" t="s">
        <v>3051</v>
      </c>
    </row>
    <row r="35" spans="1:47" x14ac:dyDescent="0.3">
      <c r="A35" s="1" t="s">
        <v>137</v>
      </c>
      <c r="B35" s="1" t="s">
        <v>136</v>
      </c>
      <c r="C35" s="1" t="s">
        <v>43</v>
      </c>
      <c r="D35" s="1" t="s">
        <v>120</v>
      </c>
      <c r="E35" s="1" t="s">
        <v>129</v>
      </c>
      <c r="F35" t="s">
        <v>3123</v>
      </c>
      <c r="G35" t="s">
        <v>3164</v>
      </c>
      <c r="H35" t="s">
        <v>3184</v>
      </c>
      <c r="I35" t="s">
        <v>52</v>
      </c>
      <c r="J35" t="s">
        <v>52</v>
      </c>
      <c r="K35" t="s">
        <v>52</v>
      </c>
      <c r="L35" s="2">
        <v>0.5</v>
      </c>
      <c r="M35" s="2">
        <v>1</v>
      </c>
      <c r="N35" s="2">
        <v>1</v>
      </c>
      <c r="O35" s="2">
        <v>0</v>
      </c>
      <c r="P35" s="2">
        <v>0.5</v>
      </c>
      <c r="Q35" s="2">
        <v>0.5</v>
      </c>
      <c r="R35" s="2">
        <v>1</v>
      </c>
      <c r="S35" s="2">
        <v>1</v>
      </c>
      <c r="T35" s="2">
        <v>1</v>
      </c>
      <c r="U35" s="2">
        <v>1</v>
      </c>
      <c r="V35" s="2">
        <v>2</v>
      </c>
      <c r="W35" s="2">
        <v>2</v>
      </c>
      <c r="X35" s="2">
        <v>1</v>
      </c>
      <c r="Y35" s="2">
        <v>0.25</v>
      </c>
      <c r="Z35" s="2">
        <v>2</v>
      </c>
      <c r="AA35" s="2">
        <v>0.5</v>
      </c>
      <c r="AB35" s="2">
        <v>1</v>
      </c>
      <c r="AC35" s="2">
        <v>2</v>
      </c>
      <c r="AD35" s="2">
        <v>102</v>
      </c>
      <c r="AE35" s="2">
        <v>5120</v>
      </c>
      <c r="AF35" s="2">
        <v>70</v>
      </c>
      <c r="AG35" s="2">
        <v>505</v>
      </c>
      <c r="AH35" s="2">
        <v>45</v>
      </c>
      <c r="AI35" s="2">
        <v>77</v>
      </c>
      <c r="AJ35" s="1">
        <v>1059860</v>
      </c>
      <c r="AK35" s="1">
        <v>1.4</v>
      </c>
      <c r="AL35" s="1">
        <v>81</v>
      </c>
      <c r="AM35" s="2">
        <v>100</v>
      </c>
      <c r="AN35" s="2">
        <f t="shared" si="0"/>
        <v>0</v>
      </c>
      <c r="AO35" s="3">
        <v>34</v>
      </c>
      <c r="AP35" s="3">
        <v>85</v>
      </c>
      <c r="AQ35" s="3">
        <v>75</v>
      </c>
      <c r="AR35" s="3">
        <v>85</v>
      </c>
      <c r="AS35" s="1">
        <v>62</v>
      </c>
      <c r="AT35" s="3">
        <v>1</v>
      </c>
      <c r="AU35" s="3" t="s">
        <v>3051</v>
      </c>
    </row>
    <row r="36" spans="1:47" x14ac:dyDescent="0.3">
      <c r="A36" s="1" t="s">
        <v>140</v>
      </c>
      <c r="B36" s="1" t="s">
        <v>139</v>
      </c>
      <c r="C36" s="1" t="s">
        <v>141</v>
      </c>
      <c r="D36" s="1" t="s">
        <v>52</v>
      </c>
      <c r="E36" s="1" t="s">
        <v>138</v>
      </c>
      <c r="F36" t="s">
        <v>3124</v>
      </c>
      <c r="G36" t="s">
        <v>3231</v>
      </c>
      <c r="H36" t="s">
        <v>3232</v>
      </c>
      <c r="I36" t="s">
        <v>52</v>
      </c>
      <c r="J36" t="s">
        <v>52</v>
      </c>
      <c r="K36" t="s">
        <v>52</v>
      </c>
      <c r="L36" s="2">
        <v>0.5</v>
      </c>
      <c r="M36" s="2">
        <v>0.5</v>
      </c>
      <c r="N36" s="2">
        <v>0</v>
      </c>
      <c r="O36" s="2">
        <v>1</v>
      </c>
      <c r="P36" s="2">
        <v>1</v>
      </c>
      <c r="Q36" s="2">
        <v>0.5</v>
      </c>
      <c r="R36" s="2">
        <v>1</v>
      </c>
      <c r="S36" s="2">
        <v>1</v>
      </c>
      <c r="T36" s="2">
        <v>1</v>
      </c>
      <c r="U36" s="2">
        <v>1</v>
      </c>
      <c r="V36" s="2">
        <v>1</v>
      </c>
      <c r="W36" s="2">
        <v>1</v>
      </c>
      <c r="X36" s="2">
        <v>1</v>
      </c>
      <c r="Y36" s="2">
        <v>2</v>
      </c>
      <c r="Z36" s="2">
        <v>1</v>
      </c>
      <c r="AA36" s="2">
        <v>1</v>
      </c>
      <c r="AB36" s="2">
        <v>2</v>
      </c>
      <c r="AC36" s="2">
        <v>1</v>
      </c>
      <c r="AD36" s="2">
        <v>45</v>
      </c>
      <c r="AE36" s="2">
        <v>2560</v>
      </c>
      <c r="AF36" s="2">
        <v>140</v>
      </c>
      <c r="AG36" s="2">
        <v>323</v>
      </c>
      <c r="AH36" s="2">
        <v>150</v>
      </c>
      <c r="AI36" s="2">
        <v>48</v>
      </c>
      <c r="AJ36" s="1">
        <v>800000</v>
      </c>
      <c r="AK36" s="1">
        <v>0.6</v>
      </c>
      <c r="AL36" s="1">
        <v>70</v>
      </c>
      <c r="AM36" s="2">
        <v>24.6</v>
      </c>
      <c r="AN36" s="2">
        <f t="shared" si="0"/>
        <v>75.400000000000006</v>
      </c>
      <c r="AO36" s="3">
        <v>35</v>
      </c>
      <c r="AP36" s="3">
        <v>60</v>
      </c>
      <c r="AQ36" s="3">
        <v>65</v>
      </c>
      <c r="AR36" s="3">
        <v>35</v>
      </c>
      <c r="AS36" s="1">
        <v>7.5</v>
      </c>
      <c r="AT36" s="3">
        <v>1</v>
      </c>
      <c r="AU36" s="3" t="s">
        <v>3051</v>
      </c>
    </row>
    <row r="37" spans="1:47" x14ac:dyDescent="0.3">
      <c r="A37" s="1" t="s">
        <v>143</v>
      </c>
      <c r="B37" s="1" t="s">
        <v>142</v>
      </c>
      <c r="C37" s="1" t="s">
        <v>141</v>
      </c>
      <c r="D37" s="1" t="s">
        <v>52</v>
      </c>
      <c r="E37" s="1" t="s">
        <v>138</v>
      </c>
      <c r="F37" t="s">
        <v>3124</v>
      </c>
      <c r="G37" t="s">
        <v>3231</v>
      </c>
      <c r="H37" t="s">
        <v>3106</v>
      </c>
      <c r="I37" t="s">
        <v>52</v>
      </c>
      <c r="J37" t="s">
        <v>52</v>
      </c>
      <c r="K37" t="s">
        <v>52</v>
      </c>
      <c r="L37" s="2">
        <v>0.5</v>
      </c>
      <c r="M37" s="2">
        <v>0.5</v>
      </c>
      <c r="N37" s="2">
        <v>0</v>
      </c>
      <c r="O37" s="2">
        <v>1</v>
      </c>
      <c r="P37" s="2">
        <v>1</v>
      </c>
      <c r="Q37" s="2">
        <v>0.5</v>
      </c>
      <c r="R37" s="2">
        <v>1</v>
      </c>
      <c r="S37" s="2">
        <v>1</v>
      </c>
      <c r="T37" s="2">
        <v>1</v>
      </c>
      <c r="U37" s="2">
        <v>1</v>
      </c>
      <c r="V37" s="2">
        <v>1</v>
      </c>
      <c r="W37" s="2">
        <v>1</v>
      </c>
      <c r="X37" s="2">
        <v>1</v>
      </c>
      <c r="Y37" s="2">
        <v>2</v>
      </c>
      <c r="Z37" s="2">
        <v>1</v>
      </c>
      <c r="AA37" s="2">
        <v>1</v>
      </c>
      <c r="AB37" s="2">
        <v>2</v>
      </c>
      <c r="AC37" s="2">
        <v>1</v>
      </c>
      <c r="AD37" s="2">
        <v>70</v>
      </c>
      <c r="AE37" s="2">
        <v>2560</v>
      </c>
      <c r="AF37" s="2">
        <v>140</v>
      </c>
      <c r="AG37" s="2">
        <v>483</v>
      </c>
      <c r="AH37" s="2">
        <v>25</v>
      </c>
      <c r="AI37" s="2">
        <v>73</v>
      </c>
      <c r="AJ37" s="1">
        <v>800000</v>
      </c>
      <c r="AK37" s="1">
        <v>1.3</v>
      </c>
      <c r="AL37" s="1">
        <v>95</v>
      </c>
      <c r="AM37" s="2">
        <v>24.6</v>
      </c>
      <c r="AN37" s="2">
        <f t="shared" si="0"/>
        <v>75.400000000000006</v>
      </c>
      <c r="AO37" s="3">
        <v>36</v>
      </c>
      <c r="AP37" s="3">
        <v>95</v>
      </c>
      <c r="AQ37" s="3">
        <v>90</v>
      </c>
      <c r="AR37" s="3">
        <v>60</v>
      </c>
      <c r="AS37" s="1">
        <v>40</v>
      </c>
      <c r="AT37" s="3">
        <v>1</v>
      </c>
      <c r="AU37" s="3" t="s">
        <v>3051</v>
      </c>
    </row>
    <row r="38" spans="1:47" x14ac:dyDescent="0.3">
      <c r="A38" s="1" t="s">
        <v>146</v>
      </c>
      <c r="B38" s="1" t="s">
        <v>145</v>
      </c>
      <c r="C38" s="1" t="s">
        <v>51</v>
      </c>
      <c r="D38" s="1" t="s">
        <v>121</v>
      </c>
      <c r="E38" s="1" t="s">
        <v>144</v>
      </c>
      <c r="F38" t="s">
        <v>3125</v>
      </c>
      <c r="G38" t="s">
        <v>3064</v>
      </c>
      <c r="H38" t="s">
        <v>3175</v>
      </c>
      <c r="I38" t="s">
        <v>3172</v>
      </c>
      <c r="J38" t="s">
        <v>52</v>
      </c>
      <c r="K38" t="s">
        <v>52</v>
      </c>
      <c r="L38" s="2">
        <v>0.5</v>
      </c>
      <c r="M38" s="2">
        <v>1</v>
      </c>
      <c r="N38" s="2">
        <v>1</v>
      </c>
      <c r="O38" s="2">
        <v>1</v>
      </c>
      <c r="P38" s="2">
        <v>0.5</v>
      </c>
      <c r="Q38" s="2">
        <v>1</v>
      </c>
      <c r="R38" s="2">
        <v>0.5</v>
      </c>
      <c r="S38" s="2">
        <v>1</v>
      </c>
      <c r="T38" s="2">
        <v>1</v>
      </c>
      <c r="U38" s="2">
        <v>0.5</v>
      </c>
      <c r="V38" s="2">
        <v>2</v>
      </c>
      <c r="W38" s="2">
        <v>0.5</v>
      </c>
      <c r="X38" s="2">
        <v>1</v>
      </c>
      <c r="Y38" s="2">
        <v>1</v>
      </c>
      <c r="Z38" s="2">
        <v>1</v>
      </c>
      <c r="AA38" s="2">
        <v>2</v>
      </c>
      <c r="AB38" s="2">
        <v>0.5</v>
      </c>
      <c r="AC38" s="2">
        <v>2</v>
      </c>
      <c r="AD38" s="2">
        <v>41</v>
      </c>
      <c r="AE38" s="2">
        <v>5120</v>
      </c>
      <c r="AF38" s="2">
        <v>70</v>
      </c>
      <c r="AG38" s="2">
        <v>299</v>
      </c>
      <c r="AH38" s="2">
        <v>190</v>
      </c>
      <c r="AI38" s="2">
        <v>40</v>
      </c>
      <c r="AJ38" s="1">
        <v>1000000</v>
      </c>
      <c r="AK38" s="1">
        <v>0.6</v>
      </c>
      <c r="AL38" s="1">
        <v>38</v>
      </c>
      <c r="AM38" s="2">
        <v>24.6</v>
      </c>
      <c r="AN38" s="2">
        <f t="shared" si="0"/>
        <v>75.400000000000006</v>
      </c>
      <c r="AO38" s="3">
        <v>37</v>
      </c>
      <c r="AP38" s="3">
        <v>50</v>
      </c>
      <c r="AQ38" s="3">
        <v>65</v>
      </c>
      <c r="AR38" s="3">
        <v>65</v>
      </c>
      <c r="AS38" s="1">
        <v>9.9</v>
      </c>
      <c r="AT38" s="3">
        <v>1</v>
      </c>
      <c r="AU38" s="3" t="s">
        <v>3051</v>
      </c>
    </row>
    <row r="39" spans="1:47" x14ac:dyDescent="0.3">
      <c r="A39" s="1" t="s">
        <v>148</v>
      </c>
      <c r="B39" s="1" t="s">
        <v>147</v>
      </c>
      <c r="C39" s="1" t="s">
        <v>51</v>
      </c>
      <c r="D39" s="1" t="s">
        <v>121</v>
      </c>
      <c r="E39" s="1" t="s">
        <v>144</v>
      </c>
      <c r="F39" t="s">
        <v>3125</v>
      </c>
      <c r="G39" t="s">
        <v>3064</v>
      </c>
      <c r="H39" t="s">
        <v>3175</v>
      </c>
      <c r="I39" t="s">
        <v>3172</v>
      </c>
      <c r="J39" t="s">
        <v>52</v>
      </c>
      <c r="K39" t="s">
        <v>52</v>
      </c>
      <c r="L39" s="2">
        <v>0.5</v>
      </c>
      <c r="M39" s="2">
        <v>1</v>
      </c>
      <c r="N39" s="2">
        <v>1</v>
      </c>
      <c r="O39" s="2">
        <v>1</v>
      </c>
      <c r="P39" s="2">
        <v>0.5</v>
      </c>
      <c r="Q39" s="2">
        <v>1</v>
      </c>
      <c r="R39" s="2">
        <v>0.5</v>
      </c>
      <c r="S39" s="2">
        <v>1</v>
      </c>
      <c r="T39" s="2">
        <v>1</v>
      </c>
      <c r="U39" s="2">
        <v>0.5</v>
      </c>
      <c r="V39" s="2">
        <v>2</v>
      </c>
      <c r="W39" s="2">
        <v>0.5</v>
      </c>
      <c r="X39" s="2">
        <v>1</v>
      </c>
      <c r="Y39" s="2">
        <v>1</v>
      </c>
      <c r="Z39" s="2">
        <v>1</v>
      </c>
      <c r="AA39" s="2">
        <v>2</v>
      </c>
      <c r="AB39" s="2">
        <v>0.5</v>
      </c>
      <c r="AC39" s="2">
        <v>2</v>
      </c>
      <c r="AD39" s="2">
        <v>67</v>
      </c>
      <c r="AE39" s="2">
        <v>5120</v>
      </c>
      <c r="AF39" s="2">
        <v>70</v>
      </c>
      <c r="AG39" s="2">
        <v>505</v>
      </c>
      <c r="AH39" s="2">
        <v>75</v>
      </c>
      <c r="AI39" s="2">
        <v>75</v>
      </c>
      <c r="AJ39" s="1">
        <v>1000000</v>
      </c>
      <c r="AK39" s="1">
        <v>1.1000000000000001</v>
      </c>
      <c r="AL39" s="1">
        <v>73</v>
      </c>
      <c r="AM39" s="2">
        <v>24.6</v>
      </c>
      <c r="AN39" s="2">
        <f t="shared" si="0"/>
        <v>75.400000000000006</v>
      </c>
      <c r="AO39" s="3">
        <v>38</v>
      </c>
      <c r="AP39" s="3">
        <v>81</v>
      </c>
      <c r="AQ39" s="3">
        <v>100</v>
      </c>
      <c r="AR39" s="3">
        <v>109</v>
      </c>
      <c r="AS39" s="1">
        <v>19.899999999999999</v>
      </c>
      <c r="AT39" s="3">
        <v>1</v>
      </c>
      <c r="AU39" s="3" t="s">
        <v>3051</v>
      </c>
    </row>
    <row r="40" spans="1:47" x14ac:dyDescent="0.3">
      <c r="A40" s="1" t="s">
        <v>151</v>
      </c>
      <c r="B40" s="1" t="s">
        <v>150</v>
      </c>
      <c r="C40" s="1" t="s">
        <v>90</v>
      </c>
      <c r="D40" s="1" t="s">
        <v>141</v>
      </c>
      <c r="E40" s="1" t="s">
        <v>149</v>
      </c>
      <c r="F40" t="s">
        <v>3124</v>
      </c>
      <c r="G40" t="s">
        <v>3233</v>
      </c>
      <c r="H40" t="s">
        <v>3232</v>
      </c>
      <c r="I40" t="s">
        <v>52</v>
      </c>
      <c r="J40" t="s">
        <v>52</v>
      </c>
      <c r="K40" t="s">
        <v>52</v>
      </c>
      <c r="L40" s="2">
        <v>0.5</v>
      </c>
      <c r="M40" s="2">
        <v>0.5</v>
      </c>
      <c r="N40" s="2">
        <v>0</v>
      </c>
      <c r="O40" s="2">
        <v>1</v>
      </c>
      <c r="P40" s="2">
        <v>1</v>
      </c>
      <c r="Q40" s="2">
        <v>1</v>
      </c>
      <c r="R40" s="2">
        <v>1</v>
      </c>
      <c r="S40" s="2">
        <v>1</v>
      </c>
      <c r="T40" s="2">
        <v>0</v>
      </c>
      <c r="U40" s="2">
        <v>1</v>
      </c>
      <c r="V40" s="2">
        <v>1</v>
      </c>
      <c r="W40" s="2">
        <v>1</v>
      </c>
      <c r="X40" s="2">
        <v>1</v>
      </c>
      <c r="Y40" s="2">
        <v>2</v>
      </c>
      <c r="Z40" s="2">
        <v>1</v>
      </c>
      <c r="AA40" s="2">
        <v>1</v>
      </c>
      <c r="AB40" s="2">
        <v>2</v>
      </c>
      <c r="AC40" s="2">
        <v>1</v>
      </c>
      <c r="AD40" s="2">
        <v>45</v>
      </c>
      <c r="AE40" s="2">
        <v>2560</v>
      </c>
      <c r="AF40" s="2">
        <v>70</v>
      </c>
      <c r="AG40" s="2">
        <v>270</v>
      </c>
      <c r="AH40" s="2">
        <v>170</v>
      </c>
      <c r="AI40" s="2">
        <v>20</v>
      </c>
      <c r="AJ40" s="1">
        <v>800000</v>
      </c>
      <c r="AK40" s="1">
        <v>0.5</v>
      </c>
      <c r="AL40" s="1">
        <v>115</v>
      </c>
      <c r="AM40" s="2">
        <v>24.6</v>
      </c>
      <c r="AN40" s="2">
        <f t="shared" si="0"/>
        <v>75.400000000000006</v>
      </c>
      <c r="AO40" s="3">
        <v>39</v>
      </c>
      <c r="AP40" s="3">
        <v>45</v>
      </c>
      <c r="AQ40" s="3">
        <v>25</v>
      </c>
      <c r="AR40" s="3">
        <v>20</v>
      </c>
      <c r="AS40" s="1">
        <v>5.5</v>
      </c>
      <c r="AT40" s="3">
        <v>1</v>
      </c>
      <c r="AU40" s="3" t="s">
        <v>3051</v>
      </c>
    </row>
    <row r="41" spans="1:47" x14ac:dyDescent="0.3">
      <c r="A41" s="1" t="s">
        <v>153</v>
      </c>
      <c r="B41" s="1" t="s">
        <v>152</v>
      </c>
      <c r="C41" s="1" t="s">
        <v>90</v>
      </c>
      <c r="D41" s="1" t="s">
        <v>141</v>
      </c>
      <c r="E41" s="1" t="s">
        <v>149</v>
      </c>
      <c r="F41" t="s">
        <v>3124</v>
      </c>
      <c r="G41" t="s">
        <v>3233</v>
      </c>
      <c r="H41" t="s">
        <v>3186</v>
      </c>
      <c r="I41" t="s">
        <v>52</v>
      </c>
      <c r="J41" t="s">
        <v>52</v>
      </c>
      <c r="K41" t="s">
        <v>52</v>
      </c>
      <c r="L41" s="2">
        <v>0.5</v>
      </c>
      <c r="M41" s="2">
        <v>0.5</v>
      </c>
      <c r="N41" s="2">
        <v>0</v>
      </c>
      <c r="O41" s="2">
        <v>1</v>
      </c>
      <c r="P41" s="2">
        <v>1</v>
      </c>
      <c r="Q41" s="2">
        <v>1</v>
      </c>
      <c r="R41" s="2">
        <v>1</v>
      </c>
      <c r="S41" s="2">
        <v>1</v>
      </c>
      <c r="T41" s="2">
        <v>0</v>
      </c>
      <c r="U41" s="2">
        <v>1</v>
      </c>
      <c r="V41" s="2">
        <v>1</v>
      </c>
      <c r="W41" s="2">
        <v>1</v>
      </c>
      <c r="X41" s="2">
        <v>1</v>
      </c>
      <c r="Y41" s="2">
        <v>2</v>
      </c>
      <c r="Z41" s="2">
        <v>1</v>
      </c>
      <c r="AA41" s="2">
        <v>1</v>
      </c>
      <c r="AB41" s="2">
        <v>2</v>
      </c>
      <c r="AC41" s="2">
        <v>1</v>
      </c>
      <c r="AD41" s="2">
        <v>70</v>
      </c>
      <c r="AE41" s="2">
        <v>2560</v>
      </c>
      <c r="AF41" s="2">
        <v>70</v>
      </c>
      <c r="AG41" s="2">
        <v>435</v>
      </c>
      <c r="AH41" s="2">
        <v>50</v>
      </c>
      <c r="AI41" s="2">
        <v>45</v>
      </c>
      <c r="AJ41" s="1">
        <v>800000</v>
      </c>
      <c r="AK41" s="1">
        <v>1</v>
      </c>
      <c r="AL41" s="1">
        <v>140</v>
      </c>
      <c r="AM41" s="2">
        <v>24.6</v>
      </c>
      <c r="AN41" s="2">
        <f t="shared" si="0"/>
        <v>75.400000000000006</v>
      </c>
      <c r="AO41" s="3">
        <v>40</v>
      </c>
      <c r="AP41" s="3">
        <v>85</v>
      </c>
      <c r="AQ41" s="3">
        <v>50</v>
      </c>
      <c r="AR41" s="3">
        <v>45</v>
      </c>
      <c r="AS41" s="1">
        <v>12</v>
      </c>
      <c r="AT41" s="3">
        <v>1</v>
      </c>
      <c r="AU41" s="3" t="s">
        <v>3051</v>
      </c>
    </row>
    <row r="42" spans="1:47" x14ac:dyDescent="0.3">
      <c r="A42" s="1" t="s">
        <v>156</v>
      </c>
      <c r="B42" s="1" t="s">
        <v>155</v>
      </c>
      <c r="C42" s="1" t="s">
        <v>43</v>
      </c>
      <c r="D42" s="1" t="s">
        <v>58</v>
      </c>
      <c r="E42" s="1" t="s">
        <v>154</v>
      </c>
      <c r="F42" t="s">
        <v>3126</v>
      </c>
      <c r="G42" t="s">
        <v>3234</v>
      </c>
      <c r="H42" t="s">
        <v>52</v>
      </c>
      <c r="I42" t="s">
        <v>52</v>
      </c>
      <c r="J42" t="s">
        <v>52</v>
      </c>
      <c r="K42" t="s">
        <v>52</v>
      </c>
      <c r="L42" s="2">
        <v>0.25</v>
      </c>
      <c r="M42" s="2">
        <v>1</v>
      </c>
      <c r="N42" s="2">
        <v>1</v>
      </c>
      <c r="O42" s="2">
        <v>2</v>
      </c>
      <c r="P42" s="2">
        <v>0.5</v>
      </c>
      <c r="Q42" s="2">
        <v>0.25</v>
      </c>
      <c r="R42" s="2">
        <v>1</v>
      </c>
      <c r="S42" s="2">
        <v>1</v>
      </c>
      <c r="T42" s="2">
        <v>1</v>
      </c>
      <c r="U42" s="2">
        <v>0.25</v>
      </c>
      <c r="V42" s="2">
        <v>0</v>
      </c>
      <c r="W42" s="2">
        <v>2</v>
      </c>
      <c r="X42" s="2">
        <v>1</v>
      </c>
      <c r="Y42" s="2">
        <v>0.5</v>
      </c>
      <c r="Z42" s="2">
        <v>2</v>
      </c>
      <c r="AA42" s="2">
        <v>2</v>
      </c>
      <c r="AB42" s="2">
        <v>1</v>
      </c>
      <c r="AC42" s="2">
        <v>1</v>
      </c>
      <c r="AD42" s="2">
        <v>45</v>
      </c>
      <c r="AE42" s="2">
        <v>3840</v>
      </c>
      <c r="AF42" s="2">
        <v>70</v>
      </c>
      <c r="AG42" s="2">
        <v>245</v>
      </c>
      <c r="AH42" s="2">
        <v>255</v>
      </c>
      <c r="AI42" s="2">
        <v>35</v>
      </c>
      <c r="AJ42" s="1">
        <v>1000000</v>
      </c>
      <c r="AK42" s="1">
        <v>0.8</v>
      </c>
      <c r="AL42" s="1">
        <v>40</v>
      </c>
      <c r="AM42" s="2">
        <v>50</v>
      </c>
      <c r="AN42" s="2">
        <f t="shared" si="0"/>
        <v>50</v>
      </c>
      <c r="AO42" s="3">
        <v>41</v>
      </c>
      <c r="AP42" s="3">
        <v>30</v>
      </c>
      <c r="AQ42" s="3">
        <v>40</v>
      </c>
      <c r="AR42" s="3">
        <v>55</v>
      </c>
      <c r="AS42" s="1">
        <v>7.5</v>
      </c>
      <c r="AT42" s="3">
        <v>1</v>
      </c>
      <c r="AU42" s="3" t="s">
        <v>3051</v>
      </c>
    </row>
    <row r="43" spans="1:47" x14ac:dyDescent="0.3">
      <c r="A43" s="1" t="s">
        <v>158</v>
      </c>
      <c r="B43" s="1" t="s">
        <v>157</v>
      </c>
      <c r="C43" s="1" t="s">
        <v>43</v>
      </c>
      <c r="D43" s="1" t="s">
        <v>58</v>
      </c>
      <c r="E43" s="1" t="s">
        <v>154</v>
      </c>
      <c r="F43" t="s">
        <v>3126</v>
      </c>
      <c r="G43" t="s">
        <v>3234</v>
      </c>
      <c r="H43" t="s">
        <v>52</v>
      </c>
      <c r="I43" t="s">
        <v>52</v>
      </c>
      <c r="J43" t="s">
        <v>52</v>
      </c>
      <c r="K43" t="s">
        <v>52</v>
      </c>
      <c r="L43" s="2">
        <v>0.25</v>
      </c>
      <c r="M43" s="2">
        <v>1</v>
      </c>
      <c r="N43" s="2">
        <v>1</v>
      </c>
      <c r="O43" s="2">
        <v>2</v>
      </c>
      <c r="P43" s="2">
        <v>0.5</v>
      </c>
      <c r="Q43" s="2">
        <v>0.25</v>
      </c>
      <c r="R43" s="2">
        <v>1</v>
      </c>
      <c r="S43" s="2">
        <v>1</v>
      </c>
      <c r="T43" s="2">
        <v>1</v>
      </c>
      <c r="U43" s="2">
        <v>0.25</v>
      </c>
      <c r="V43" s="2">
        <v>0</v>
      </c>
      <c r="W43" s="2">
        <v>2</v>
      </c>
      <c r="X43" s="2">
        <v>1</v>
      </c>
      <c r="Y43" s="2">
        <v>0.5</v>
      </c>
      <c r="Z43" s="2">
        <v>2</v>
      </c>
      <c r="AA43" s="2">
        <v>2</v>
      </c>
      <c r="AB43" s="2">
        <v>1</v>
      </c>
      <c r="AC43" s="2">
        <v>1</v>
      </c>
      <c r="AD43" s="2">
        <v>80</v>
      </c>
      <c r="AE43" s="2">
        <v>3840</v>
      </c>
      <c r="AF43" s="2">
        <v>70</v>
      </c>
      <c r="AG43" s="2">
        <v>455</v>
      </c>
      <c r="AH43" s="2">
        <v>90</v>
      </c>
      <c r="AI43" s="2">
        <v>70</v>
      </c>
      <c r="AJ43" s="1">
        <v>1000000</v>
      </c>
      <c r="AK43" s="1">
        <v>1.6</v>
      </c>
      <c r="AL43" s="1">
        <v>75</v>
      </c>
      <c r="AM43" s="2">
        <v>50</v>
      </c>
      <c r="AN43" s="2">
        <f t="shared" si="0"/>
        <v>50</v>
      </c>
      <c r="AO43" s="3">
        <v>42</v>
      </c>
      <c r="AP43" s="3">
        <v>65</v>
      </c>
      <c r="AQ43" s="3">
        <v>75</v>
      </c>
      <c r="AR43" s="3">
        <v>90</v>
      </c>
      <c r="AS43" s="1">
        <v>55</v>
      </c>
      <c r="AT43" s="3">
        <v>1</v>
      </c>
      <c r="AU43" s="3" t="s">
        <v>3051</v>
      </c>
    </row>
    <row r="44" spans="1:47" x14ac:dyDescent="0.3">
      <c r="A44" s="1" t="s">
        <v>161</v>
      </c>
      <c r="B44" s="1" t="s">
        <v>160</v>
      </c>
      <c r="C44" s="1" t="s">
        <v>42</v>
      </c>
      <c r="D44" s="1" t="s">
        <v>43</v>
      </c>
      <c r="E44" s="1" t="s">
        <v>159</v>
      </c>
      <c r="F44" t="s">
        <v>3068</v>
      </c>
      <c r="G44" t="s">
        <v>3119</v>
      </c>
      <c r="H44" t="s">
        <v>52</v>
      </c>
      <c r="I44" t="s">
        <v>52</v>
      </c>
      <c r="J44" t="s">
        <v>52</v>
      </c>
      <c r="K44" t="s">
        <v>52</v>
      </c>
      <c r="L44" s="2">
        <v>1</v>
      </c>
      <c r="M44" s="2">
        <v>1</v>
      </c>
      <c r="N44" s="2">
        <v>1</v>
      </c>
      <c r="O44" s="2">
        <v>0.5</v>
      </c>
      <c r="P44" s="2">
        <v>0.5</v>
      </c>
      <c r="Q44" s="2">
        <v>0.5</v>
      </c>
      <c r="R44" s="2">
        <v>2</v>
      </c>
      <c r="S44" s="2">
        <v>2</v>
      </c>
      <c r="T44" s="2">
        <v>1</v>
      </c>
      <c r="U44" s="2">
        <v>0.25</v>
      </c>
      <c r="V44" s="2">
        <v>1</v>
      </c>
      <c r="W44" s="2">
        <v>2</v>
      </c>
      <c r="X44" s="2">
        <v>1</v>
      </c>
      <c r="Y44" s="2">
        <v>1</v>
      </c>
      <c r="Z44" s="2">
        <v>2</v>
      </c>
      <c r="AA44" s="2">
        <v>1</v>
      </c>
      <c r="AB44" s="2">
        <v>1</v>
      </c>
      <c r="AC44" s="2">
        <v>0.5</v>
      </c>
      <c r="AD44" s="2">
        <v>50</v>
      </c>
      <c r="AE44" s="2">
        <v>5120</v>
      </c>
      <c r="AF44" s="2">
        <v>70</v>
      </c>
      <c r="AG44" s="2">
        <v>320</v>
      </c>
      <c r="AH44" s="2">
        <v>255</v>
      </c>
      <c r="AI44" s="2">
        <v>55</v>
      </c>
      <c r="AJ44" s="1">
        <v>1059860</v>
      </c>
      <c r="AK44" s="1">
        <v>0.5</v>
      </c>
      <c r="AL44" s="1">
        <v>45</v>
      </c>
      <c r="AM44" s="2">
        <v>50</v>
      </c>
      <c r="AN44" s="2">
        <f t="shared" si="0"/>
        <v>50</v>
      </c>
      <c r="AO44" s="3">
        <v>43</v>
      </c>
      <c r="AP44" s="3">
        <v>75</v>
      </c>
      <c r="AQ44" s="3">
        <v>65</v>
      </c>
      <c r="AR44" s="3">
        <v>30</v>
      </c>
      <c r="AS44" s="1">
        <v>5.4</v>
      </c>
      <c r="AT44" s="3">
        <v>1</v>
      </c>
      <c r="AU44" s="3" t="s">
        <v>3051</v>
      </c>
    </row>
    <row r="45" spans="1:47" x14ac:dyDescent="0.3">
      <c r="A45" s="1" t="s">
        <v>163</v>
      </c>
      <c r="B45" s="1" t="s">
        <v>162</v>
      </c>
      <c r="C45" s="1" t="s">
        <v>42</v>
      </c>
      <c r="D45" s="1" t="s">
        <v>43</v>
      </c>
      <c r="E45" s="1" t="s">
        <v>159</v>
      </c>
      <c r="F45" t="s">
        <v>3068</v>
      </c>
      <c r="G45" t="s">
        <v>3136</v>
      </c>
      <c r="H45" t="s">
        <v>52</v>
      </c>
      <c r="I45" t="s">
        <v>52</v>
      </c>
      <c r="J45" t="s">
        <v>52</v>
      </c>
      <c r="K45" t="s">
        <v>52</v>
      </c>
      <c r="L45" s="2">
        <v>1</v>
      </c>
      <c r="M45" s="2">
        <v>1</v>
      </c>
      <c r="N45" s="2">
        <v>1</v>
      </c>
      <c r="O45" s="2">
        <v>0.5</v>
      </c>
      <c r="P45" s="2">
        <v>0.5</v>
      </c>
      <c r="Q45" s="2">
        <v>0.5</v>
      </c>
      <c r="R45" s="2">
        <v>2</v>
      </c>
      <c r="S45" s="2">
        <v>2</v>
      </c>
      <c r="T45" s="2">
        <v>1</v>
      </c>
      <c r="U45" s="2">
        <v>0.25</v>
      </c>
      <c r="V45" s="2">
        <v>1</v>
      </c>
      <c r="W45" s="2">
        <v>2</v>
      </c>
      <c r="X45" s="2">
        <v>1</v>
      </c>
      <c r="Y45" s="2">
        <v>1</v>
      </c>
      <c r="Z45" s="2">
        <v>2</v>
      </c>
      <c r="AA45" s="2">
        <v>1</v>
      </c>
      <c r="AB45" s="2">
        <v>1</v>
      </c>
      <c r="AC45" s="2">
        <v>0.5</v>
      </c>
      <c r="AD45" s="2">
        <v>65</v>
      </c>
      <c r="AE45" s="2">
        <v>5120</v>
      </c>
      <c r="AF45" s="2">
        <v>70</v>
      </c>
      <c r="AG45" s="2">
        <v>395</v>
      </c>
      <c r="AH45" s="2">
        <v>120</v>
      </c>
      <c r="AI45" s="2">
        <v>70</v>
      </c>
      <c r="AJ45" s="1">
        <v>1059860</v>
      </c>
      <c r="AK45" s="1">
        <v>0.8</v>
      </c>
      <c r="AL45" s="1">
        <v>60</v>
      </c>
      <c r="AM45" s="2">
        <v>50</v>
      </c>
      <c r="AN45" s="2">
        <f t="shared" si="0"/>
        <v>50</v>
      </c>
      <c r="AO45" s="3">
        <v>44</v>
      </c>
      <c r="AP45" s="3">
        <v>85</v>
      </c>
      <c r="AQ45" s="3">
        <v>75</v>
      </c>
      <c r="AR45" s="3">
        <v>40</v>
      </c>
      <c r="AS45" s="1">
        <v>8.6</v>
      </c>
      <c r="AT45" s="3">
        <v>1</v>
      </c>
      <c r="AU45" s="3" t="s">
        <v>3051</v>
      </c>
    </row>
    <row r="46" spans="1:47" x14ac:dyDescent="0.3">
      <c r="A46" s="1" t="s">
        <v>166</v>
      </c>
      <c r="B46" s="1" t="s">
        <v>165</v>
      </c>
      <c r="C46" s="1" t="s">
        <v>42</v>
      </c>
      <c r="D46" s="1" t="s">
        <v>43</v>
      </c>
      <c r="E46" s="1" t="s">
        <v>164</v>
      </c>
      <c r="F46" t="s">
        <v>3068</v>
      </c>
      <c r="G46" t="s">
        <v>3127</v>
      </c>
      <c r="H46" t="s">
        <v>52</v>
      </c>
      <c r="I46" t="s">
        <v>52</v>
      </c>
      <c r="J46" t="s">
        <v>52</v>
      </c>
      <c r="K46" t="s">
        <v>52</v>
      </c>
      <c r="L46" s="2">
        <v>1</v>
      </c>
      <c r="M46" s="2">
        <v>1</v>
      </c>
      <c r="N46" s="2">
        <v>1</v>
      </c>
      <c r="O46" s="2">
        <v>0.5</v>
      </c>
      <c r="P46" s="2">
        <v>0.5</v>
      </c>
      <c r="Q46" s="2">
        <v>0.5</v>
      </c>
      <c r="R46" s="2">
        <v>2</v>
      </c>
      <c r="S46" s="2">
        <v>2</v>
      </c>
      <c r="T46" s="2">
        <v>1</v>
      </c>
      <c r="U46" s="2">
        <v>0.25</v>
      </c>
      <c r="V46" s="2">
        <v>1</v>
      </c>
      <c r="W46" s="2">
        <v>2</v>
      </c>
      <c r="X46" s="2">
        <v>1</v>
      </c>
      <c r="Y46" s="2">
        <v>1</v>
      </c>
      <c r="Z46" s="2">
        <v>2</v>
      </c>
      <c r="AA46" s="2">
        <v>1</v>
      </c>
      <c r="AB46" s="2">
        <v>1</v>
      </c>
      <c r="AC46" s="2">
        <v>0.5</v>
      </c>
      <c r="AD46" s="2">
        <v>80</v>
      </c>
      <c r="AE46" s="2">
        <v>5120</v>
      </c>
      <c r="AF46" s="2">
        <v>70</v>
      </c>
      <c r="AG46" s="2">
        <v>490</v>
      </c>
      <c r="AH46" s="2">
        <v>45</v>
      </c>
      <c r="AI46" s="2">
        <v>85</v>
      </c>
      <c r="AJ46" s="1">
        <v>1059860</v>
      </c>
      <c r="AK46" s="1">
        <v>1.2</v>
      </c>
      <c r="AL46" s="1">
        <v>75</v>
      </c>
      <c r="AM46" s="2">
        <v>50</v>
      </c>
      <c r="AN46" s="2">
        <f t="shared" si="0"/>
        <v>50</v>
      </c>
      <c r="AO46" s="3">
        <v>45</v>
      </c>
      <c r="AP46" s="3">
        <v>110</v>
      </c>
      <c r="AQ46" s="3">
        <v>90</v>
      </c>
      <c r="AR46" s="3">
        <v>50</v>
      </c>
      <c r="AS46" s="1">
        <v>18.600000000000001</v>
      </c>
      <c r="AT46" s="3">
        <v>1</v>
      </c>
      <c r="AU46" s="3" t="s">
        <v>3051</v>
      </c>
    </row>
    <row r="47" spans="1:47" x14ac:dyDescent="0.3">
      <c r="A47" s="1" t="s">
        <v>169</v>
      </c>
      <c r="B47" s="1" t="s">
        <v>168</v>
      </c>
      <c r="C47" s="1" t="s">
        <v>72</v>
      </c>
      <c r="D47" s="1" t="s">
        <v>42</v>
      </c>
      <c r="E47" s="1" t="s">
        <v>167</v>
      </c>
      <c r="F47" t="s">
        <v>3127</v>
      </c>
      <c r="G47" t="s">
        <v>3198</v>
      </c>
      <c r="H47" t="s">
        <v>3130</v>
      </c>
      <c r="I47" t="s">
        <v>52</v>
      </c>
      <c r="J47" t="s">
        <v>52</v>
      </c>
      <c r="K47" t="s">
        <v>52</v>
      </c>
      <c r="L47" s="2">
        <v>2</v>
      </c>
      <c r="M47" s="2">
        <v>1</v>
      </c>
      <c r="N47" s="2">
        <v>1</v>
      </c>
      <c r="O47" s="2">
        <v>0.5</v>
      </c>
      <c r="P47" s="2">
        <v>1</v>
      </c>
      <c r="Q47" s="2">
        <v>0.5</v>
      </c>
      <c r="R47" s="2">
        <v>4</v>
      </c>
      <c r="S47" s="2">
        <v>4</v>
      </c>
      <c r="T47" s="2">
        <v>1</v>
      </c>
      <c r="U47" s="2">
        <v>0.25</v>
      </c>
      <c r="V47" s="2">
        <v>0.25</v>
      </c>
      <c r="W47" s="2">
        <v>2</v>
      </c>
      <c r="X47" s="2">
        <v>1</v>
      </c>
      <c r="Y47" s="2">
        <v>2</v>
      </c>
      <c r="Z47" s="2">
        <v>1</v>
      </c>
      <c r="AA47" s="2">
        <v>2</v>
      </c>
      <c r="AB47" s="2">
        <v>1</v>
      </c>
      <c r="AC47" s="2">
        <v>0.5</v>
      </c>
      <c r="AD47" s="2">
        <v>70</v>
      </c>
      <c r="AE47" s="2">
        <v>5120</v>
      </c>
      <c r="AF47" s="2">
        <v>70</v>
      </c>
      <c r="AG47" s="2">
        <v>285</v>
      </c>
      <c r="AH47" s="2">
        <v>190</v>
      </c>
      <c r="AI47" s="2">
        <v>55</v>
      </c>
      <c r="AJ47" s="1">
        <v>1000000</v>
      </c>
      <c r="AK47" s="1">
        <v>0.3</v>
      </c>
      <c r="AL47" s="1">
        <v>35</v>
      </c>
      <c r="AM47" s="2">
        <v>50</v>
      </c>
      <c r="AN47" s="2">
        <f t="shared" si="0"/>
        <v>50</v>
      </c>
      <c r="AO47" s="3">
        <v>46</v>
      </c>
      <c r="AP47" s="3">
        <v>45</v>
      </c>
      <c r="AQ47" s="3">
        <v>55</v>
      </c>
      <c r="AR47" s="3">
        <v>25</v>
      </c>
      <c r="AS47" s="1">
        <v>5.4</v>
      </c>
      <c r="AT47" s="3">
        <v>1</v>
      </c>
      <c r="AU47" s="3" t="s">
        <v>3051</v>
      </c>
    </row>
    <row r="48" spans="1:47" x14ac:dyDescent="0.3">
      <c r="A48" s="1" t="s">
        <v>171</v>
      </c>
      <c r="B48" s="1" t="s">
        <v>170</v>
      </c>
      <c r="C48" s="1" t="s">
        <v>72</v>
      </c>
      <c r="D48" s="1" t="s">
        <v>42</v>
      </c>
      <c r="E48" s="1" t="s">
        <v>167</v>
      </c>
      <c r="F48" t="s">
        <v>3127</v>
      </c>
      <c r="G48" t="s">
        <v>3198</v>
      </c>
      <c r="H48" t="s">
        <v>3130</v>
      </c>
      <c r="I48" t="s">
        <v>52</v>
      </c>
      <c r="J48" t="s">
        <v>52</v>
      </c>
      <c r="K48" t="s">
        <v>52</v>
      </c>
      <c r="L48" s="2">
        <v>2</v>
      </c>
      <c r="M48" s="2">
        <v>1</v>
      </c>
      <c r="N48" s="2">
        <v>1</v>
      </c>
      <c r="O48" s="2">
        <v>0.5</v>
      </c>
      <c r="P48" s="2">
        <v>1</v>
      </c>
      <c r="Q48" s="2">
        <v>0.5</v>
      </c>
      <c r="R48" s="2">
        <v>4</v>
      </c>
      <c r="S48" s="2">
        <v>4</v>
      </c>
      <c r="T48" s="2">
        <v>1</v>
      </c>
      <c r="U48" s="2">
        <v>0.25</v>
      </c>
      <c r="V48" s="2">
        <v>0.25</v>
      </c>
      <c r="W48" s="2">
        <v>2</v>
      </c>
      <c r="X48" s="2">
        <v>1</v>
      </c>
      <c r="Y48" s="2">
        <v>2</v>
      </c>
      <c r="Z48" s="2">
        <v>1</v>
      </c>
      <c r="AA48" s="2">
        <v>2</v>
      </c>
      <c r="AB48" s="2">
        <v>1</v>
      </c>
      <c r="AC48" s="2">
        <v>0.5</v>
      </c>
      <c r="AD48" s="2">
        <v>95</v>
      </c>
      <c r="AE48" s="2">
        <v>5120</v>
      </c>
      <c r="AF48" s="2">
        <v>70</v>
      </c>
      <c r="AG48" s="2">
        <v>405</v>
      </c>
      <c r="AH48" s="2">
        <v>75</v>
      </c>
      <c r="AI48" s="2">
        <v>80</v>
      </c>
      <c r="AJ48" s="1">
        <v>1000000</v>
      </c>
      <c r="AK48" s="1">
        <v>1</v>
      </c>
      <c r="AL48" s="1">
        <v>60</v>
      </c>
      <c r="AM48" s="2">
        <v>50</v>
      </c>
      <c r="AN48" s="2">
        <f t="shared" si="0"/>
        <v>50</v>
      </c>
      <c r="AO48" s="3">
        <v>47</v>
      </c>
      <c r="AP48" s="3">
        <v>60</v>
      </c>
      <c r="AQ48" s="3">
        <v>80</v>
      </c>
      <c r="AR48" s="3">
        <v>30</v>
      </c>
      <c r="AS48" s="1">
        <v>29.5</v>
      </c>
      <c r="AT48" s="3">
        <v>1</v>
      </c>
      <c r="AU48" s="3" t="s">
        <v>3051</v>
      </c>
    </row>
    <row r="49" spans="1:47" x14ac:dyDescent="0.3">
      <c r="A49" s="1" t="s">
        <v>174</v>
      </c>
      <c r="B49" s="1" t="s">
        <v>173</v>
      </c>
      <c r="C49" s="1" t="s">
        <v>72</v>
      </c>
      <c r="D49" s="1" t="s">
        <v>43</v>
      </c>
      <c r="E49" s="1" t="s">
        <v>172</v>
      </c>
      <c r="F49" t="s">
        <v>3117</v>
      </c>
      <c r="G49" t="s">
        <v>3225</v>
      </c>
      <c r="H49" t="s">
        <v>3119</v>
      </c>
      <c r="I49" t="s">
        <v>52</v>
      </c>
      <c r="J49" t="s">
        <v>52</v>
      </c>
      <c r="K49" t="s">
        <v>52</v>
      </c>
      <c r="L49" s="2">
        <v>0.5</v>
      </c>
      <c r="M49" s="2">
        <v>1</v>
      </c>
      <c r="N49" s="2">
        <v>1</v>
      </c>
      <c r="O49" s="2">
        <v>1</v>
      </c>
      <c r="P49" s="2">
        <v>0.5</v>
      </c>
      <c r="Q49" s="2">
        <v>0.25</v>
      </c>
      <c r="R49" s="2">
        <v>2</v>
      </c>
      <c r="S49" s="2">
        <v>2</v>
      </c>
      <c r="T49" s="2">
        <v>1</v>
      </c>
      <c r="U49" s="2">
        <v>0.25</v>
      </c>
      <c r="V49" s="2">
        <v>1</v>
      </c>
      <c r="W49" s="2">
        <v>1</v>
      </c>
      <c r="X49" s="2">
        <v>1</v>
      </c>
      <c r="Y49" s="2">
        <v>0.5</v>
      </c>
      <c r="Z49" s="2">
        <v>2</v>
      </c>
      <c r="AA49" s="2">
        <v>2</v>
      </c>
      <c r="AB49" s="2">
        <v>1</v>
      </c>
      <c r="AC49" s="2">
        <v>1</v>
      </c>
      <c r="AD49" s="2">
        <v>55</v>
      </c>
      <c r="AE49" s="2">
        <v>5120</v>
      </c>
      <c r="AF49" s="2">
        <v>70</v>
      </c>
      <c r="AG49" s="2">
        <v>305</v>
      </c>
      <c r="AH49" s="2">
        <v>190</v>
      </c>
      <c r="AI49" s="2">
        <v>50</v>
      </c>
      <c r="AJ49" s="1">
        <v>1000000</v>
      </c>
      <c r="AK49" s="1">
        <v>1</v>
      </c>
      <c r="AL49" s="1">
        <v>60</v>
      </c>
      <c r="AM49" s="2">
        <v>50</v>
      </c>
      <c r="AN49" s="2">
        <f t="shared" si="0"/>
        <v>50</v>
      </c>
      <c r="AO49" s="3">
        <v>48</v>
      </c>
      <c r="AP49" s="3">
        <v>40</v>
      </c>
      <c r="AQ49" s="3">
        <v>55</v>
      </c>
      <c r="AR49" s="3">
        <v>45</v>
      </c>
      <c r="AS49" s="1">
        <v>30</v>
      </c>
      <c r="AT49" s="3">
        <v>1</v>
      </c>
      <c r="AU49" s="3" t="s">
        <v>3051</v>
      </c>
    </row>
    <row r="50" spans="1:47" x14ac:dyDescent="0.3">
      <c r="A50" s="1" t="s">
        <v>177</v>
      </c>
      <c r="B50" s="1" t="s">
        <v>176</v>
      </c>
      <c r="C50" s="1" t="s">
        <v>72</v>
      </c>
      <c r="D50" s="1" t="s">
        <v>43</v>
      </c>
      <c r="E50" s="1" t="s">
        <v>175</v>
      </c>
      <c r="F50" t="s">
        <v>3116</v>
      </c>
      <c r="G50" t="s">
        <v>3225</v>
      </c>
      <c r="H50" t="s">
        <v>3235</v>
      </c>
      <c r="I50" t="s">
        <v>52</v>
      </c>
      <c r="J50" t="s">
        <v>52</v>
      </c>
      <c r="K50" t="s">
        <v>52</v>
      </c>
      <c r="L50" s="2">
        <v>0.5</v>
      </c>
      <c r="M50" s="2">
        <v>1</v>
      </c>
      <c r="N50" s="2">
        <v>1</v>
      </c>
      <c r="O50" s="2">
        <v>1</v>
      </c>
      <c r="P50" s="2">
        <v>0.5</v>
      </c>
      <c r="Q50" s="2">
        <v>0.25</v>
      </c>
      <c r="R50" s="2">
        <v>2</v>
      </c>
      <c r="S50" s="2">
        <v>2</v>
      </c>
      <c r="T50" s="2">
        <v>1</v>
      </c>
      <c r="U50" s="2">
        <v>0.25</v>
      </c>
      <c r="V50" s="2">
        <v>1</v>
      </c>
      <c r="W50" s="2">
        <v>1</v>
      </c>
      <c r="X50" s="2">
        <v>1</v>
      </c>
      <c r="Y50" s="2">
        <v>0.5</v>
      </c>
      <c r="Z50" s="2">
        <v>2</v>
      </c>
      <c r="AA50" s="2">
        <v>2</v>
      </c>
      <c r="AB50" s="2">
        <v>1</v>
      </c>
      <c r="AC50" s="2">
        <v>1</v>
      </c>
      <c r="AD50" s="2">
        <v>65</v>
      </c>
      <c r="AE50" s="2">
        <v>5120</v>
      </c>
      <c r="AF50" s="2">
        <v>70</v>
      </c>
      <c r="AG50" s="2">
        <v>450</v>
      </c>
      <c r="AH50" s="2">
        <v>75</v>
      </c>
      <c r="AI50" s="2">
        <v>60</v>
      </c>
      <c r="AJ50" s="1">
        <v>1000000</v>
      </c>
      <c r="AK50" s="1">
        <v>1.5</v>
      </c>
      <c r="AL50" s="1">
        <v>70</v>
      </c>
      <c r="AM50" s="2">
        <v>50</v>
      </c>
      <c r="AN50" s="2">
        <f t="shared" si="0"/>
        <v>50</v>
      </c>
      <c r="AO50" s="3">
        <v>49</v>
      </c>
      <c r="AP50" s="3">
        <v>90</v>
      </c>
      <c r="AQ50" s="3">
        <v>75</v>
      </c>
      <c r="AR50" s="3">
        <v>90</v>
      </c>
      <c r="AS50" s="1">
        <v>12.5</v>
      </c>
      <c r="AT50" s="3">
        <v>1</v>
      </c>
      <c r="AU50" s="3" t="s">
        <v>3051</v>
      </c>
    </row>
    <row r="51" spans="1:47" x14ac:dyDescent="0.3">
      <c r="A51" s="1" t="s">
        <v>180</v>
      </c>
      <c r="B51" s="1" t="s">
        <v>179</v>
      </c>
      <c r="C51" s="1" t="s">
        <v>120</v>
      </c>
      <c r="D51" s="1" t="s">
        <v>120</v>
      </c>
      <c r="E51" s="1" t="s">
        <v>178</v>
      </c>
      <c r="F51" t="s">
        <v>3122</v>
      </c>
      <c r="G51" t="s">
        <v>3236</v>
      </c>
      <c r="H51" t="s">
        <v>3192</v>
      </c>
      <c r="I51" t="s">
        <v>3122</v>
      </c>
      <c r="J51" t="s">
        <v>3237</v>
      </c>
      <c r="K51" t="s">
        <v>3192</v>
      </c>
      <c r="L51" s="2">
        <v>1</v>
      </c>
      <c r="M51" s="2">
        <v>1</v>
      </c>
      <c r="N51" s="2">
        <v>1</v>
      </c>
      <c r="O51" s="2">
        <v>0</v>
      </c>
      <c r="P51" s="2">
        <v>1</v>
      </c>
      <c r="Q51" s="2">
        <v>1</v>
      </c>
      <c r="R51" s="2">
        <v>1</v>
      </c>
      <c r="S51" s="2">
        <v>1</v>
      </c>
      <c r="T51" s="2">
        <v>1</v>
      </c>
      <c r="U51" s="2">
        <v>2</v>
      </c>
      <c r="V51" s="2">
        <v>1</v>
      </c>
      <c r="W51" s="2">
        <v>2</v>
      </c>
      <c r="X51" s="2">
        <v>1</v>
      </c>
      <c r="Y51" s="2">
        <v>0.5</v>
      </c>
      <c r="Z51" s="2">
        <v>1</v>
      </c>
      <c r="AA51" s="2">
        <v>0.5</v>
      </c>
      <c r="AB51" s="2">
        <v>1</v>
      </c>
      <c r="AC51" s="2">
        <v>2</v>
      </c>
      <c r="AD51" s="2">
        <v>55</v>
      </c>
      <c r="AE51" s="2">
        <v>5120</v>
      </c>
      <c r="AF51" s="2">
        <v>70</v>
      </c>
      <c r="AG51" s="2">
        <v>265</v>
      </c>
      <c r="AH51" s="2">
        <v>255</v>
      </c>
      <c r="AI51" s="2">
        <v>30</v>
      </c>
      <c r="AJ51" s="1">
        <v>1000000</v>
      </c>
      <c r="AK51" s="1">
        <v>0.2</v>
      </c>
      <c r="AL51" s="1">
        <v>10</v>
      </c>
      <c r="AM51" s="2">
        <v>50</v>
      </c>
      <c r="AN51" s="2">
        <f t="shared" si="0"/>
        <v>50</v>
      </c>
      <c r="AO51" s="3">
        <v>50</v>
      </c>
      <c r="AP51" s="3">
        <v>35</v>
      </c>
      <c r="AQ51" s="3">
        <v>45</v>
      </c>
      <c r="AR51" s="3">
        <v>90</v>
      </c>
      <c r="AS51" s="1">
        <v>0.8</v>
      </c>
      <c r="AT51" s="3">
        <v>1</v>
      </c>
      <c r="AU51" s="3" t="s">
        <v>3051</v>
      </c>
    </row>
    <row r="52" spans="1:47" x14ac:dyDescent="0.3">
      <c r="A52" s="1" t="s">
        <v>182</v>
      </c>
      <c r="B52" s="1" t="s">
        <v>181</v>
      </c>
      <c r="C52" s="1" t="s">
        <v>120</v>
      </c>
      <c r="D52" s="1" t="s">
        <v>120</v>
      </c>
      <c r="E52" s="1" t="s">
        <v>178</v>
      </c>
      <c r="F52" t="s">
        <v>3122</v>
      </c>
      <c r="G52" t="s">
        <v>3236</v>
      </c>
      <c r="H52" t="s">
        <v>3192</v>
      </c>
      <c r="I52" t="s">
        <v>3122</v>
      </c>
      <c r="J52" t="s">
        <v>3237</v>
      </c>
      <c r="K52" t="s">
        <v>3192</v>
      </c>
      <c r="L52" s="2">
        <v>1</v>
      </c>
      <c r="M52" s="2">
        <v>1</v>
      </c>
      <c r="N52" s="2">
        <v>1</v>
      </c>
      <c r="O52" s="2">
        <v>0</v>
      </c>
      <c r="P52" s="2">
        <v>1</v>
      </c>
      <c r="Q52" s="2">
        <v>1</v>
      </c>
      <c r="R52" s="2">
        <v>1</v>
      </c>
      <c r="S52" s="2">
        <v>1</v>
      </c>
      <c r="T52" s="2">
        <v>1</v>
      </c>
      <c r="U52" s="2">
        <v>2</v>
      </c>
      <c r="V52" s="2">
        <v>1</v>
      </c>
      <c r="W52" s="2">
        <v>2</v>
      </c>
      <c r="X52" s="2">
        <v>1</v>
      </c>
      <c r="Y52" s="2">
        <v>0.5</v>
      </c>
      <c r="Z52" s="2">
        <v>1</v>
      </c>
      <c r="AA52" s="2">
        <v>0.5</v>
      </c>
      <c r="AB52" s="2">
        <v>1</v>
      </c>
      <c r="AC52" s="2">
        <v>2</v>
      </c>
      <c r="AD52" s="2">
        <v>100</v>
      </c>
      <c r="AE52" s="2">
        <v>5120</v>
      </c>
      <c r="AF52" s="2">
        <v>70</v>
      </c>
      <c r="AG52" s="2">
        <v>425</v>
      </c>
      <c r="AH52" s="2">
        <v>50</v>
      </c>
      <c r="AI52" s="2">
        <v>60</v>
      </c>
      <c r="AJ52" s="1">
        <v>1000000</v>
      </c>
      <c r="AK52" s="1">
        <v>0.7</v>
      </c>
      <c r="AL52" s="1">
        <v>35</v>
      </c>
      <c r="AM52" s="2">
        <v>50</v>
      </c>
      <c r="AN52" s="2">
        <f t="shared" si="0"/>
        <v>50</v>
      </c>
      <c r="AO52" s="3">
        <v>51</v>
      </c>
      <c r="AP52" s="3">
        <v>50</v>
      </c>
      <c r="AQ52" s="3">
        <v>70</v>
      </c>
      <c r="AR52" s="3">
        <v>110</v>
      </c>
      <c r="AS52" s="1">
        <v>33.299999999999997</v>
      </c>
      <c r="AT52" s="3">
        <v>1</v>
      </c>
      <c r="AU52" s="3" t="s">
        <v>3051</v>
      </c>
    </row>
    <row r="53" spans="1:47" x14ac:dyDescent="0.3">
      <c r="A53" s="1" t="s">
        <v>185</v>
      </c>
      <c r="B53" s="1" t="s">
        <v>184</v>
      </c>
      <c r="C53" s="1" t="s">
        <v>90</v>
      </c>
      <c r="D53" s="1" t="s">
        <v>99</v>
      </c>
      <c r="E53" s="1" t="s">
        <v>183</v>
      </c>
      <c r="F53" t="s">
        <v>3128</v>
      </c>
      <c r="G53" t="s">
        <v>3169</v>
      </c>
      <c r="H53" t="s">
        <v>3228</v>
      </c>
      <c r="I53" t="s">
        <v>3128</v>
      </c>
      <c r="J53" t="s">
        <v>3169</v>
      </c>
      <c r="K53" t="s">
        <v>3238</v>
      </c>
      <c r="L53" s="2">
        <v>1</v>
      </c>
      <c r="M53" s="2">
        <v>1</v>
      </c>
      <c r="N53" s="2">
        <v>1</v>
      </c>
      <c r="O53" s="2">
        <v>1</v>
      </c>
      <c r="P53" s="2">
        <v>1</v>
      </c>
      <c r="Q53" s="2">
        <v>2</v>
      </c>
      <c r="R53" s="2">
        <v>1</v>
      </c>
      <c r="S53" s="2">
        <v>1</v>
      </c>
      <c r="T53" s="2">
        <v>0</v>
      </c>
      <c r="U53" s="2">
        <v>1</v>
      </c>
      <c r="V53" s="2">
        <v>1</v>
      </c>
      <c r="W53" s="2">
        <v>1</v>
      </c>
      <c r="X53" s="2">
        <v>1</v>
      </c>
      <c r="Y53" s="2">
        <v>1</v>
      </c>
      <c r="Z53" s="2">
        <v>1</v>
      </c>
      <c r="AA53" s="2">
        <v>1</v>
      </c>
      <c r="AB53" s="2">
        <v>1</v>
      </c>
      <c r="AC53" s="2">
        <v>1</v>
      </c>
      <c r="AD53" s="2">
        <v>35</v>
      </c>
      <c r="AE53" s="2">
        <v>5120</v>
      </c>
      <c r="AF53" s="2">
        <v>70</v>
      </c>
      <c r="AG53" s="2">
        <v>290</v>
      </c>
      <c r="AH53" s="2">
        <v>255</v>
      </c>
      <c r="AI53" s="2">
        <v>35</v>
      </c>
      <c r="AJ53" s="1">
        <v>1000000</v>
      </c>
      <c r="AK53" s="1">
        <v>0.4</v>
      </c>
      <c r="AL53" s="1">
        <v>40</v>
      </c>
      <c r="AM53" s="2">
        <v>50</v>
      </c>
      <c r="AN53" s="2">
        <f t="shared" si="0"/>
        <v>50</v>
      </c>
      <c r="AO53" s="3">
        <v>52</v>
      </c>
      <c r="AP53" s="3">
        <v>50</v>
      </c>
      <c r="AQ53" s="3">
        <v>40</v>
      </c>
      <c r="AR53" s="3">
        <v>90</v>
      </c>
      <c r="AS53" s="1">
        <v>4.2</v>
      </c>
      <c r="AT53" s="3">
        <v>1</v>
      </c>
      <c r="AU53" s="3" t="s">
        <v>3051</v>
      </c>
    </row>
    <row r="54" spans="1:47" x14ac:dyDescent="0.3">
      <c r="A54" s="1" t="s">
        <v>188</v>
      </c>
      <c r="B54" s="1" t="s">
        <v>187</v>
      </c>
      <c r="C54" s="1" t="s">
        <v>90</v>
      </c>
      <c r="D54" s="1" t="s">
        <v>99</v>
      </c>
      <c r="E54" s="1" t="s">
        <v>186</v>
      </c>
      <c r="F54" t="s">
        <v>3129</v>
      </c>
      <c r="G54" t="s">
        <v>3169</v>
      </c>
      <c r="H54" t="s">
        <v>3228</v>
      </c>
      <c r="I54" t="s">
        <v>3084</v>
      </c>
      <c r="J54" t="s">
        <v>3169</v>
      </c>
      <c r="K54" t="s">
        <v>3238</v>
      </c>
      <c r="L54" s="2">
        <v>1</v>
      </c>
      <c r="M54" s="2">
        <v>1</v>
      </c>
      <c r="N54" s="2">
        <v>1</v>
      </c>
      <c r="O54" s="2">
        <v>1</v>
      </c>
      <c r="P54" s="2">
        <v>1</v>
      </c>
      <c r="Q54" s="2">
        <v>2</v>
      </c>
      <c r="R54" s="2">
        <v>1</v>
      </c>
      <c r="S54" s="2">
        <v>1</v>
      </c>
      <c r="T54" s="2">
        <v>0</v>
      </c>
      <c r="U54" s="2">
        <v>1</v>
      </c>
      <c r="V54" s="2">
        <v>1</v>
      </c>
      <c r="W54" s="2">
        <v>1</v>
      </c>
      <c r="X54" s="2">
        <v>1</v>
      </c>
      <c r="Y54" s="2">
        <v>1</v>
      </c>
      <c r="Z54" s="2">
        <v>1</v>
      </c>
      <c r="AA54" s="2">
        <v>1</v>
      </c>
      <c r="AB54" s="2">
        <v>1</v>
      </c>
      <c r="AC54" s="2">
        <v>1</v>
      </c>
      <c r="AD54" s="2">
        <v>60</v>
      </c>
      <c r="AE54" s="2">
        <v>5120</v>
      </c>
      <c r="AF54" s="2">
        <v>70</v>
      </c>
      <c r="AG54" s="2">
        <v>440</v>
      </c>
      <c r="AH54" s="2">
        <v>90</v>
      </c>
      <c r="AI54" s="2">
        <v>60</v>
      </c>
      <c r="AJ54" s="1">
        <v>1000000</v>
      </c>
      <c r="AK54" s="1">
        <v>1</v>
      </c>
      <c r="AL54" s="1">
        <v>65</v>
      </c>
      <c r="AM54" s="2">
        <v>50</v>
      </c>
      <c r="AN54" s="2">
        <f t="shared" si="0"/>
        <v>50</v>
      </c>
      <c r="AO54" s="3">
        <v>53</v>
      </c>
      <c r="AP54" s="3">
        <v>75</v>
      </c>
      <c r="AQ54" s="3">
        <v>65</v>
      </c>
      <c r="AR54" s="3">
        <v>115</v>
      </c>
      <c r="AS54" s="1">
        <v>32</v>
      </c>
      <c r="AT54" s="3">
        <v>1</v>
      </c>
      <c r="AU54" s="3" t="s">
        <v>3051</v>
      </c>
    </row>
    <row r="55" spans="1:47" x14ac:dyDescent="0.3">
      <c r="A55" s="1" t="s">
        <v>191</v>
      </c>
      <c r="B55" s="1" t="s">
        <v>190</v>
      </c>
      <c r="C55" s="1" t="s">
        <v>62</v>
      </c>
      <c r="D55" s="1" t="s">
        <v>52</v>
      </c>
      <c r="E55" s="1" t="s">
        <v>189</v>
      </c>
      <c r="F55" t="s">
        <v>3130</v>
      </c>
      <c r="G55" t="s">
        <v>3239</v>
      </c>
      <c r="H55" t="s">
        <v>3143</v>
      </c>
      <c r="I55" t="s">
        <v>52</v>
      </c>
      <c r="J55" t="s">
        <v>52</v>
      </c>
      <c r="K55" t="s">
        <v>52</v>
      </c>
      <c r="L55" s="2">
        <v>1</v>
      </c>
      <c r="M55" s="2">
        <v>1</v>
      </c>
      <c r="N55" s="2">
        <v>1</v>
      </c>
      <c r="O55" s="2">
        <v>2</v>
      </c>
      <c r="P55" s="2">
        <v>1</v>
      </c>
      <c r="Q55" s="2">
        <v>1</v>
      </c>
      <c r="R55" s="2">
        <v>0.5</v>
      </c>
      <c r="S55" s="2">
        <v>1</v>
      </c>
      <c r="T55" s="2">
        <v>1</v>
      </c>
      <c r="U55" s="2">
        <v>2</v>
      </c>
      <c r="V55" s="2">
        <v>1</v>
      </c>
      <c r="W55" s="2">
        <v>0.5</v>
      </c>
      <c r="X55" s="2">
        <v>1</v>
      </c>
      <c r="Y55" s="2">
        <v>1</v>
      </c>
      <c r="Z55" s="2">
        <v>1</v>
      </c>
      <c r="AA55" s="2">
        <v>1</v>
      </c>
      <c r="AB55" s="2">
        <v>0.5</v>
      </c>
      <c r="AC55" s="2">
        <v>0.5</v>
      </c>
      <c r="AD55" s="2">
        <v>52</v>
      </c>
      <c r="AE55" s="2">
        <v>5120</v>
      </c>
      <c r="AF55" s="2">
        <v>70</v>
      </c>
      <c r="AG55" s="2">
        <v>320</v>
      </c>
      <c r="AH55" s="2">
        <v>190</v>
      </c>
      <c r="AI55" s="2">
        <v>48</v>
      </c>
      <c r="AJ55" s="1">
        <v>1000000</v>
      </c>
      <c r="AK55" s="1">
        <v>0.8</v>
      </c>
      <c r="AL55" s="1">
        <v>50</v>
      </c>
      <c r="AM55" s="2">
        <v>50</v>
      </c>
      <c r="AN55" s="2">
        <f t="shared" si="0"/>
        <v>50</v>
      </c>
      <c r="AO55" s="3">
        <v>54</v>
      </c>
      <c r="AP55" s="3">
        <v>65</v>
      </c>
      <c r="AQ55" s="3">
        <v>50</v>
      </c>
      <c r="AR55" s="3">
        <v>55</v>
      </c>
      <c r="AS55" s="1">
        <v>19.600000000000001</v>
      </c>
      <c r="AT55" s="3">
        <v>1</v>
      </c>
      <c r="AU55" s="3" t="s">
        <v>3051</v>
      </c>
    </row>
    <row r="56" spans="1:47" x14ac:dyDescent="0.3">
      <c r="A56" s="1" t="s">
        <v>193</v>
      </c>
      <c r="B56" s="1" t="s">
        <v>192</v>
      </c>
      <c r="C56" s="1" t="s">
        <v>62</v>
      </c>
      <c r="D56" s="1" t="s">
        <v>52</v>
      </c>
      <c r="E56" s="1" t="s">
        <v>189</v>
      </c>
      <c r="F56" t="s">
        <v>3130</v>
      </c>
      <c r="G56" t="s">
        <v>3239</v>
      </c>
      <c r="H56" t="s">
        <v>3143</v>
      </c>
      <c r="I56" t="s">
        <v>52</v>
      </c>
      <c r="J56" t="s">
        <v>52</v>
      </c>
      <c r="K56" t="s">
        <v>52</v>
      </c>
      <c r="L56" s="2">
        <v>1</v>
      </c>
      <c r="M56" s="2">
        <v>1</v>
      </c>
      <c r="N56" s="2">
        <v>1</v>
      </c>
      <c r="O56" s="2">
        <v>2</v>
      </c>
      <c r="P56" s="2">
        <v>1</v>
      </c>
      <c r="Q56" s="2">
        <v>1</v>
      </c>
      <c r="R56" s="2">
        <v>0.5</v>
      </c>
      <c r="S56" s="2">
        <v>1</v>
      </c>
      <c r="T56" s="2">
        <v>1</v>
      </c>
      <c r="U56" s="2">
        <v>2</v>
      </c>
      <c r="V56" s="2">
        <v>1</v>
      </c>
      <c r="W56" s="2">
        <v>0.5</v>
      </c>
      <c r="X56" s="2">
        <v>1</v>
      </c>
      <c r="Y56" s="2">
        <v>1</v>
      </c>
      <c r="Z56" s="2">
        <v>1</v>
      </c>
      <c r="AA56" s="2">
        <v>1</v>
      </c>
      <c r="AB56" s="2">
        <v>0.5</v>
      </c>
      <c r="AC56" s="2">
        <v>0.5</v>
      </c>
      <c r="AD56" s="2">
        <v>82</v>
      </c>
      <c r="AE56" s="2">
        <v>5120</v>
      </c>
      <c r="AF56" s="2">
        <v>70</v>
      </c>
      <c r="AG56" s="2">
        <v>500</v>
      </c>
      <c r="AH56" s="2">
        <v>75</v>
      </c>
      <c r="AI56" s="2">
        <v>78</v>
      </c>
      <c r="AJ56" s="1">
        <v>1000000</v>
      </c>
      <c r="AK56" s="1">
        <v>1.7</v>
      </c>
      <c r="AL56" s="1">
        <v>80</v>
      </c>
      <c r="AM56" s="2">
        <v>50</v>
      </c>
      <c r="AN56" s="2">
        <f t="shared" si="0"/>
        <v>50</v>
      </c>
      <c r="AO56" s="3">
        <v>55</v>
      </c>
      <c r="AP56" s="3">
        <v>95</v>
      </c>
      <c r="AQ56" s="3">
        <v>80</v>
      </c>
      <c r="AR56" s="3">
        <v>85</v>
      </c>
      <c r="AS56" s="1">
        <v>76.599999999999994</v>
      </c>
      <c r="AT56" s="3">
        <v>1</v>
      </c>
      <c r="AU56" s="3" t="s">
        <v>3051</v>
      </c>
    </row>
    <row r="57" spans="1:47" x14ac:dyDescent="0.3">
      <c r="A57" s="1" t="s">
        <v>196</v>
      </c>
      <c r="B57" s="1" t="s">
        <v>195</v>
      </c>
      <c r="C57" s="1" t="s">
        <v>197</v>
      </c>
      <c r="D57" s="1" t="s">
        <v>52</v>
      </c>
      <c r="E57" s="1" t="s">
        <v>194</v>
      </c>
      <c r="F57" t="s">
        <v>3060</v>
      </c>
      <c r="G57" t="s">
        <v>3240</v>
      </c>
      <c r="H57" t="s">
        <v>3191</v>
      </c>
      <c r="I57" t="s">
        <v>52</v>
      </c>
      <c r="J57" t="s">
        <v>52</v>
      </c>
      <c r="K57" t="s">
        <v>52</v>
      </c>
      <c r="L57" s="2">
        <v>0.5</v>
      </c>
      <c r="M57" s="2">
        <v>0.5</v>
      </c>
      <c r="N57" s="2">
        <v>1</v>
      </c>
      <c r="O57" s="2">
        <v>1</v>
      </c>
      <c r="P57" s="2">
        <v>2</v>
      </c>
      <c r="Q57" s="2">
        <v>1</v>
      </c>
      <c r="R57" s="2">
        <v>1</v>
      </c>
      <c r="S57" s="2">
        <v>2</v>
      </c>
      <c r="T57" s="2">
        <v>1</v>
      </c>
      <c r="U57" s="2">
        <v>1</v>
      </c>
      <c r="V57" s="2">
        <v>1</v>
      </c>
      <c r="W57" s="2">
        <v>1</v>
      </c>
      <c r="X57" s="2">
        <v>1</v>
      </c>
      <c r="Y57" s="2">
        <v>1</v>
      </c>
      <c r="Z57" s="2">
        <v>2</v>
      </c>
      <c r="AA57" s="2">
        <v>0.5</v>
      </c>
      <c r="AB57" s="2">
        <v>1</v>
      </c>
      <c r="AC57" s="2">
        <v>1</v>
      </c>
      <c r="AD57" s="2">
        <v>80</v>
      </c>
      <c r="AE57" s="2">
        <v>5120</v>
      </c>
      <c r="AF57" s="2">
        <v>70</v>
      </c>
      <c r="AG57" s="2">
        <v>305</v>
      </c>
      <c r="AH57" s="2">
        <v>190</v>
      </c>
      <c r="AI57" s="2">
        <v>35</v>
      </c>
      <c r="AJ57" s="1">
        <v>1000000</v>
      </c>
      <c r="AK57" s="1">
        <v>0.5</v>
      </c>
      <c r="AL57" s="1">
        <v>40</v>
      </c>
      <c r="AM57" s="2">
        <v>50</v>
      </c>
      <c r="AN57" s="2">
        <f t="shared" si="0"/>
        <v>50</v>
      </c>
      <c r="AO57" s="3">
        <v>56</v>
      </c>
      <c r="AP57" s="3">
        <v>35</v>
      </c>
      <c r="AQ57" s="3">
        <v>45</v>
      </c>
      <c r="AR57" s="3">
        <v>70</v>
      </c>
      <c r="AS57" s="1">
        <v>28</v>
      </c>
      <c r="AT57" s="3">
        <v>1</v>
      </c>
      <c r="AU57" s="3" t="s">
        <v>3051</v>
      </c>
    </row>
    <row r="58" spans="1:47" x14ac:dyDescent="0.3">
      <c r="A58" s="1" t="s">
        <v>199</v>
      </c>
      <c r="B58" s="1" t="s">
        <v>198</v>
      </c>
      <c r="C58" s="1" t="s">
        <v>197</v>
      </c>
      <c r="D58" s="1" t="s">
        <v>52</v>
      </c>
      <c r="E58" s="1" t="s">
        <v>194</v>
      </c>
      <c r="F58" t="s">
        <v>3060</v>
      </c>
      <c r="G58" t="s">
        <v>3240</v>
      </c>
      <c r="H58" t="s">
        <v>3191</v>
      </c>
      <c r="I58" t="s">
        <v>52</v>
      </c>
      <c r="J58" t="s">
        <v>52</v>
      </c>
      <c r="K58" t="s">
        <v>52</v>
      </c>
      <c r="L58" s="2">
        <v>0.5</v>
      </c>
      <c r="M58" s="2">
        <v>0.5</v>
      </c>
      <c r="N58" s="2">
        <v>1</v>
      </c>
      <c r="O58" s="2">
        <v>1</v>
      </c>
      <c r="P58" s="2">
        <v>2</v>
      </c>
      <c r="Q58" s="2">
        <v>1</v>
      </c>
      <c r="R58" s="2">
        <v>1</v>
      </c>
      <c r="S58" s="2">
        <v>2</v>
      </c>
      <c r="T58" s="2">
        <v>1</v>
      </c>
      <c r="U58" s="2">
        <v>1</v>
      </c>
      <c r="V58" s="2">
        <v>1</v>
      </c>
      <c r="W58" s="2">
        <v>1</v>
      </c>
      <c r="X58" s="2">
        <v>1</v>
      </c>
      <c r="Y58" s="2">
        <v>1</v>
      </c>
      <c r="Z58" s="2">
        <v>2</v>
      </c>
      <c r="AA58" s="2">
        <v>0.5</v>
      </c>
      <c r="AB58" s="2">
        <v>1</v>
      </c>
      <c r="AC58" s="2">
        <v>1</v>
      </c>
      <c r="AD58" s="2">
        <v>105</v>
      </c>
      <c r="AE58" s="2">
        <v>5120</v>
      </c>
      <c r="AF58" s="2">
        <v>70</v>
      </c>
      <c r="AG58" s="2">
        <v>455</v>
      </c>
      <c r="AH58" s="2">
        <v>75</v>
      </c>
      <c r="AI58" s="2">
        <v>60</v>
      </c>
      <c r="AJ58" s="1">
        <v>1000000</v>
      </c>
      <c r="AK58" s="1">
        <v>1</v>
      </c>
      <c r="AL58" s="1">
        <v>65</v>
      </c>
      <c r="AM58" s="2">
        <v>50</v>
      </c>
      <c r="AN58" s="2">
        <f t="shared" si="0"/>
        <v>50</v>
      </c>
      <c r="AO58" s="3">
        <v>57</v>
      </c>
      <c r="AP58" s="3">
        <v>60</v>
      </c>
      <c r="AQ58" s="3">
        <v>70</v>
      </c>
      <c r="AR58" s="3">
        <v>95</v>
      </c>
      <c r="AS58" s="1">
        <v>32</v>
      </c>
      <c r="AT58" s="3">
        <v>1</v>
      </c>
      <c r="AU58" s="3" t="s">
        <v>3051</v>
      </c>
    </row>
    <row r="59" spans="1:47" x14ac:dyDescent="0.3">
      <c r="A59" s="1" t="s">
        <v>202</v>
      </c>
      <c r="B59" s="1" t="s">
        <v>201</v>
      </c>
      <c r="C59" s="1" t="s">
        <v>51</v>
      </c>
      <c r="D59" s="1" t="s">
        <v>52</v>
      </c>
      <c r="E59" s="1" t="s">
        <v>200</v>
      </c>
      <c r="F59" t="s">
        <v>3120</v>
      </c>
      <c r="G59" t="s">
        <v>3125</v>
      </c>
      <c r="H59" t="s">
        <v>3080</v>
      </c>
      <c r="I59" t="s">
        <v>52</v>
      </c>
      <c r="J59" t="s">
        <v>52</v>
      </c>
      <c r="K59" t="s">
        <v>52</v>
      </c>
      <c r="L59" s="2">
        <v>0.5</v>
      </c>
      <c r="M59" s="2">
        <v>1</v>
      </c>
      <c r="N59" s="2">
        <v>1</v>
      </c>
      <c r="O59" s="2">
        <v>1</v>
      </c>
      <c r="P59" s="2">
        <v>0.5</v>
      </c>
      <c r="Q59" s="2">
        <v>1</v>
      </c>
      <c r="R59" s="2">
        <v>0.5</v>
      </c>
      <c r="S59" s="2">
        <v>1</v>
      </c>
      <c r="T59" s="2">
        <v>1</v>
      </c>
      <c r="U59" s="2">
        <v>0.5</v>
      </c>
      <c r="V59" s="2">
        <v>2</v>
      </c>
      <c r="W59" s="2">
        <v>0.5</v>
      </c>
      <c r="X59" s="2">
        <v>1</v>
      </c>
      <c r="Y59" s="2">
        <v>1</v>
      </c>
      <c r="Z59" s="2">
        <v>1</v>
      </c>
      <c r="AA59" s="2">
        <v>2</v>
      </c>
      <c r="AB59" s="2">
        <v>0.5</v>
      </c>
      <c r="AC59" s="2">
        <v>2</v>
      </c>
      <c r="AD59" s="2">
        <v>70</v>
      </c>
      <c r="AE59" s="2">
        <v>5120</v>
      </c>
      <c r="AF59" s="2">
        <v>70</v>
      </c>
      <c r="AG59" s="2">
        <v>350</v>
      </c>
      <c r="AH59" s="2">
        <v>190</v>
      </c>
      <c r="AI59" s="2">
        <v>45</v>
      </c>
      <c r="AJ59" s="1">
        <v>1250000</v>
      </c>
      <c r="AK59" s="1">
        <v>0.7</v>
      </c>
      <c r="AL59" s="1">
        <v>55</v>
      </c>
      <c r="AM59" s="2">
        <v>75.400000000000006</v>
      </c>
      <c r="AN59" s="2">
        <f t="shared" si="0"/>
        <v>24.599999999999994</v>
      </c>
      <c r="AO59" s="3">
        <v>58</v>
      </c>
      <c r="AP59" s="3">
        <v>70</v>
      </c>
      <c r="AQ59" s="3">
        <v>50</v>
      </c>
      <c r="AR59" s="3">
        <v>60</v>
      </c>
      <c r="AS59" s="1">
        <v>19</v>
      </c>
      <c r="AT59" s="3">
        <v>1</v>
      </c>
      <c r="AU59" s="3" t="s">
        <v>3051</v>
      </c>
    </row>
    <row r="60" spans="1:47" x14ac:dyDescent="0.3">
      <c r="A60" s="1" t="s">
        <v>205</v>
      </c>
      <c r="B60" s="1" t="s">
        <v>204</v>
      </c>
      <c r="C60" s="1" t="s">
        <v>51</v>
      </c>
      <c r="D60" s="1" t="s">
        <v>52</v>
      </c>
      <c r="E60" s="1" t="s">
        <v>203</v>
      </c>
      <c r="F60" t="s">
        <v>3120</v>
      </c>
      <c r="G60" t="s">
        <v>3125</v>
      </c>
      <c r="H60" t="s">
        <v>3080</v>
      </c>
      <c r="I60" t="s">
        <v>52</v>
      </c>
      <c r="J60" t="s">
        <v>52</v>
      </c>
      <c r="K60" t="s">
        <v>52</v>
      </c>
      <c r="L60" s="2">
        <v>0.5</v>
      </c>
      <c r="M60" s="2">
        <v>1</v>
      </c>
      <c r="N60" s="2">
        <v>1</v>
      </c>
      <c r="O60" s="2">
        <v>1</v>
      </c>
      <c r="P60" s="2">
        <v>0.5</v>
      </c>
      <c r="Q60" s="2">
        <v>1</v>
      </c>
      <c r="R60" s="2">
        <v>0.5</v>
      </c>
      <c r="S60" s="2">
        <v>1</v>
      </c>
      <c r="T60" s="2">
        <v>1</v>
      </c>
      <c r="U60" s="2">
        <v>0.5</v>
      </c>
      <c r="V60" s="2">
        <v>2</v>
      </c>
      <c r="W60" s="2">
        <v>0.5</v>
      </c>
      <c r="X60" s="2">
        <v>1</v>
      </c>
      <c r="Y60" s="2">
        <v>1</v>
      </c>
      <c r="Z60" s="2">
        <v>1</v>
      </c>
      <c r="AA60" s="2">
        <v>2</v>
      </c>
      <c r="AB60" s="2">
        <v>0.5</v>
      </c>
      <c r="AC60" s="2">
        <v>2</v>
      </c>
      <c r="AD60" s="2">
        <v>110</v>
      </c>
      <c r="AE60" s="2">
        <v>5120</v>
      </c>
      <c r="AF60" s="2">
        <v>70</v>
      </c>
      <c r="AG60" s="2">
        <v>555</v>
      </c>
      <c r="AH60" s="2">
        <v>75</v>
      </c>
      <c r="AI60" s="2">
        <v>80</v>
      </c>
      <c r="AJ60" s="1">
        <v>1250000</v>
      </c>
      <c r="AK60" s="1">
        <v>1.9</v>
      </c>
      <c r="AL60" s="1">
        <v>90</v>
      </c>
      <c r="AM60" s="2">
        <v>75.400000000000006</v>
      </c>
      <c r="AN60" s="2">
        <f t="shared" si="0"/>
        <v>24.599999999999994</v>
      </c>
      <c r="AO60" s="3">
        <v>59</v>
      </c>
      <c r="AP60" s="3">
        <v>100</v>
      </c>
      <c r="AQ60" s="3">
        <v>80</v>
      </c>
      <c r="AR60" s="3">
        <v>95</v>
      </c>
      <c r="AS60" s="1">
        <v>155</v>
      </c>
      <c r="AT60" s="3">
        <v>1</v>
      </c>
      <c r="AU60" s="3" t="s">
        <v>3051</v>
      </c>
    </row>
    <row r="61" spans="1:47" x14ac:dyDescent="0.3">
      <c r="A61" s="1" t="s">
        <v>208</v>
      </c>
      <c r="B61" s="1" t="s">
        <v>207</v>
      </c>
      <c r="C61" s="1" t="s">
        <v>62</v>
      </c>
      <c r="D61" s="1" t="s">
        <v>52</v>
      </c>
      <c r="E61" s="1" t="s">
        <v>206</v>
      </c>
      <c r="F61" t="s">
        <v>3092</v>
      </c>
      <c r="G61" t="s">
        <v>3130</v>
      </c>
      <c r="H61" t="s">
        <v>3143</v>
      </c>
      <c r="I61" t="s">
        <v>52</v>
      </c>
      <c r="J61" t="s">
        <v>52</v>
      </c>
      <c r="K61" t="s">
        <v>52</v>
      </c>
      <c r="L61" s="2">
        <v>1</v>
      </c>
      <c r="M61" s="2">
        <v>1</v>
      </c>
      <c r="N61" s="2">
        <v>1</v>
      </c>
      <c r="O61" s="2">
        <v>2</v>
      </c>
      <c r="P61" s="2">
        <v>1</v>
      </c>
      <c r="Q61" s="2">
        <v>1</v>
      </c>
      <c r="R61" s="2">
        <v>0.5</v>
      </c>
      <c r="S61" s="2">
        <v>1</v>
      </c>
      <c r="T61" s="2">
        <v>1</v>
      </c>
      <c r="U61" s="2">
        <v>2</v>
      </c>
      <c r="V61" s="2">
        <v>1</v>
      </c>
      <c r="W61" s="2">
        <v>0.5</v>
      </c>
      <c r="X61" s="2">
        <v>1</v>
      </c>
      <c r="Y61" s="2">
        <v>1</v>
      </c>
      <c r="Z61" s="2">
        <v>1</v>
      </c>
      <c r="AA61" s="2">
        <v>1</v>
      </c>
      <c r="AB61" s="2">
        <v>0.5</v>
      </c>
      <c r="AC61" s="2">
        <v>0.5</v>
      </c>
      <c r="AD61" s="2">
        <v>50</v>
      </c>
      <c r="AE61" s="2">
        <v>5120</v>
      </c>
      <c r="AF61" s="2">
        <v>70</v>
      </c>
      <c r="AG61" s="2">
        <v>300</v>
      </c>
      <c r="AH61" s="2">
        <v>255</v>
      </c>
      <c r="AI61" s="2">
        <v>40</v>
      </c>
      <c r="AJ61" s="1">
        <v>1059860</v>
      </c>
      <c r="AK61" s="1">
        <v>0.6</v>
      </c>
      <c r="AL61" s="1">
        <v>40</v>
      </c>
      <c r="AM61" s="2">
        <v>50</v>
      </c>
      <c r="AN61" s="2">
        <f t="shared" si="0"/>
        <v>50</v>
      </c>
      <c r="AO61" s="3">
        <v>60</v>
      </c>
      <c r="AP61" s="3">
        <v>40</v>
      </c>
      <c r="AQ61" s="3">
        <v>40</v>
      </c>
      <c r="AR61" s="3">
        <v>90</v>
      </c>
      <c r="AS61" s="1">
        <v>12.4</v>
      </c>
      <c r="AT61" s="3">
        <v>1</v>
      </c>
      <c r="AU61" s="3" t="s">
        <v>3051</v>
      </c>
    </row>
    <row r="62" spans="1:47" x14ac:dyDescent="0.3">
      <c r="A62" s="1" t="s">
        <v>210</v>
      </c>
      <c r="B62" s="1" t="s">
        <v>209</v>
      </c>
      <c r="C62" s="1" t="s">
        <v>62</v>
      </c>
      <c r="D62" s="1" t="s">
        <v>52</v>
      </c>
      <c r="E62" s="1" t="s">
        <v>206</v>
      </c>
      <c r="F62" t="s">
        <v>3092</v>
      </c>
      <c r="G62" t="s">
        <v>3130</v>
      </c>
      <c r="H62" t="s">
        <v>3143</v>
      </c>
      <c r="I62" t="s">
        <v>52</v>
      </c>
      <c r="J62" t="s">
        <v>52</v>
      </c>
      <c r="K62" t="s">
        <v>52</v>
      </c>
      <c r="L62" s="2">
        <v>1</v>
      </c>
      <c r="M62" s="2">
        <v>1</v>
      </c>
      <c r="N62" s="2">
        <v>1</v>
      </c>
      <c r="O62" s="2">
        <v>2</v>
      </c>
      <c r="P62" s="2">
        <v>1</v>
      </c>
      <c r="Q62" s="2">
        <v>1</v>
      </c>
      <c r="R62" s="2">
        <v>0.5</v>
      </c>
      <c r="S62" s="2">
        <v>1</v>
      </c>
      <c r="T62" s="2">
        <v>1</v>
      </c>
      <c r="U62" s="2">
        <v>2</v>
      </c>
      <c r="V62" s="2">
        <v>1</v>
      </c>
      <c r="W62" s="2">
        <v>0.5</v>
      </c>
      <c r="X62" s="2">
        <v>1</v>
      </c>
      <c r="Y62" s="2">
        <v>1</v>
      </c>
      <c r="Z62" s="2">
        <v>1</v>
      </c>
      <c r="AA62" s="2">
        <v>1</v>
      </c>
      <c r="AB62" s="2">
        <v>0.5</v>
      </c>
      <c r="AC62" s="2">
        <v>0.5</v>
      </c>
      <c r="AD62" s="2">
        <v>65</v>
      </c>
      <c r="AE62" s="2">
        <v>5120</v>
      </c>
      <c r="AF62" s="2">
        <v>70</v>
      </c>
      <c r="AG62" s="2">
        <v>385</v>
      </c>
      <c r="AH62" s="2">
        <v>120</v>
      </c>
      <c r="AI62" s="2">
        <v>65</v>
      </c>
      <c r="AJ62" s="1">
        <v>1059860</v>
      </c>
      <c r="AK62" s="1">
        <v>1</v>
      </c>
      <c r="AL62" s="1">
        <v>65</v>
      </c>
      <c r="AM62" s="2">
        <v>50</v>
      </c>
      <c r="AN62" s="2">
        <f t="shared" si="0"/>
        <v>50</v>
      </c>
      <c r="AO62" s="3">
        <v>61</v>
      </c>
      <c r="AP62" s="3">
        <v>50</v>
      </c>
      <c r="AQ62" s="3">
        <v>50</v>
      </c>
      <c r="AR62" s="3">
        <v>90</v>
      </c>
      <c r="AS62" s="1">
        <v>20</v>
      </c>
      <c r="AT62" s="3">
        <v>1</v>
      </c>
      <c r="AU62" s="3" t="s">
        <v>3051</v>
      </c>
    </row>
    <row r="63" spans="1:47" x14ac:dyDescent="0.3">
      <c r="A63" s="1" t="s">
        <v>212</v>
      </c>
      <c r="B63" s="1" t="s">
        <v>211</v>
      </c>
      <c r="C63" s="1" t="s">
        <v>62</v>
      </c>
      <c r="D63" s="1" t="s">
        <v>197</v>
      </c>
      <c r="E63" s="1" t="s">
        <v>206</v>
      </c>
      <c r="F63" t="s">
        <v>3092</v>
      </c>
      <c r="G63" t="s">
        <v>3130</v>
      </c>
      <c r="H63" t="s">
        <v>3143</v>
      </c>
      <c r="I63" t="s">
        <v>52</v>
      </c>
      <c r="J63" t="s">
        <v>52</v>
      </c>
      <c r="K63" t="s">
        <v>52</v>
      </c>
      <c r="L63" s="2">
        <v>0.5</v>
      </c>
      <c r="M63" s="2">
        <v>0.5</v>
      </c>
      <c r="N63" s="2">
        <v>1</v>
      </c>
      <c r="O63" s="2">
        <v>2</v>
      </c>
      <c r="P63" s="2">
        <v>2</v>
      </c>
      <c r="Q63" s="2">
        <v>1</v>
      </c>
      <c r="R63" s="2">
        <v>0.5</v>
      </c>
      <c r="S63" s="2">
        <v>2</v>
      </c>
      <c r="T63" s="2">
        <v>1</v>
      </c>
      <c r="U63" s="2">
        <v>2</v>
      </c>
      <c r="V63" s="2">
        <v>1</v>
      </c>
      <c r="W63" s="2">
        <v>0.5</v>
      </c>
      <c r="X63" s="2">
        <v>1</v>
      </c>
      <c r="Y63" s="2">
        <v>1</v>
      </c>
      <c r="Z63" s="2">
        <v>2</v>
      </c>
      <c r="AA63" s="2">
        <v>0.5</v>
      </c>
      <c r="AB63" s="2">
        <v>0.5</v>
      </c>
      <c r="AC63" s="2">
        <v>0.5</v>
      </c>
      <c r="AD63" s="2">
        <v>95</v>
      </c>
      <c r="AE63" s="2">
        <v>5120</v>
      </c>
      <c r="AF63" s="2">
        <v>70</v>
      </c>
      <c r="AG63" s="2">
        <v>510</v>
      </c>
      <c r="AH63" s="2">
        <v>45</v>
      </c>
      <c r="AI63" s="2">
        <v>95</v>
      </c>
      <c r="AJ63" s="1">
        <v>1059860</v>
      </c>
      <c r="AK63" s="1">
        <v>1.3</v>
      </c>
      <c r="AL63" s="1">
        <v>90</v>
      </c>
      <c r="AM63" s="2">
        <v>50</v>
      </c>
      <c r="AN63" s="2">
        <f t="shared" si="0"/>
        <v>50</v>
      </c>
      <c r="AO63" s="3">
        <v>62</v>
      </c>
      <c r="AP63" s="3">
        <v>70</v>
      </c>
      <c r="AQ63" s="3">
        <v>90</v>
      </c>
      <c r="AR63" s="3">
        <v>70</v>
      </c>
      <c r="AS63" s="1">
        <v>54</v>
      </c>
      <c r="AT63" s="3">
        <v>1</v>
      </c>
      <c r="AU63" s="3" t="s">
        <v>3051</v>
      </c>
    </row>
    <row r="64" spans="1:47" x14ac:dyDescent="0.3">
      <c r="A64" s="1" t="s">
        <v>215</v>
      </c>
      <c r="B64" s="1" t="s">
        <v>214</v>
      </c>
      <c r="C64" s="1" t="s">
        <v>216</v>
      </c>
      <c r="D64" s="1" t="s">
        <v>52</v>
      </c>
      <c r="E64" s="1" t="s">
        <v>213</v>
      </c>
      <c r="F64" t="s">
        <v>3057</v>
      </c>
      <c r="G64" t="s">
        <v>3126</v>
      </c>
      <c r="H64" t="s">
        <v>3231</v>
      </c>
      <c r="I64" t="s">
        <v>52</v>
      </c>
      <c r="J64" t="s">
        <v>52</v>
      </c>
      <c r="K64" t="s">
        <v>52</v>
      </c>
      <c r="L64" s="2">
        <v>2</v>
      </c>
      <c r="M64" s="2">
        <v>2</v>
      </c>
      <c r="N64" s="2">
        <v>1</v>
      </c>
      <c r="O64" s="2">
        <v>1</v>
      </c>
      <c r="P64" s="2">
        <v>1</v>
      </c>
      <c r="Q64" s="2">
        <v>0.5</v>
      </c>
      <c r="R64" s="2">
        <v>1</v>
      </c>
      <c r="S64" s="2">
        <v>1</v>
      </c>
      <c r="T64" s="2">
        <v>2</v>
      </c>
      <c r="U64" s="2">
        <v>1</v>
      </c>
      <c r="V64" s="2">
        <v>1</v>
      </c>
      <c r="W64" s="2">
        <v>1</v>
      </c>
      <c r="X64" s="2">
        <v>1</v>
      </c>
      <c r="Y64" s="2">
        <v>1</v>
      </c>
      <c r="Z64" s="2">
        <v>0.5</v>
      </c>
      <c r="AA64" s="2">
        <v>1</v>
      </c>
      <c r="AB64" s="2">
        <v>1</v>
      </c>
      <c r="AC64" s="2">
        <v>1</v>
      </c>
      <c r="AD64" s="2">
        <v>20</v>
      </c>
      <c r="AE64" s="2">
        <v>5120</v>
      </c>
      <c r="AF64" s="2">
        <v>70</v>
      </c>
      <c r="AG64" s="2">
        <v>310</v>
      </c>
      <c r="AH64" s="2">
        <v>200</v>
      </c>
      <c r="AI64" s="2">
        <v>15</v>
      </c>
      <c r="AJ64" s="1">
        <v>1059860</v>
      </c>
      <c r="AK64" s="1">
        <v>0.9</v>
      </c>
      <c r="AL64" s="1">
        <v>25</v>
      </c>
      <c r="AM64" s="2">
        <v>75.400000000000006</v>
      </c>
      <c r="AN64" s="2">
        <f t="shared" si="0"/>
        <v>24.599999999999994</v>
      </c>
      <c r="AO64" s="3">
        <v>63</v>
      </c>
      <c r="AP64" s="3">
        <v>105</v>
      </c>
      <c r="AQ64" s="3">
        <v>55</v>
      </c>
      <c r="AR64" s="3">
        <v>90</v>
      </c>
      <c r="AS64" s="1">
        <v>19.5</v>
      </c>
      <c r="AT64" s="3">
        <v>1</v>
      </c>
      <c r="AU64" s="3" t="s">
        <v>3051</v>
      </c>
    </row>
    <row r="65" spans="1:47" x14ac:dyDescent="0.3">
      <c r="A65" s="1" t="s">
        <v>218</v>
      </c>
      <c r="B65" s="1" t="s">
        <v>217</v>
      </c>
      <c r="C65" s="1" t="s">
        <v>216</v>
      </c>
      <c r="D65" s="1" t="s">
        <v>52</v>
      </c>
      <c r="E65" s="1" t="s">
        <v>213</v>
      </c>
      <c r="F65" t="s">
        <v>3057</v>
      </c>
      <c r="G65" t="s">
        <v>3126</v>
      </c>
      <c r="H65" t="s">
        <v>3231</v>
      </c>
      <c r="I65" t="s">
        <v>52</v>
      </c>
      <c r="J65" t="s">
        <v>52</v>
      </c>
      <c r="K65" t="s">
        <v>52</v>
      </c>
      <c r="L65" s="2">
        <v>2</v>
      </c>
      <c r="M65" s="2">
        <v>2</v>
      </c>
      <c r="N65" s="2">
        <v>1</v>
      </c>
      <c r="O65" s="2">
        <v>1</v>
      </c>
      <c r="P65" s="2">
        <v>1</v>
      </c>
      <c r="Q65" s="2">
        <v>0.5</v>
      </c>
      <c r="R65" s="2">
        <v>1</v>
      </c>
      <c r="S65" s="2">
        <v>1</v>
      </c>
      <c r="T65" s="2">
        <v>2</v>
      </c>
      <c r="U65" s="2">
        <v>1</v>
      </c>
      <c r="V65" s="2">
        <v>1</v>
      </c>
      <c r="W65" s="2">
        <v>1</v>
      </c>
      <c r="X65" s="2">
        <v>1</v>
      </c>
      <c r="Y65" s="2">
        <v>1</v>
      </c>
      <c r="Z65" s="2">
        <v>0.5</v>
      </c>
      <c r="AA65" s="2">
        <v>1</v>
      </c>
      <c r="AB65" s="2">
        <v>1</v>
      </c>
      <c r="AC65" s="2">
        <v>1</v>
      </c>
      <c r="AD65" s="2">
        <v>35</v>
      </c>
      <c r="AE65" s="2">
        <v>5120</v>
      </c>
      <c r="AF65" s="2">
        <v>70</v>
      </c>
      <c r="AG65" s="2">
        <v>400</v>
      </c>
      <c r="AH65" s="2">
        <v>100</v>
      </c>
      <c r="AI65" s="2">
        <v>30</v>
      </c>
      <c r="AJ65" s="1">
        <v>1059860</v>
      </c>
      <c r="AK65" s="1">
        <v>1.3</v>
      </c>
      <c r="AL65" s="1">
        <v>40</v>
      </c>
      <c r="AM65" s="2">
        <v>75.400000000000006</v>
      </c>
      <c r="AN65" s="2">
        <f t="shared" si="0"/>
        <v>24.599999999999994</v>
      </c>
      <c r="AO65" s="3">
        <v>64</v>
      </c>
      <c r="AP65" s="3">
        <v>120</v>
      </c>
      <c r="AQ65" s="3">
        <v>70</v>
      </c>
      <c r="AR65" s="3">
        <v>105</v>
      </c>
      <c r="AS65" s="1">
        <v>56.5</v>
      </c>
      <c r="AT65" s="3">
        <v>1</v>
      </c>
      <c r="AU65" s="3" t="s">
        <v>3051</v>
      </c>
    </row>
    <row r="66" spans="1:47" x14ac:dyDescent="0.3">
      <c r="A66" s="1" t="s">
        <v>220</v>
      </c>
      <c r="B66" s="1" t="s">
        <v>219</v>
      </c>
      <c r="C66" s="1" t="s">
        <v>216</v>
      </c>
      <c r="D66" s="1" t="s">
        <v>52</v>
      </c>
      <c r="E66" s="1" t="s">
        <v>213</v>
      </c>
      <c r="F66" t="s">
        <v>3057</v>
      </c>
      <c r="G66" t="s">
        <v>3126</v>
      </c>
      <c r="H66" t="s">
        <v>3231</v>
      </c>
      <c r="I66" t="s">
        <v>52</v>
      </c>
      <c r="J66" t="s">
        <v>52</v>
      </c>
      <c r="K66" t="s">
        <v>52</v>
      </c>
      <c r="L66" s="2">
        <v>2</v>
      </c>
      <c r="M66" s="2">
        <v>2</v>
      </c>
      <c r="N66" s="2">
        <v>1</v>
      </c>
      <c r="O66" s="2">
        <v>1</v>
      </c>
      <c r="P66" s="2">
        <v>1</v>
      </c>
      <c r="Q66" s="2">
        <v>0.5</v>
      </c>
      <c r="R66" s="2">
        <v>1</v>
      </c>
      <c r="S66" s="2">
        <v>1</v>
      </c>
      <c r="T66" s="2">
        <v>2</v>
      </c>
      <c r="U66" s="2">
        <v>1</v>
      </c>
      <c r="V66" s="2">
        <v>1</v>
      </c>
      <c r="W66" s="2">
        <v>1</v>
      </c>
      <c r="X66" s="2">
        <v>1</v>
      </c>
      <c r="Y66" s="2">
        <v>1</v>
      </c>
      <c r="Z66" s="2">
        <v>0.5</v>
      </c>
      <c r="AA66" s="2">
        <v>1</v>
      </c>
      <c r="AB66" s="2">
        <v>1</v>
      </c>
      <c r="AC66" s="2">
        <v>1</v>
      </c>
      <c r="AD66" s="2">
        <v>50</v>
      </c>
      <c r="AE66" s="2">
        <v>5120</v>
      </c>
      <c r="AF66" s="2">
        <v>70</v>
      </c>
      <c r="AG66" s="2">
        <v>600</v>
      </c>
      <c r="AH66" s="2">
        <v>50</v>
      </c>
      <c r="AI66" s="2">
        <v>65</v>
      </c>
      <c r="AJ66" s="1">
        <v>1059860</v>
      </c>
      <c r="AK66" s="1">
        <v>1.5</v>
      </c>
      <c r="AL66" s="1">
        <v>55</v>
      </c>
      <c r="AM66" s="2">
        <v>75.400000000000006</v>
      </c>
      <c r="AN66" s="2">
        <f t="shared" si="0"/>
        <v>24.599999999999994</v>
      </c>
      <c r="AO66" s="3">
        <v>65</v>
      </c>
      <c r="AP66" s="3">
        <v>175</v>
      </c>
      <c r="AQ66" s="3">
        <v>105</v>
      </c>
      <c r="AR66" s="3">
        <v>150</v>
      </c>
      <c r="AS66" s="1">
        <v>48</v>
      </c>
      <c r="AT66" s="3">
        <v>1</v>
      </c>
      <c r="AU66" s="3" t="s">
        <v>3051</v>
      </c>
    </row>
    <row r="67" spans="1:47" x14ac:dyDescent="0.3">
      <c r="A67" s="1" t="s">
        <v>223</v>
      </c>
      <c r="B67" s="1" t="s">
        <v>222</v>
      </c>
      <c r="C67" s="1" t="s">
        <v>197</v>
      </c>
      <c r="D67" s="1" t="s">
        <v>52</v>
      </c>
      <c r="E67" s="1" t="s">
        <v>221</v>
      </c>
      <c r="F67" t="s">
        <v>3131</v>
      </c>
      <c r="G67" t="s">
        <v>3085</v>
      </c>
      <c r="H67" t="s">
        <v>3171</v>
      </c>
      <c r="I67" t="s">
        <v>52</v>
      </c>
      <c r="J67" t="s">
        <v>52</v>
      </c>
      <c r="K67" t="s">
        <v>52</v>
      </c>
      <c r="L67" s="2">
        <v>0.5</v>
      </c>
      <c r="M67" s="2">
        <v>0.5</v>
      </c>
      <c r="N67" s="2">
        <v>1</v>
      </c>
      <c r="O67" s="2">
        <v>1</v>
      </c>
      <c r="P67" s="2">
        <v>2</v>
      </c>
      <c r="Q67" s="2">
        <v>1</v>
      </c>
      <c r="R67" s="2">
        <v>1</v>
      </c>
      <c r="S67" s="2">
        <v>2</v>
      </c>
      <c r="T67" s="2">
        <v>1</v>
      </c>
      <c r="U67" s="2">
        <v>1</v>
      </c>
      <c r="V67" s="2">
        <v>1</v>
      </c>
      <c r="W67" s="2">
        <v>1</v>
      </c>
      <c r="X67" s="2">
        <v>1</v>
      </c>
      <c r="Y67" s="2">
        <v>1</v>
      </c>
      <c r="Z67" s="2">
        <v>2</v>
      </c>
      <c r="AA67" s="2">
        <v>0.5</v>
      </c>
      <c r="AB67" s="2">
        <v>1</v>
      </c>
      <c r="AC67" s="2">
        <v>1</v>
      </c>
      <c r="AD67" s="2">
        <v>80</v>
      </c>
      <c r="AE67" s="2">
        <v>5120</v>
      </c>
      <c r="AF67" s="2">
        <v>70</v>
      </c>
      <c r="AG67" s="2">
        <v>305</v>
      </c>
      <c r="AH67" s="2">
        <v>180</v>
      </c>
      <c r="AI67" s="2">
        <v>50</v>
      </c>
      <c r="AJ67" s="1">
        <v>1059860</v>
      </c>
      <c r="AK67" s="1">
        <v>0.8</v>
      </c>
      <c r="AL67" s="1">
        <v>70</v>
      </c>
      <c r="AM67" s="2">
        <v>75.400000000000006</v>
      </c>
      <c r="AN67" s="2">
        <f t="shared" ref="AN67:AN130" si="1">IF(AM67="","",100-AM67)</f>
        <v>24.599999999999994</v>
      </c>
      <c r="AO67" s="3">
        <v>66</v>
      </c>
      <c r="AP67" s="3">
        <v>35</v>
      </c>
      <c r="AQ67" s="3">
        <v>35</v>
      </c>
      <c r="AR67" s="3">
        <v>35</v>
      </c>
      <c r="AS67" s="1">
        <v>19.5</v>
      </c>
      <c r="AT67" s="3">
        <v>1</v>
      </c>
      <c r="AU67" s="3" t="s">
        <v>3051</v>
      </c>
    </row>
    <row r="68" spans="1:47" x14ac:dyDescent="0.3">
      <c r="A68" s="1" t="s">
        <v>225</v>
      </c>
      <c r="B68" s="1" t="s">
        <v>224</v>
      </c>
      <c r="C68" s="1" t="s">
        <v>197</v>
      </c>
      <c r="D68" s="1" t="s">
        <v>52</v>
      </c>
      <c r="E68" s="1" t="s">
        <v>221</v>
      </c>
      <c r="F68" t="s">
        <v>3131</v>
      </c>
      <c r="G68" t="s">
        <v>3085</v>
      </c>
      <c r="H68" t="s">
        <v>3171</v>
      </c>
      <c r="I68" t="s">
        <v>52</v>
      </c>
      <c r="J68" t="s">
        <v>52</v>
      </c>
      <c r="K68" t="s">
        <v>52</v>
      </c>
      <c r="L68" s="2">
        <v>0.5</v>
      </c>
      <c r="M68" s="2">
        <v>0.5</v>
      </c>
      <c r="N68" s="2">
        <v>1</v>
      </c>
      <c r="O68" s="2">
        <v>1</v>
      </c>
      <c r="P68" s="2">
        <v>2</v>
      </c>
      <c r="Q68" s="2">
        <v>1</v>
      </c>
      <c r="R68" s="2">
        <v>1</v>
      </c>
      <c r="S68" s="2">
        <v>2</v>
      </c>
      <c r="T68" s="2">
        <v>1</v>
      </c>
      <c r="U68" s="2">
        <v>1</v>
      </c>
      <c r="V68" s="2">
        <v>1</v>
      </c>
      <c r="W68" s="2">
        <v>1</v>
      </c>
      <c r="X68" s="2">
        <v>1</v>
      </c>
      <c r="Y68" s="2">
        <v>1</v>
      </c>
      <c r="Z68" s="2">
        <v>2</v>
      </c>
      <c r="AA68" s="2">
        <v>0.5</v>
      </c>
      <c r="AB68" s="2">
        <v>1</v>
      </c>
      <c r="AC68" s="2">
        <v>1</v>
      </c>
      <c r="AD68" s="2">
        <v>100</v>
      </c>
      <c r="AE68" s="2">
        <v>5120</v>
      </c>
      <c r="AF68" s="2">
        <v>70</v>
      </c>
      <c r="AG68" s="2">
        <v>405</v>
      </c>
      <c r="AH68" s="2">
        <v>90</v>
      </c>
      <c r="AI68" s="2">
        <v>70</v>
      </c>
      <c r="AJ68" s="1">
        <v>1059860</v>
      </c>
      <c r="AK68" s="1">
        <v>1.5</v>
      </c>
      <c r="AL68" s="1">
        <v>80</v>
      </c>
      <c r="AM68" s="2">
        <v>75.400000000000006</v>
      </c>
      <c r="AN68" s="2">
        <f t="shared" si="1"/>
        <v>24.599999999999994</v>
      </c>
      <c r="AO68" s="3">
        <v>67</v>
      </c>
      <c r="AP68" s="3">
        <v>50</v>
      </c>
      <c r="AQ68" s="3">
        <v>60</v>
      </c>
      <c r="AR68" s="3">
        <v>45</v>
      </c>
      <c r="AS68" s="1">
        <v>70.5</v>
      </c>
      <c r="AT68" s="3">
        <v>1</v>
      </c>
      <c r="AU68" s="3" t="s">
        <v>3051</v>
      </c>
    </row>
    <row r="69" spans="1:47" x14ac:dyDescent="0.3">
      <c r="A69" s="1" t="s">
        <v>227</v>
      </c>
      <c r="B69" s="1" t="s">
        <v>226</v>
      </c>
      <c r="C69" s="1" t="s">
        <v>197</v>
      </c>
      <c r="D69" s="1" t="s">
        <v>52</v>
      </c>
      <c r="E69" s="1" t="s">
        <v>221</v>
      </c>
      <c r="F69" t="s">
        <v>3131</v>
      </c>
      <c r="G69" t="s">
        <v>3085</v>
      </c>
      <c r="H69" t="s">
        <v>3171</v>
      </c>
      <c r="I69" t="s">
        <v>52</v>
      </c>
      <c r="J69" t="s">
        <v>52</v>
      </c>
      <c r="K69" t="s">
        <v>52</v>
      </c>
      <c r="L69" s="2">
        <v>0.5</v>
      </c>
      <c r="M69" s="2">
        <v>0.5</v>
      </c>
      <c r="N69" s="2">
        <v>1</v>
      </c>
      <c r="O69" s="2">
        <v>1</v>
      </c>
      <c r="P69" s="2">
        <v>2</v>
      </c>
      <c r="Q69" s="2">
        <v>1</v>
      </c>
      <c r="R69" s="2">
        <v>1</v>
      </c>
      <c r="S69" s="2">
        <v>2</v>
      </c>
      <c r="T69" s="2">
        <v>1</v>
      </c>
      <c r="U69" s="2">
        <v>1</v>
      </c>
      <c r="V69" s="2">
        <v>1</v>
      </c>
      <c r="W69" s="2">
        <v>1</v>
      </c>
      <c r="X69" s="2">
        <v>1</v>
      </c>
      <c r="Y69" s="2">
        <v>1</v>
      </c>
      <c r="Z69" s="2">
        <v>2</v>
      </c>
      <c r="AA69" s="2">
        <v>0.5</v>
      </c>
      <c r="AB69" s="2">
        <v>1</v>
      </c>
      <c r="AC69" s="2">
        <v>1</v>
      </c>
      <c r="AD69" s="2">
        <v>130</v>
      </c>
      <c r="AE69" s="2">
        <v>5120</v>
      </c>
      <c r="AF69" s="2">
        <v>70</v>
      </c>
      <c r="AG69" s="2">
        <v>505</v>
      </c>
      <c r="AH69" s="2">
        <v>45</v>
      </c>
      <c r="AI69" s="2">
        <v>80</v>
      </c>
      <c r="AJ69" s="1">
        <v>1059860</v>
      </c>
      <c r="AK69" s="1">
        <v>1.6</v>
      </c>
      <c r="AL69" s="1">
        <v>90</v>
      </c>
      <c r="AM69" s="2">
        <v>75.400000000000006</v>
      </c>
      <c r="AN69" s="2">
        <f t="shared" si="1"/>
        <v>24.599999999999994</v>
      </c>
      <c r="AO69" s="3">
        <v>68</v>
      </c>
      <c r="AP69" s="3">
        <v>65</v>
      </c>
      <c r="AQ69" s="3">
        <v>85</v>
      </c>
      <c r="AR69" s="3">
        <v>55</v>
      </c>
      <c r="AS69" s="1">
        <v>130</v>
      </c>
      <c r="AT69" s="3">
        <v>1</v>
      </c>
      <c r="AU69" s="3" t="s">
        <v>3051</v>
      </c>
    </row>
    <row r="70" spans="1:47" x14ac:dyDescent="0.3">
      <c r="A70" s="1" t="s">
        <v>229</v>
      </c>
      <c r="B70" s="1" t="s">
        <v>228</v>
      </c>
      <c r="C70" s="1" t="s">
        <v>42</v>
      </c>
      <c r="D70" s="1" t="s">
        <v>43</v>
      </c>
      <c r="E70" s="1" t="s">
        <v>164</v>
      </c>
      <c r="F70" t="s">
        <v>3068</v>
      </c>
      <c r="G70" t="s">
        <v>3177</v>
      </c>
      <c r="H70" t="s">
        <v>52</v>
      </c>
      <c r="I70" t="s">
        <v>52</v>
      </c>
      <c r="J70" t="s">
        <v>52</v>
      </c>
      <c r="K70" t="s">
        <v>52</v>
      </c>
      <c r="L70" s="2">
        <v>1</v>
      </c>
      <c r="M70" s="2">
        <v>1</v>
      </c>
      <c r="N70" s="2">
        <v>1</v>
      </c>
      <c r="O70" s="2">
        <v>0.5</v>
      </c>
      <c r="P70" s="2">
        <v>0.5</v>
      </c>
      <c r="Q70" s="2">
        <v>0.5</v>
      </c>
      <c r="R70" s="2">
        <v>2</v>
      </c>
      <c r="S70" s="2">
        <v>2</v>
      </c>
      <c r="T70" s="2">
        <v>1</v>
      </c>
      <c r="U70" s="2">
        <v>0.25</v>
      </c>
      <c r="V70" s="2">
        <v>1</v>
      </c>
      <c r="W70" s="2">
        <v>2</v>
      </c>
      <c r="X70" s="2">
        <v>1</v>
      </c>
      <c r="Y70" s="2">
        <v>1</v>
      </c>
      <c r="Z70" s="2">
        <v>2</v>
      </c>
      <c r="AA70" s="2">
        <v>1</v>
      </c>
      <c r="AB70" s="2">
        <v>1</v>
      </c>
      <c r="AC70" s="2">
        <v>0.5</v>
      </c>
      <c r="AD70" s="2">
        <v>75</v>
      </c>
      <c r="AE70" s="2">
        <v>5120</v>
      </c>
      <c r="AF70" s="2">
        <v>70</v>
      </c>
      <c r="AG70" s="2">
        <v>300</v>
      </c>
      <c r="AH70" s="2">
        <v>255</v>
      </c>
      <c r="AI70" s="2">
        <v>35</v>
      </c>
      <c r="AJ70" s="1">
        <v>1059860</v>
      </c>
      <c r="AK70" s="1">
        <v>0.7</v>
      </c>
      <c r="AL70" s="1">
        <v>50</v>
      </c>
      <c r="AM70" s="2">
        <v>50</v>
      </c>
      <c r="AN70" s="2">
        <f t="shared" si="1"/>
        <v>50</v>
      </c>
      <c r="AO70" s="3">
        <v>69</v>
      </c>
      <c r="AP70" s="3">
        <v>70</v>
      </c>
      <c r="AQ70" s="3">
        <v>30</v>
      </c>
      <c r="AR70" s="3">
        <v>40</v>
      </c>
      <c r="AS70" s="1">
        <v>4</v>
      </c>
      <c r="AT70" s="3">
        <v>1</v>
      </c>
      <c r="AU70" s="3" t="s">
        <v>3051</v>
      </c>
    </row>
    <row r="71" spans="1:47" x14ac:dyDescent="0.3">
      <c r="A71" s="1" t="s">
        <v>232</v>
      </c>
      <c r="B71" s="1" t="s">
        <v>231</v>
      </c>
      <c r="C71" s="1" t="s">
        <v>42</v>
      </c>
      <c r="D71" s="1" t="s">
        <v>43</v>
      </c>
      <c r="E71" s="1" t="s">
        <v>230</v>
      </c>
      <c r="F71" t="s">
        <v>3068</v>
      </c>
      <c r="G71" t="s">
        <v>3177</v>
      </c>
      <c r="H71" t="s">
        <v>52</v>
      </c>
      <c r="I71" t="s">
        <v>52</v>
      </c>
      <c r="J71" t="s">
        <v>52</v>
      </c>
      <c r="K71" t="s">
        <v>52</v>
      </c>
      <c r="L71" s="2">
        <v>1</v>
      </c>
      <c r="M71" s="2">
        <v>1</v>
      </c>
      <c r="N71" s="2">
        <v>1</v>
      </c>
      <c r="O71" s="2">
        <v>0.5</v>
      </c>
      <c r="P71" s="2">
        <v>0.5</v>
      </c>
      <c r="Q71" s="2">
        <v>0.5</v>
      </c>
      <c r="R71" s="2">
        <v>2</v>
      </c>
      <c r="S71" s="2">
        <v>2</v>
      </c>
      <c r="T71" s="2">
        <v>1</v>
      </c>
      <c r="U71" s="2">
        <v>0.25</v>
      </c>
      <c r="V71" s="2">
        <v>1</v>
      </c>
      <c r="W71" s="2">
        <v>2</v>
      </c>
      <c r="X71" s="2">
        <v>1</v>
      </c>
      <c r="Y71" s="2">
        <v>1</v>
      </c>
      <c r="Z71" s="2">
        <v>2</v>
      </c>
      <c r="AA71" s="2">
        <v>1</v>
      </c>
      <c r="AB71" s="2">
        <v>1</v>
      </c>
      <c r="AC71" s="2">
        <v>0.5</v>
      </c>
      <c r="AD71" s="2">
        <v>90</v>
      </c>
      <c r="AE71" s="2">
        <v>5120</v>
      </c>
      <c r="AF71" s="2">
        <v>70</v>
      </c>
      <c r="AG71" s="2">
        <v>390</v>
      </c>
      <c r="AH71" s="2">
        <v>120</v>
      </c>
      <c r="AI71" s="2">
        <v>50</v>
      </c>
      <c r="AJ71" s="1">
        <v>1059860</v>
      </c>
      <c r="AK71" s="1">
        <v>1</v>
      </c>
      <c r="AL71" s="1">
        <v>65</v>
      </c>
      <c r="AM71" s="2">
        <v>50</v>
      </c>
      <c r="AN71" s="2">
        <f t="shared" si="1"/>
        <v>50</v>
      </c>
      <c r="AO71" s="3">
        <v>70</v>
      </c>
      <c r="AP71" s="3">
        <v>85</v>
      </c>
      <c r="AQ71" s="3">
        <v>45</v>
      </c>
      <c r="AR71" s="3">
        <v>55</v>
      </c>
      <c r="AS71" s="1">
        <v>6.4</v>
      </c>
      <c r="AT71" s="3">
        <v>1</v>
      </c>
      <c r="AU71" s="3" t="s">
        <v>3051</v>
      </c>
    </row>
    <row r="72" spans="1:47" x14ac:dyDescent="0.3">
      <c r="A72" s="1" t="s">
        <v>234</v>
      </c>
      <c r="B72" s="1" t="s">
        <v>233</v>
      </c>
      <c r="C72" s="1" t="s">
        <v>42</v>
      </c>
      <c r="D72" s="1" t="s">
        <v>43</v>
      </c>
      <c r="E72" s="1" t="s">
        <v>230</v>
      </c>
      <c r="F72" t="s">
        <v>3068</v>
      </c>
      <c r="G72" t="s">
        <v>3177</v>
      </c>
      <c r="H72" t="s">
        <v>52</v>
      </c>
      <c r="I72" t="s">
        <v>52</v>
      </c>
      <c r="J72" t="s">
        <v>52</v>
      </c>
      <c r="K72" t="s">
        <v>52</v>
      </c>
      <c r="L72" s="2">
        <v>1</v>
      </c>
      <c r="M72" s="2">
        <v>1</v>
      </c>
      <c r="N72" s="2">
        <v>1</v>
      </c>
      <c r="O72" s="2">
        <v>0.5</v>
      </c>
      <c r="P72" s="2">
        <v>0.5</v>
      </c>
      <c r="Q72" s="2">
        <v>0.5</v>
      </c>
      <c r="R72" s="2">
        <v>2</v>
      </c>
      <c r="S72" s="2">
        <v>2</v>
      </c>
      <c r="T72" s="2">
        <v>1</v>
      </c>
      <c r="U72" s="2">
        <v>0.25</v>
      </c>
      <c r="V72" s="2">
        <v>1</v>
      </c>
      <c r="W72" s="2">
        <v>2</v>
      </c>
      <c r="X72" s="2">
        <v>1</v>
      </c>
      <c r="Y72" s="2">
        <v>1</v>
      </c>
      <c r="Z72" s="2">
        <v>2</v>
      </c>
      <c r="AA72" s="2">
        <v>1</v>
      </c>
      <c r="AB72" s="2">
        <v>1</v>
      </c>
      <c r="AC72" s="2">
        <v>0.5</v>
      </c>
      <c r="AD72" s="2">
        <v>105</v>
      </c>
      <c r="AE72" s="2">
        <v>5120</v>
      </c>
      <c r="AF72" s="2">
        <v>70</v>
      </c>
      <c r="AG72" s="2">
        <v>490</v>
      </c>
      <c r="AH72" s="2">
        <v>45</v>
      </c>
      <c r="AI72" s="2">
        <v>65</v>
      </c>
      <c r="AJ72" s="1">
        <v>1059860</v>
      </c>
      <c r="AK72" s="1">
        <v>1.7</v>
      </c>
      <c r="AL72" s="1">
        <v>80</v>
      </c>
      <c r="AM72" s="2">
        <v>50</v>
      </c>
      <c r="AN72" s="2">
        <f t="shared" si="1"/>
        <v>50</v>
      </c>
      <c r="AO72" s="3">
        <v>71</v>
      </c>
      <c r="AP72" s="3">
        <v>100</v>
      </c>
      <c r="AQ72" s="3">
        <v>70</v>
      </c>
      <c r="AR72" s="3">
        <v>70</v>
      </c>
      <c r="AS72" s="1">
        <v>15.5</v>
      </c>
      <c r="AT72" s="3">
        <v>1</v>
      </c>
      <c r="AU72" s="3" t="s">
        <v>3051</v>
      </c>
    </row>
    <row r="73" spans="1:47" x14ac:dyDescent="0.3">
      <c r="A73" s="1" t="s">
        <v>237</v>
      </c>
      <c r="B73" s="1" t="s">
        <v>236</v>
      </c>
      <c r="C73" s="1" t="s">
        <v>62</v>
      </c>
      <c r="D73" s="1" t="s">
        <v>43</v>
      </c>
      <c r="E73" s="1" t="s">
        <v>235</v>
      </c>
      <c r="F73" t="s">
        <v>3090</v>
      </c>
      <c r="G73" t="s">
        <v>3157</v>
      </c>
      <c r="H73" t="s">
        <v>3224</v>
      </c>
      <c r="I73" t="s">
        <v>52</v>
      </c>
      <c r="J73" t="s">
        <v>52</v>
      </c>
      <c r="K73" t="s">
        <v>52</v>
      </c>
      <c r="L73" s="2">
        <v>0.5</v>
      </c>
      <c r="M73" s="2">
        <v>1</v>
      </c>
      <c r="N73" s="2">
        <v>1</v>
      </c>
      <c r="O73" s="2">
        <v>2</v>
      </c>
      <c r="P73" s="2">
        <v>0.5</v>
      </c>
      <c r="Q73" s="2">
        <v>0.5</v>
      </c>
      <c r="R73" s="2">
        <v>0.5</v>
      </c>
      <c r="S73" s="2">
        <v>1</v>
      </c>
      <c r="T73" s="2">
        <v>1</v>
      </c>
      <c r="U73" s="2">
        <v>1</v>
      </c>
      <c r="V73" s="2">
        <v>2</v>
      </c>
      <c r="W73" s="2">
        <v>0.5</v>
      </c>
      <c r="X73" s="2">
        <v>1</v>
      </c>
      <c r="Y73" s="2">
        <v>0.5</v>
      </c>
      <c r="Z73" s="2">
        <v>2</v>
      </c>
      <c r="AA73" s="2">
        <v>1</v>
      </c>
      <c r="AB73" s="2">
        <v>0.5</v>
      </c>
      <c r="AC73" s="2">
        <v>0.5</v>
      </c>
      <c r="AD73" s="2">
        <v>40</v>
      </c>
      <c r="AE73" s="2">
        <v>5120</v>
      </c>
      <c r="AF73" s="2">
        <v>70</v>
      </c>
      <c r="AG73" s="2">
        <v>335</v>
      </c>
      <c r="AH73" s="2">
        <v>190</v>
      </c>
      <c r="AI73" s="2">
        <v>35</v>
      </c>
      <c r="AJ73" s="1">
        <v>1250000</v>
      </c>
      <c r="AK73" s="1">
        <v>0.9</v>
      </c>
      <c r="AL73" s="1">
        <v>40</v>
      </c>
      <c r="AM73" s="2">
        <v>50</v>
      </c>
      <c r="AN73" s="2">
        <f t="shared" si="1"/>
        <v>50</v>
      </c>
      <c r="AO73" s="3">
        <v>72</v>
      </c>
      <c r="AP73" s="3">
        <v>50</v>
      </c>
      <c r="AQ73" s="3">
        <v>100</v>
      </c>
      <c r="AR73" s="3">
        <v>70</v>
      </c>
      <c r="AS73" s="1">
        <v>45.5</v>
      </c>
      <c r="AT73" s="3">
        <v>1</v>
      </c>
      <c r="AU73" s="3" t="s">
        <v>3051</v>
      </c>
    </row>
    <row r="74" spans="1:47" x14ac:dyDescent="0.3">
      <c r="A74" s="1" t="s">
        <v>239</v>
      </c>
      <c r="B74" s="1" t="s">
        <v>238</v>
      </c>
      <c r="C74" s="1" t="s">
        <v>62</v>
      </c>
      <c r="D74" s="1" t="s">
        <v>43</v>
      </c>
      <c r="E74" s="1" t="s">
        <v>235</v>
      </c>
      <c r="F74" t="s">
        <v>3090</v>
      </c>
      <c r="G74" t="s">
        <v>3157</v>
      </c>
      <c r="H74" t="s">
        <v>3224</v>
      </c>
      <c r="I74" t="s">
        <v>52</v>
      </c>
      <c r="J74" t="s">
        <v>52</v>
      </c>
      <c r="K74" t="s">
        <v>52</v>
      </c>
      <c r="L74" s="2">
        <v>0.5</v>
      </c>
      <c r="M74" s="2">
        <v>1</v>
      </c>
      <c r="N74" s="2">
        <v>1</v>
      </c>
      <c r="O74" s="2">
        <v>2</v>
      </c>
      <c r="P74" s="2">
        <v>0.5</v>
      </c>
      <c r="Q74" s="2">
        <v>0.5</v>
      </c>
      <c r="R74" s="2">
        <v>0.5</v>
      </c>
      <c r="S74" s="2">
        <v>1</v>
      </c>
      <c r="T74" s="2">
        <v>1</v>
      </c>
      <c r="U74" s="2">
        <v>1</v>
      </c>
      <c r="V74" s="2">
        <v>2</v>
      </c>
      <c r="W74" s="2">
        <v>0.5</v>
      </c>
      <c r="X74" s="2">
        <v>1</v>
      </c>
      <c r="Y74" s="2">
        <v>0.5</v>
      </c>
      <c r="Z74" s="2">
        <v>2</v>
      </c>
      <c r="AA74" s="2">
        <v>1</v>
      </c>
      <c r="AB74" s="2">
        <v>0.5</v>
      </c>
      <c r="AC74" s="2">
        <v>0.5</v>
      </c>
      <c r="AD74" s="2">
        <v>70</v>
      </c>
      <c r="AE74" s="2">
        <v>5120</v>
      </c>
      <c r="AF74" s="2">
        <v>70</v>
      </c>
      <c r="AG74" s="2">
        <v>515</v>
      </c>
      <c r="AH74" s="2">
        <v>60</v>
      </c>
      <c r="AI74" s="2">
        <v>65</v>
      </c>
      <c r="AJ74" s="1">
        <v>1250000</v>
      </c>
      <c r="AK74" s="1">
        <v>1.6</v>
      </c>
      <c r="AL74" s="1">
        <v>80</v>
      </c>
      <c r="AM74" s="2">
        <v>50</v>
      </c>
      <c r="AN74" s="2">
        <f t="shared" si="1"/>
        <v>50</v>
      </c>
      <c r="AO74" s="3">
        <v>73</v>
      </c>
      <c r="AP74" s="3">
        <v>80</v>
      </c>
      <c r="AQ74" s="3">
        <v>120</v>
      </c>
      <c r="AR74" s="3">
        <v>100</v>
      </c>
      <c r="AS74" s="1">
        <v>55</v>
      </c>
      <c r="AT74" s="3">
        <v>1</v>
      </c>
      <c r="AU74" s="3" t="s">
        <v>3051</v>
      </c>
    </row>
    <row r="75" spans="1:47" x14ac:dyDescent="0.3">
      <c r="A75" s="1" t="s">
        <v>242</v>
      </c>
      <c r="B75" s="1" t="s">
        <v>241</v>
      </c>
      <c r="C75" s="1" t="s">
        <v>243</v>
      </c>
      <c r="D75" s="1" t="s">
        <v>120</v>
      </c>
      <c r="E75" s="1" t="s">
        <v>240</v>
      </c>
      <c r="F75" t="s">
        <v>3132</v>
      </c>
      <c r="G75" t="s">
        <v>3107</v>
      </c>
      <c r="H75" t="s">
        <v>3122</v>
      </c>
      <c r="I75" t="s">
        <v>3134</v>
      </c>
      <c r="J75" t="s">
        <v>3107</v>
      </c>
      <c r="K75" t="s">
        <v>3241</v>
      </c>
      <c r="L75" s="2">
        <v>1</v>
      </c>
      <c r="M75" s="2">
        <v>1</v>
      </c>
      <c r="N75" s="2">
        <v>1</v>
      </c>
      <c r="O75" s="2">
        <v>0</v>
      </c>
      <c r="P75" s="2">
        <v>1</v>
      </c>
      <c r="Q75" s="2">
        <v>2</v>
      </c>
      <c r="R75" s="2">
        <v>0.5</v>
      </c>
      <c r="S75" s="2">
        <v>0.5</v>
      </c>
      <c r="T75" s="2">
        <v>1</v>
      </c>
      <c r="U75" s="2">
        <v>4</v>
      </c>
      <c r="V75" s="2">
        <v>2</v>
      </c>
      <c r="W75" s="2">
        <v>2</v>
      </c>
      <c r="X75" s="2">
        <v>0.5</v>
      </c>
      <c r="Y75" s="2">
        <v>0.25</v>
      </c>
      <c r="Z75" s="2">
        <v>1</v>
      </c>
      <c r="AA75" s="2">
        <v>0.5</v>
      </c>
      <c r="AB75" s="2">
        <v>2</v>
      </c>
      <c r="AC75" s="2">
        <v>4</v>
      </c>
      <c r="AD75" s="2">
        <v>80</v>
      </c>
      <c r="AE75" s="2">
        <v>3840</v>
      </c>
      <c r="AF75" s="2">
        <v>70</v>
      </c>
      <c r="AG75" s="2">
        <v>300</v>
      </c>
      <c r="AH75" s="2">
        <v>255</v>
      </c>
      <c r="AI75" s="2">
        <v>100</v>
      </c>
      <c r="AJ75" s="1">
        <v>1059860</v>
      </c>
      <c r="AK75" s="1">
        <v>0.4</v>
      </c>
      <c r="AL75" s="1">
        <v>40</v>
      </c>
      <c r="AM75" s="2">
        <v>50</v>
      </c>
      <c r="AN75" s="2">
        <f t="shared" si="1"/>
        <v>50</v>
      </c>
      <c r="AO75" s="3">
        <v>74</v>
      </c>
      <c r="AP75" s="3">
        <v>30</v>
      </c>
      <c r="AQ75" s="3">
        <v>30</v>
      </c>
      <c r="AR75" s="3">
        <v>20</v>
      </c>
      <c r="AS75" s="1">
        <v>20</v>
      </c>
      <c r="AT75" s="3">
        <v>1</v>
      </c>
      <c r="AU75" s="3" t="s">
        <v>3051</v>
      </c>
    </row>
    <row r="76" spans="1:47" x14ac:dyDescent="0.3">
      <c r="A76" s="1" t="s">
        <v>245</v>
      </c>
      <c r="B76" s="1" t="s">
        <v>244</v>
      </c>
      <c r="C76" s="1" t="s">
        <v>243</v>
      </c>
      <c r="D76" s="1" t="s">
        <v>120</v>
      </c>
      <c r="E76" s="1" t="s">
        <v>240</v>
      </c>
      <c r="F76" t="s">
        <v>3132</v>
      </c>
      <c r="G76" t="s">
        <v>3107</v>
      </c>
      <c r="H76" t="s">
        <v>3122</v>
      </c>
      <c r="I76" t="s">
        <v>3134</v>
      </c>
      <c r="J76" t="s">
        <v>3107</v>
      </c>
      <c r="K76" t="s">
        <v>3241</v>
      </c>
      <c r="L76" s="2">
        <v>1</v>
      </c>
      <c r="M76" s="2">
        <v>1</v>
      </c>
      <c r="N76" s="2">
        <v>1</v>
      </c>
      <c r="O76" s="2">
        <v>0</v>
      </c>
      <c r="P76" s="2">
        <v>1</v>
      </c>
      <c r="Q76" s="2">
        <v>2</v>
      </c>
      <c r="R76" s="2">
        <v>0.5</v>
      </c>
      <c r="S76" s="2">
        <v>0.5</v>
      </c>
      <c r="T76" s="2">
        <v>1</v>
      </c>
      <c r="U76" s="2">
        <v>4</v>
      </c>
      <c r="V76" s="2">
        <v>2</v>
      </c>
      <c r="W76" s="2">
        <v>2</v>
      </c>
      <c r="X76" s="2">
        <v>0.5</v>
      </c>
      <c r="Y76" s="2">
        <v>0.25</v>
      </c>
      <c r="Z76" s="2">
        <v>1</v>
      </c>
      <c r="AA76" s="2">
        <v>0.5</v>
      </c>
      <c r="AB76" s="2">
        <v>2</v>
      </c>
      <c r="AC76" s="2">
        <v>4</v>
      </c>
      <c r="AD76" s="2">
        <v>95</v>
      </c>
      <c r="AE76" s="2">
        <v>3840</v>
      </c>
      <c r="AF76" s="2">
        <v>70</v>
      </c>
      <c r="AG76" s="2">
        <v>390</v>
      </c>
      <c r="AH76" s="2">
        <v>120</v>
      </c>
      <c r="AI76" s="2">
        <v>115</v>
      </c>
      <c r="AJ76" s="1">
        <v>1059860</v>
      </c>
      <c r="AK76" s="1">
        <v>1</v>
      </c>
      <c r="AL76" s="1">
        <v>55</v>
      </c>
      <c r="AM76" s="2">
        <v>50</v>
      </c>
      <c r="AN76" s="2">
        <f t="shared" si="1"/>
        <v>50</v>
      </c>
      <c r="AO76" s="3">
        <v>75</v>
      </c>
      <c r="AP76" s="3">
        <v>45</v>
      </c>
      <c r="AQ76" s="3">
        <v>45</v>
      </c>
      <c r="AR76" s="3">
        <v>35</v>
      </c>
      <c r="AS76" s="1">
        <v>105</v>
      </c>
      <c r="AT76" s="3">
        <v>1</v>
      </c>
      <c r="AU76" s="3" t="s">
        <v>3051</v>
      </c>
    </row>
    <row r="77" spans="1:47" x14ac:dyDescent="0.3">
      <c r="A77" s="1" t="s">
        <v>248</v>
      </c>
      <c r="B77" s="1" t="s">
        <v>247</v>
      </c>
      <c r="C77" s="1" t="s">
        <v>243</v>
      </c>
      <c r="D77" s="1" t="s">
        <v>120</v>
      </c>
      <c r="E77" s="1" t="s">
        <v>246</v>
      </c>
      <c r="F77" t="s">
        <v>3132</v>
      </c>
      <c r="G77" t="s">
        <v>3107</v>
      </c>
      <c r="H77" t="s">
        <v>3122</v>
      </c>
      <c r="I77" t="s">
        <v>3134</v>
      </c>
      <c r="J77" t="s">
        <v>3107</v>
      </c>
      <c r="K77" t="s">
        <v>3241</v>
      </c>
      <c r="L77" s="2">
        <v>1</v>
      </c>
      <c r="M77" s="2">
        <v>1</v>
      </c>
      <c r="N77" s="2">
        <v>1</v>
      </c>
      <c r="O77" s="2">
        <v>0</v>
      </c>
      <c r="P77" s="2">
        <v>1</v>
      </c>
      <c r="Q77" s="2">
        <v>2</v>
      </c>
      <c r="R77" s="2">
        <v>0.5</v>
      </c>
      <c r="S77" s="2">
        <v>0.5</v>
      </c>
      <c r="T77" s="2">
        <v>1</v>
      </c>
      <c r="U77" s="2">
        <v>4</v>
      </c>
      <c r="V77" s="2">
        <v>2</v>
      </c>
      <c r="W77" s="2">
        <v>2</v>
      </c>
      <c r="X77" s="2">
        <v>0.5</v>
      </c>
      <c r="Y77" s="2">
        <v>0.25</v>
      </c>
      <c r="Z77" s="2">
        <v>1</v>
      </c>
      <c r="AA77" s="2">
        <v>0.5</v>
      </c>
      <c r="AB77" s="2">
        <v>2</v>
      </c>
      <c r="AC77" s="2">
        <v>4</v>
      </c>
      <c r="AD77" s="2">
        <v>120</v>
      </c>
      <c r="AE77" s="2">
        <v>3840</v>
      </c>
      <c r="AF77" s="2">
        <v>70</v>
      </c>
      <c r="AG77" s="2">
        <v>495</v>
      </c>
      <c r="AH77" s="2">
        <v>45</v>
      </c>
      <c r="AI77" s="2">
        <v>130</v>
      </c>
      <c r="AJ77" s="1">
        <v>1059860</v>
      </c>
      <c r="AK77" s="1">
        <v>1.4</v>
      </c>
      <c r="AL77" s="1">
        <v>80</v>
      </c>
      <c r="AM77" s="2">
        <v>50</v>
      </c>
      <c r="AN77" s="2">
        <f t="shared" si="1"/>
        <v>50</v>
      </c>
      <c r="AO77" s="3">
        <v>76</v>
      </c>
      <c r="AP77" s="3">
        <v>55</v>
      </c>
      <c r="AQ77" s="3">
        <v>65</v>
      </c>
      <c r="AR77" s="3">
        <v>45</v>
      </c>
      <c r="AS77" s="1">
        <v>300</v>
      </c>
      <c r="AT77" s="3">
        <v>1</v>
      </c>
      <c r="AU77" s="3" t="s">
        <v>3051</v>
      </c>
    </row>
    <row r="78" spans="1:47" x14ac:dyDescent="0.3">
      <c r="A78" s="1" t="s">
        <v>251</v>
      </c>
      <c r="B78" s="1" t="s">
        <v>250</v>
      </c>
      <c r="C78" s="1" t="s">
        <v>51</v>
      </c>
      <c r="D78" s="1" t="s">
        <v>52</v>
      </c>
      <c r="E78" s="1" t="s">
        <v>249</v>
      </c>
      <c r="F78" t="s">
        <v>3119</v>
      </c>
      <c r="G78" t="s">
        <v>3125</v>
      </c>
      <c r="H78" t="s">
        <v>3145</v>
      </c>
      <c r="I78" t="s">
        <v>52</v>
      </c>
      <c r="J78" t="s">
        <v>52</v>
      </c>
      <c r="K78" t="s">
        <v>52</v>
      </c>
      <c r="L78" s="2">
        <v>0.5</v>
      </c>
      <c r="M78" s="2">
        <v>1</v>
      </c>
      <c r="N78" s="2">
        <v>1</v>
      </c>
      <c r="O78" s="2">
        <v>1</v>
      </c>
      <c r="P78" s="2">
        <v>0.5</v>
      </c>
      <c r="Q78" s="2">
        <v>1</v>
      </c>
      <c r="R78" s="2">
        <v>0.5</v>
      </c>
      <c r="S78" s="2">
        <v>1</v>
      </c>
      <c r="T78" s="2">
        <v>1</v>
      </c>
      <c r="U78" s="2">
        <v>0.5</v>
      </c>
      <c r="V78" s="2">
        <v>2</v>
      </c>
      <c r="W78" s="2">
        <v>0.5</v>
      </c>
      <c r="X78" s="2">
        <v>1</v>
      </c>
      <c r="Y78" s="2">
        <v>1</v>
      </c>
      <c r="Z78" s="2">
        <v>1</v>
      </c>
      <c r="AA78" s="2">
        <v>2</v>
      </c>
      <c r="AB78" s="2">
        <v>0.5</v>
      </c>
      <c r="AC78" s="2">
        <v>2</v>
      </c>
      <c r="AD78" s="2">
        <v>85</v>
      </c>
      <c r="AE78" s="2">
        <v>5120</v>
      </c>
      <c r="AF78" s="2">
        <v>70</v>
      </c>
      <c r="AG78" s="2">
        <v>410</v>
      </c>
      <c r="AH78" s="2">
        <v>190</v>
      </c>
      <c r="AI78" s="2">
        <v>55</v>
      </c>
      <c r="AJ78" s="1">
        <v>1000000</v>
      </c>
      <c r="AK78" s="1">
        <v>1</v>
      </c>
      <c r="AL78" s="1">
        <v>50</v>
      </c>
      <c r="AM78" s="2">
        <v>50</v>
      </c>
      <c r="AN78" s="2">
        <f t="shared" si="1"/>
        <v>50</v>
      </c>
      <c r="AO78" s="3">
        <v>77</v>
      </c>
      <c r="AP78" s="3">
        <v>65</v>
      </c>
      <c r="AQ78" s="3">
        <v>65</v>
      </c>
      <c r="AR78" s="3">
        <v>90</v>
      </c>
      <c r="AS78" s="1">
        <v>30</v>
      </c>
      <c r="AT78" s="3">
        <v>1</v>
      </c>
      <c r="AU78" s="3" t="s">
        <v>3051</v>
      </c>
    </row>
    <row r="79" spans="1:47" x14ac:dyDescent="0.3">
      <c r="A79" s="1" t="s">
        <v>253</v>
      </c>
      <c r="B79" s="1" t="s">
        <v>252</v>
      </c>
      <c r="C79" s="1" t="s">
        <v>51</v>
      </c>
      <c r="D79" s="1" t="s">
        <v>52</v>
      </c>
      <c r="E79" s="1" t="s">
        <v>249</v>
      </c>
      <c r="F79" t="s">
        <v>3119</v>
      </c>
      <c r="G79" t="s">
        <v>3125</v>
      </c>
      <c r="H79" t="s">
        <v>3145</v>
      </c>
      <c r="I79" t="s">
        <v>52</v>
      </c>
      <c r="J79" t="s">
        <v>52</v>
      </c>
      <c r="K79" t="s">
        <v>52</v>
      </c>
      <c r="L79" s="2">
        <v>0.5</v>
      </c>
      <c r="M79" s="2">
        <v>1</v>
      </c>
      <c r="N79" s="2">
        <v>1</v>
      </c>
      <c r="O79" s="2">
        <v>1</v>
      </c>
      <c r="P79" s="2">
        <v>0.5</v>
      </c>
      <c r="Q79" s="2">
        <v>1</v>
      </c>
      <c r="R79" s="2">
        <v>0.5</v>
      </c>
      <c r="S79" s="2">
        <v>1</v>
      </c>
      <c r="T79" s="2">
        <v>1</v>
      </c>
      <c r="U79" s="2">
        <v>0.5</v>
      </c>
      <c r="V79" s="2">
        <v>2</v>
      </c>
      <c r="W79" s="2">
        <v>0.5</v>
      </c>
      <c r="X79" s="2">
        <v>1</v>
      </c>
      <c r="Y79" s="2">
        <v>1</v>
      </c>
      <c r="Z79" s="2">
        <v>1</v>
      </c>
      <c r="AA79" s="2">
        <v>2</v>
      </c>
      <c r="AB79" s="2">
        <v>0.5</v>
      </c>
      <c r="AC79" s="2">
        <v>2</v>
      </c>
      <c r="AD79" s="2">
        <v>100</v>
      </c>
      <c r="AE79" s="2">
        <v>5120</v>
      </c>
      <c r="AF79" s="2">
        <v>70</v>
      </c>
      <c r="AG79" s="2">
        <v>500</v>
      </c>
      <c r="AH79" s="2">
        <v>60</v>
      </c>
      <c r="AI79" s="2">
        <v>70</v>
      </c>
      <c r="AJ79" s="1">
        <v>1000000</v>
      </c>
      <c r="AK79" s="1">
        <v>1.7</v>
      </c>
      <c r="AL79" s="1">
        <v>65</v>
      </c>
      <c r="AM79" s="2">
        <v>50</v>
      </c>
      <c r="AN79" s="2">
        <f t="shared" si="1"/>
        <v>50</v>
      </c>
      <c r="AO79" s="3">
        <v>78</v>
      </c>
      <c r="AP79" s="3">
        <v>80</v>
      </c>
      <c r="AQ79" s="3">
        <v>80</v>
      </c>
      <c r="AR79" s="3">
        <v>105</v>
      </c>
      <c r="AS79" s="1">
        <v>95</v>
      </c>
      <c r="AT79" s="3">
        <v>1</v>
      </c>
      <c r="AU79" s="3" t="s">
        <v>3051</v>
      </c>
    </row>
    <row r="80" spans="1:47" x14ac:dyDescent="0.3">
      <c r="A80" s="1" t="s">
        <v>256</v>
      </c>
      <c r="B80" s="1" t="s">
        <v>255</v>
      </c>
      <c r="C80" s="1" t="s">
        <v>62</v>
      </c>
      <c r="D80" s="1" t="s">
        <v>216</v>
      </c>
      <c r="E80" s="1" t="s">
        <v>254</v>
      </c>
      <c r="F80" t="s">
        <v>3133</v>
      </c>
      <c r="G80" t="s">
        <v>3140</v>
      </c>
      <c r="H80" t="s">
        <v>3242</v>
      </c>
      <c r="I80" t="s">
        <v>52</v>
      </c>
      <c r="J80" t="s">
        <v>52</v>
      </c>
      <c r="K80" t="s">
        <v>52</v>
      </c>
      <c r="L80" s="2">
        <v>2</v>
      </c>
      <c r="M80" s="2">
        <v>2</v>
      </c>
      <c r="N80" s="2">
        <v>1</v>
      </c>
      <c r="O80" s="2">
        <v>2</v>
      </c>
      <c r="P80" s="2">
        <v>1</v>
      </c>
      <c r="Q80" s="2">
        <v>0.5</v>
      </c>
      <c r="R80" s="2">
        <v>0.5</v>
      </c>
      <c r="S80" s="2">
        <v>1</v>
      </c>
      <c r="T80" s="2">
        <v>2</v>
      </c>
      <c r="U80" s="2">
        <v>2</v>
      </c>
      <c r="V80" s="2">
        <v>1</v>
      </c>
      <c r="W80" s="2">
        <v>0.5</v>
      </c>
      <c r="X80" s="2">
        <v>1</v>
      </c>
      <c r="Y80" s="2">
        <v>1</v>
      </c>
      <c r="Z80" s="2">
        <v>0.5</v>
      </c>
      <c r="AA80" s="2">
        <v>1</v>
      </c>
      <c r="AB80" s="2">
        <v>0.5</v>
      </c>
      <c r="AC80" s="2">
        <v>0.5</v>
      </c>
      <c r="AD80" s="2">
        <v>65</v>
      </c>
      <c r="AE80" s="2">
        <v>5120</v>
      </c>
      <c r="AF80" s="2">
        <v>70</v>
      </c>
      <c r="AG80" s="2">
        <v>315</v>
      </c>
      <c r="AH80" s="2">
        <v>190</v>
      </c>
      <c r="AI80" s="2">
        <v>65</v>
      </c>
      <c r="AJ80" s="1">
        <v>1000000</v>
      </c>
      <c r="AK80" s="1">
        <v>1.2</v>
      </c>
      <c r="AL80" s="1">
        <v>90</v>
      </c>
      <c r="AM80" s="2">
        <v>50</v>
      </c>
      <c r="AN80" s="2">
        <f t="shared" si="1"/>
        <v>50</v>
      </c>
      <c r="AO80" s="3">
        <v>79</v>
      </c>
      <c r="AP80" s="3">
        <v>40</v>
      </c>
      <c r="AQ80" s="3">
        <v>40</v>
      </c>
      <c r="AR80" s="3">
        <v>15</v>
      </c>
      <c r="AS80" s="1">
        <v>36</v>
      </c>
      <c r="AT80" s="3">
        <v>1</v>
      </c>
      <c r="AU80" s="3" t="s">
        <v>3051</v>
      </c>
    </row>
    <row r="81" spans="1:47" x14ac:dyDescent="0.3">
      <c r="A81" s="1" t="s">
        <v>259</v>
      </c>
      <c r="B81" s="1" t="s">
        <v>258</v>
      </c>
      <c r="C81" s="1" t="s">
        <v>62</v>
      </c>
      <c r="D81" s="1" t="s">
        <v>216</v>
      </c>
      <c r="E81" s="1" t="s">
        <v>257</v>
      </c>
      <c r="F81" t="s">
        <v>3133</v>
      </c>
      <c r="G81" t="s">
        <v>3140</v>
      </c>
      <c r="H81" t="s">
        <v>3242</v>
      </c>
      <c r="I81" t="s">
        <v>52</v>
      </c>
      <c r="J81" t="s">
        <v>52</v>
      </c>
      <c r="K81" t="s">
        <v>52</v>
      </c>
      <c r="L81" s="2">
        <v>2</v>
      </c>
      <c r="M81" s="2">
        <v>2</v>
      </c>
      <c r="N81" s="2">
        <v>1</v>
      </c>
      <c r="O81" s="2">
        <v>2</v>
      </c>
      <c r="P81" s="2">
        <v>1</v>
      </c>
      <c r="Q81" s="2">
        <v>0.5</v>
      </c>
      <c r="R81" s="2">
        <v>0.5</v>
      </c>
      <c r="S81" s="2">
        <v>1</v>
      </c>
      <c r="T81" s="2">
        <v>2</v>
      </c>
      <c r="U81" s="2">
        <v>2</v>
      </c>
      <c r="V81" s="2">
        <v>1</v>
      </c>
      <c r="W81" s="2">
        <v>0.5</v>
      </c>
      <c r="X81" s="2">
        <v>1</v>
      </c>
      <c r="Y81" s="2">
        <v>1</v>
      </c>
      <c r="Z81" s="2">
        <v>0.5</v>
      </c>
      <c r="AA81" s="2">
        <v>1</v>
      </c>
      <c r="AB81" s="2">
        <v>0.5</v>
      </c>
      <c r="AC81" s="2">
        <v>0.5</v>
      </c>
      <c r="AD81" s="2">
        <v>75</v>
      </c>
      <c r="AE81" s="2">
        <v>5120</v>
      </c>
      <c r="AF81" s="2">
        <v>70</v>
      </c>
      <c r="AG81" s="2">
        <v>590</v>
      </c>
      <c r="AH81" s="2">
        <v>75</v>
      </c>
      <c r="AI81" s="2">
        <v>180</v>
      </c>
      <c r="AJ81" s="1">
        <v>1000000</v>
      </c>
      <c r="AK81" s="1">
        <v>1.6</v>
      </c>
      <c r="AL81" s="1">
        <v>95</v>
      </c>
      <c r="AM81" s="2">
        <v>50</v>
      </c>
      <c r="AN81" s="2">
        <f t="shared" si="1"/>
        <v>50</v>
      </c>
      <c r="AO81" s="3">
        <v>80</v>
      </c>
      <c r="AP81" s="3">
        <v>130</v>
      </c>
      <c r="AQ81" s="3">
        <v>80</v>
      </c>
      <c r="AR81" s="3">
        <v>30</v>
      </c>
      <c r="AS81" s="1">
        <v>78.5</v>
      </c>
      <c r="AT81" s="3">
        <v>1</v>
      </c>
      <c r="AU81" s="3" t="s">
        <v>3051</v>
      </c>
    </row>
    <row r="82" spans="1:47" x14ac:dyDescent="0.3">
      <c r="A82" s="1" t="s">
        <v>262</v>
      </c>
      <c r="B82" s="1" t="s">
        <v>261</v>
      </c>
      <c r="C82" s="1" t="s">
        <v>115</v>
      </c>
      <c r="D82" s="1" t="s">
        <v>263</v>
      </c>
      <c r="E82" s="1" t="s">
        <v>260</v>
      </c>
      <c r="F82" t="s">
        <v>3134</v>
      </c>
      <c r="G82" t="s">
        <v>3107</v>
      </c>
      <c r="H82" t="s">
        <v>3243</v>
      </c>
      <c r="I82" t="s">
        <v>52</v>
      </c>
      <c r="J82" t="s">
        <v>52</v>
      </c>
      <c r="K82" t="s">
        <v>52</v>
      </c>
      <c r="L82" s="2">
        <v>0.5</v>
      </c>
      <c r="M82" s="2">
        <v>1</v>
      </c>
      <c r="N82" s="2">
        <v>0.5</v>
      </c>
      <c r="O82" s="2">
        <v>0.5</v>
      </c>
      <c r="P82" s="2">
        <v>0.5</v>
      </c>
      <c r="Q82" s="2">
        <v>2</v>
      </c>
      <c r="R82" s="2">
        <v>2</v>
      </c>
      <c r="S82" s="2">
        <v>0.25</v>
      </c>
      <c r="T82" s="2">
        <v>1</v>
      </c>
      <c r="U82" s="2">
        <v>0.5</v>
      </c>
      <c r="V82" s="2">
        <v>4</v>
      </c>
      <c r="W82" s="2">
        <v>0.5</v>
      </c>
      <c r="X82" s="2">
        <v>0.5</v>
      </c>
      <c r="Y82" s="2">
        <v>0</v>
      </c>
      <c r="Z82" s="2">
        <v>0.5</v>
      </c>
      <c r="AA82" s="2">
        <v>0.5</v>
      </c>
      <c r="AB82" s="2">
        <v>0.25</v>
      </c>
      <c r="AC82" s="2">
        <v>1</v>
      </c>
      <c r="AD82" s="2">
        <v>35</v>
      </c>
      <c r="AE82" s="2">
        <v>5120</v>
      </c>
      <c r="AF82" s="2">
        <v>70</v>
      </c>
      <c r="AG82" s="2">
        <v>325</v>
      </c>
      <c r="AH82" s="2">
        <v>190</v>
      </c>
      <c r="AI82" s="2">
        <v>70</v>
      </c>
      <c r="AJ82" s="1">
        <v>1000000</v>
      </c>
      <c r="AK82" s="1">
        <v>0.3</v>
      </c>
      <c r="AL82" s="1">
        <v>25</v>
      </c>
      <c r="AM82" s="2" t="s">
        <v>52</v>
      </c>
      <c r="AN82" s="2" t="str">
        <f t="shared" si="1"/>
        <v/>
      </c>
      <c r="AO82" s="3">
        <v>81</v>
      </c>
      <c r="AP82" s="3">
        <v>95</v>
      </c>
      <c r="AQ82" s="3">
        <v>55</v>
      </c>
      <c r="AR82" s="3">
        <v>45</v>
      </c>
      <c r="AS82" s="1">
        <v>6</v>
      </c>
      <c r="AT82" s="3">
        <v>1</v>
      </c>
      <c r="AU82" s="3" t="s">
        <v>3051</v>
      </c>
    </row>
    <row r="83" spans="1:47" x14ac:dyDescent="0.3">
      <c r="A83" s="1" t="s">
        <v>265</v>
      </c>
      <c r="B83" s="1" t="s">
        <v>264</v>
      </c>
      <c r="C83" s="1" t="s">
        <v>115</v>
      </c>
      <c r="D83" s="1" t="s">
        <v>263</v>
      </c>
      <c r="E83" s="1" t="s">
        <v>260</v>
      </c>
      <c r="F83" t="s">
        <v>3134</v>
      </c>
      <c r="G83" t="s">
        <v>3107</v>
      </c>
      <c r="H83" t="s">
        <v>3243</v>
      </c>
      <c r="I83" t="s">
        <v>52</v>
      </c>
      <c r="J83" t="s">
        <v>52</v>
      </c>
      <c r="K83" t="s">
        <v>52</v>
      </c>
      <c r="L83" s="2">
        <v>0.5</v>
      </c>
      <c r="M83" s="2">
        <v>1</v>
      </c>
      <c r="N83" s="2">
        <v>0.5</v>
      </c>
      <c r="O83" s="2">
        <v>0.5</v>
      </c>
      <c r="P83" s="2">
        <v>0.5</v>
      </c>
      <c r="Q83" s="2">
        <v>2</v>
      </c>
      <c r="R83" s="2">
        <v>2</v>
      </c>
      <c r="S83" s="2">
        <v>0.25</v>
      </c>
      <c r="T83" s="2">
        <v>1</v>
      </c>
      <c r="U83" s="2">
        <v>0.5</v>
      </c>
      <c r="V83" s="2">
        <v>4</v>
      </c>
      <c r="W83" s="2">
        <v>0.5</v>
      </c>
      <c r="X83" s="2">
        <v>0.5</v>
      </c>
      <c r="Y83" s="2">
        <v>0</v>
      </c>
      <c r="Z83" s="2">
        <v>0.5</v>
      </c>
      <c r="AA83" s="2">
        <v>0.5</v>
      </c>
      <c r="AB83" s="2">
        <v>0.25</v>
      </c>
      <c r="AC83" s="2">
        <v>1</v>
      </c>
      <c r="AD83" s="2">
        <v>60</v>
      </c>
      <c r="AE83" s="2">
        <v>5120</v>
      </c>
      <c r="AF83" s="2">
        <v>70</v>
      </c>
      <c r="AG83" s="2">
        <v>465</v>
      </c>
      <c r="AH83" s="2">
        <v>60</v>
      </c>
      <c r="AI83" s="2">
        <v>95</v>
      </c>
      <c r="AJ83" s="1">
        <v>1000000</v>
      </c>
      <c r="AK83" s="1">
        <v>1</v>
      </c>
      <c r="AL83" s="1">
        <v>50</v>
      </c>
      <c r="AM83" s="2" t="s">
        <v>52</v>
      </c>
      <c r="AN83" s="2" t="str">
        <f t="shared" si="1"/>
        <v/>
      </c>
      <c r="AO83" s="3">
        <v>82</v>
      </c>
      <c r="AP83" s="3">
        <v>120</v>
      </c>
      <c r="AQ83" s="3">
        <v>70</v>
      </c>
      <c r="AR83" s="3">
        <v>70</v>
      </c>
      <c r="AS83" s="1">
        <v>60</v>
      </c>
      <c r="AT83" s="3">
        <v>1</v>
      </c>
      <c r="AU83" s="3" t="s">
        <v>3051</v>
      </c>
    </row>
    <row r="84" spans="1:47" x14ac:dyDescent="0.3">
      <c r="A84" s="1" t="s">
        <v>268</v>
      </c>
      <c r="B84" s="1" t="s">
        <v>267</v>
      </c>
      <c r="C84" s="1" t="s">
        <v>90</v>
      </c>
      <c r="D84" s="1" t="s">
        <v>58</v>
      </c>
      <c r="E84" s="1" t="s">
        <v>266</v>
      </c>
      <c r="F84" t="s">
        <v>3118</v>
      </c>
      <c r="G84" t="s">
        <v>3126</v>
      </c>
      <c r="H84" t="s">
        <v>3191</v>
      </c>
      <c r="I84" t="s">
        <v>52</v>
      </c>
      <c r="J84" t="s">
        <v>52</v>
      </c>
      <c r="K84" t="s">
        <v>52</v>
      </c>
      <c r="L84" s="2">
        <v>0.5</v>
      </c>
      <c r="M84" s="2">
        <v>1</v>
      </c>
      <c r="N84" s="2">
        <v>1</v>
      </c>
      <c r="O84" s="2">
        <v>2</v>
      </c>
      <c r="P84" s="2">
        <v>1</v>
      </c>
      <c r="Q84" s="2">
        <v>1</v>
      </c>
      <c r="R84" s="2">
        <v>1</v>
      </c>
      <c r="S84" s="2">
        <v>1</v>
      </c>
      <c r="T84" s="2">
        <v>0</v>
      </c>
      <c r="U84" s="2">
        <v>0.5</v>
      </c>
      <c r="V84" s="2">
        <v>0</v>
      </c>
      <c r="W84" s="2">
        <v>2</v>
      </c>
      <c r="X84" s="2">
        <v>1</v>
      </c>
      <c r="Y84" s="2">
        <v>1</v>
      </c>
      <c r="Z84" s="2">
        <v>1</v>
      </c>
      <c r="AA84" s="2">
        <v>2</v>
      </c>
      <c r="AB84" s="2">
        <v>1</v>
      </c>
      <c r="AC84" s="2">
        <v>1</v>
      </c>
      <c r="AD84" s="2">
        <v>90</v>
      </c>
      <c r="AE84" s="2">
        <v>5120</v>
      </c>
      <c r="AF84" s="2">
        <v>70</v>
      </c>
      <c r="AG84" s="2">
        <v>377</v>
      </c>
      <c r="AH84" s="2">
        <v>45</v>
      </c>
      <c r="AI84" s="2">
        <v>55</v>
      </c>
      <c r="AJ84" s="1">
        <v>1000000</v>
      </c>
      <c r="AK84" s="1">
        <v>0.8</v>
      </c>
      <c r="AL84" s="1">
        <v>52</v>
      </c>
      <c r="AM84" s="2">
        <v>50</v>
      </c>
      <c r="AN84" s="2">
        <f t="shared" si="1"/>
        <v>50</v>
      </c>
      <c r="AO84" s="3">
        <v>83</v>
      </c>
      <c r="AP84" s="3">
        <v>58</v>
      </c>
      <c r="AQ84" s="3">
        <v>62</v>
      </c>
      <c r="AR84" s="3">
        <v>60</v>
      </c>
      <c r="AS84" s="1">
        <v>15</v>
      </c>
      <c r="AT84" s="3">
        <v>1</v>
      </c>
      <c r="AU84" s="3" t="s">
        <v>3051</v>
      </c>
    </row>
    <row r="85" spans="1:47" x14ac:dyDescent="0.3">
      <c r="A85" s="1" t="s">
        <v>271</v>
      </c>
      <c r="B85" s="1" t="s">
        <v>270</v>
      </c>
      <c r="C85" s="1" t="s">
        <v>90</v>
      </c>
      <c r="D85" s="1" t="s">
        <v>58</v>
      </c>
      <c r="E85" s="1" t="s">
        <v>269</v>
      </c>
      <c r="F85" t="s">
        <v>3119</v>
      </c>
      <c r="G85" t="s">
        <v>3142</v>
      </c>
      <c r="H85" t="s">
        <v>3227</v>
      </c>
      <c r="I85" t="s">
        <v>52</v>
      </c>
      <c r="J85" t="s">
        <v>52</v>
      </c>
      <c r="K85" t="s">
        <v>52</v>
      </c>
      <c r="L85" s="2">
        <v>0.5</v>
      </c>
      <c r="M85" s="2">
        <v>1</v>
      </c>
      <c r="N85" s="2">
        <v>1</v>
      </c>
      <c r="O85" s="2">
        <v>2</v>
      </c>
      <c r="P85" s="2">
        <v>1</v>
      </c>
      <c r="Q85" s="2">
        <v>1</v>
      </c>
      <c r="R85" s="2">
        <v>1</v>
      </c>
      <c r="S85" s="2">
        <v>1</v>
      </c>
      <c r="T85" s="2">
        <v>0</v>
      </c>
      <c r="U85" s="2">
        <v>0.5</v>
      </c>
      <c r="V85" s="2">
        <v>0</v>
      </c>
      <c r="W85" s="2">
        <v>2</v>
      </c>
      <c r="X85" s="2">
        <v>1</v>
      </c>
      <c r="Y85" s="2">
        <v>1</v>
      </c>
      <c r="Z85" s="2">
        <v>1</v>
      </c>
      <c r="AA85" s="2">
        <v>2</v>
      </c>
      <c r="AB85" s="2">
        <v>1</v>
      </c>
      <c r="AC85" s="2">
        <v>1</v>
      </c>
      <c r="AD85" s="2">
        <v>85</v>
      </c>
      <c r="AE85" s="2">
        <v>5120</v>
      </c>
      <c r="AF85" s="2">
        <v>70</v>
      </c>
      <c r="AG85" s="2">
        <v>310</v>
      </c>
      <c r="AH85" s="2">
        <v>190</v>
      </c>
      <c r="AI85" s="2">
        <v>45</v>
      </c>
      <c r="AJ85" s="1">
        <v>1000000</v>
      </c>
      <c r="AK85" s="1">
        <v>1.4</v>
      </c>
      <c r="AL85" s="1">
        <v>35</v>
      </c>
      <c r="AM85" s="2">
        <v>50</v>
      </c>
      <c r="AN85" s="2">
        <f t="shared" si="1"/>
        <v>50</v>
      </c>
      <c r="AO85" s="3">
        <v>84</v>
      </c>
      <c r="AP85" s="3">
        <v>35</v>
      </c>
      <c r="AQ85" s="3">
        <v>35</v>
      </c>
      <c r="AR85" s="3">
        <v>75</v>
      </c>
      <c r="AS85" s="1">
        <v>39.200000000000003</v>
      </c>
      <c r="AT85" s="3">
        <v>1</v>
      </c>
      <c r="AU85" s="3" t="s">
        <v>3051</v>
      </c>
    </row>
    <row r="86" spans="1:47" x14ac:dyDescent="0.3">
      <c r="A86" s="1" t="s">
        <v>274</v>
      </c>
      <c r="B86" s="1" t="s">
        <v>273</v>
      </c>
      <c r="C86" s="1" t="s">
        <v>90</v>
      </c>
      <c r="D86" s="1" t="s">
        <v>58</v>
      </c>
      <c r="E86" s="1" t="s">
        <v>272</v>
      </c>
      <c r="F86" t="s">
        <v>3119</v>
      </c>
      <c r="G86" t="s">
        <v>3142</v>
      </c>
      <c r="H86" t="s">
        <v>3227</v>
      </c>
      <c r="I86" t="s">
        <v>52</v>
      </c>
      <c r="J86" t="s">
        <v>52</v>
      </c>
      <c r="K86" t="s">
        <v>52</v>
      </c>
      <c r="L86" s="2">
        <v>0.5</v>
      </c>
      <c r="M86" s="2">
        <v>1</v>
      </c>
      <c r="N86" s="2">
        <v>1</v>
      </c>
      <c r="O86" s="2">
        <v>2</v>
      </c>
      <c r="P86" s="2">
        <v>1</v>
      </c>
      <c r="Q86" s="2">
        <v>1</v>
      </c>
      <c r="R86" s="2">
        <v>1</v>
      </c>
      <c r="S86" s="2">
        <v>1</v>
      </c>
      <c r="T86" s="2">
        <v>0</v>
      </c>
      <c r="U86" s="2">
        <v>0.5</v>
      </c>
      <c r="V86" s="2">
        <v>0</v>
      </c>
      <c r="W86" s="2">
        <v>2</v>
      </c>
      <c r="X86" s="2">
        <v>1</v>
      </c>
      <c r="Y86" s="2">
        <v>1</v>
      </c>
      <c r="Z86" s="2">
        <v>1</v>
      </c>
      <c r="AA86" s="2">
        <v>2</v>
      </c>
      <c r="AB86" s="2">
        <v>1</v>
      </c>
      <c r="AC86" s="2">
        <v>1</v>
      </c>
      <c r="AD86" s="2">
        <v>110</v>
      </c>
      <c r="AE86" s="2">
        <v>5120</v>
      </c>
      <c r="AF86" s="2">
        <v>70</v>
      </c>
      <c r="AG86" s="2">
        <v>470</v>
      </c>
      <c r="AH86" s="2">
        <v>45</v>
      </c>
      <c r="AI86" s="2">
        <v>70</v>
      </c>
      <c r="AJ86" s="1">
        <v>1000000</v>
      </c>
      <c r="AK86" s="1">
        <v>1.8</v>
      </c>
      <c r="AL86" s="1">
        <v>60</v>
      </c>
      <c r="AM86" s="2">
        <v>50</v>
      </c>
      <c r="AN86" s="2">
        <f t="shared" si="1"/>
        <v>50</v>
      </c>
      <c r="AO86" s="3">
        <v>85</v>
      </c>
      <c r="AP86" s="3">
        <v>60</v>
      </c>
      <c r="AQ86" s="3">
        <v>60</v>
      </c>
      <c r="AR86" s="3">
        <v>110</v>
      </c>
      <c r="AS86" s="1">
        <v>85.2</v>
      </c>
      <c r="AT86" s="3">
        <v>1</v>
      </c>
      <c r="AU86" s="3" t="s">
        <v>3051</v>
      </c>
    </row>
    <row r="87" spans="1:47" x14ac:dyDescent="0.3">
      <c r="A87" s="1" t="s">
        <v>277</v>
      </c>
      <c r="B87" s="1" t="s">
        <v>276</v>
      </c>
      <c r="C87" s="1" t="s">
        <v>62</v>
      </c>
      <c r="D87" s="1" t="s">
        <v>52</v>
      </c>
      <c r="E87" s="1" t="s">
        <v>275</v>
      </c>
      <c r="F87" t="s">
        <v>3135</v>
      </c>
      <c r="G87" t="s">
        <v>3071</v>
      </c>
      <c r="H87" t="s">
        <v>3188</v>
      </c>
      <c r="I87" t="s">
        <v>52</v>
      </c>
      <c r="J87" t="s">
        <v>52</v>
      </c>
      <c r="K87" t="s">
        <v>52</v>
      </c>
      <c r="L87" s="2">
        <v>1</v>
      </c>
      <c r="M87" s="2">
        <v>1</v>
      </c>
      <c r="N87" s="2">
        <v>1</v>
      </c>
      <c r="O87" s="2">
        <v>2</v>
      </c>
      <c r="P87" s="2">
        <v>1</v>
      </c>
      <c r="Q87" s="2">
        <v>1</v>
      </c>
      <c r="R87" s="2">
        <v>0.5</v>
      </c>
      <c r="S87" s="2">
        <v>1</v>
      </c>
      <c r="T87" s="2">
        <v>1</v>
      </c>
      <c r="U87" s="2">
        <v>2</v>
      </c>
      <c r="V87" s="2">
        <v>1</v>
      </c>
      <c r="W87" s="2">
        <v>0.5</v>
      </c>
      <c r="X87" s="2">
        <v>1</v>
      </c>
      <c r="Y87" s="2">
        <v>1</v>
      </c>
      <c r="Z87" s="2">
        <v>1</v>
      </c>
      <c r="AA87" s="2">
        <v>1</v>
      </c>
      <c r="AB87" s="2">
        <v>0.5</v>
      </c>
      <c r="AC87" s="2">
        <v>0.5</v>
      </c>
      <c r="AD87" s="2">
        <v>45</v>
      </c>
      <c r="AE87" s="2">
        <v>5120</v>
      </c>
      <c r="AF87" s="2">
        <v>70</v>
      </c>
      <c r="AG87" s="2">
        <v>325</v>
      </c>
      <c r="AH87" s="2">
        <v>190</v>
      </c>
      <c r="AI87" s="2">
        <v>55</v>
      </c>
      <c r="AJ87" s="1">
        <v>1000000</v>
      </c>
      <c r="AK87" s="1">
        <v>1.1000000000000001</v>
      </c>
      <c r="AL87" s="1">
        <v>65</v>
      </c>
      <c r="AM87" s="2">
        <v>50</v>
      </c>
      <c r="AN87" s="2">
        <f t="shared" si="1"/>
        <v>50</v>
      </c>
      <c r="AO87" s="3">
        <v>86</v>
      </c>
      <c r="AP87" s="3">
        <v>45</v>
      </c>
      <c r="AQ87" s="3">
        <v>70</v>
      </c>
      <c r="AR87" s="3">
        <v>45</v>
      </c>
      <c r="AS87" s="1">
        <v>90</v>
      </c>
      <c r="AT87" s="3">
        <v>1</v>
      </c>
      <c r="AU87" s="3" t="s">
        <v>3051</v>
      </c>
    </row>
    <row r="88" spans="1:47" x14ac:dyDescent="0.3">
      <c r="A88" s="1" t="s">
        <v>279</v>
      </c>
      <c r="B88" s="1" t="s">
        <v>278</v>
      </c>
      <c r="C88" s="1" t="s">
        <v>62</v>
      </c>
      <c r="D88" s="1" t="s">
        <v>121</v>
      </c>
      <c r="E88" s="1" t="s">
        <v>275</v>
      </c>
      <c r="F88" t="s">
        <v>3135</v>
      </c>
      <c r="G88" t="s">
        <v>3071</v>
      </c>
      <c r="H88" t="s">
        <v>3188</v>
      </c>
      <c r="I88" t="s">
        <v>52</v>
      </c>
      <c r="J88" t="s">
        <v>52</v>
      </c>
      <c r="K88" t="s">
        <v>52</v>
      </c>
      <c r="L88" s="2">
        <v>1</v>
      </c>
      <c r="M88" s="2">
        <v>1</v>
      </c>
      <c r="N88" s="2">
        <v>1</v>
      </c>
      <c r="O88" s="2">
        <v>2</v>
      </c>
      <c r="P88" s="2">
        <v>1</v>
      </c>
      <c r="Q88" s="2">
        <v>2</v>
      </c>
      <c r="R88" s="2">
        <v>1</v>
      </c>
      <c r="S88" s="2">
        <v>1</v>
      </c>
      <c r="T88" s="2">
        <v>1</v>
      </c>
      <c r="U88" s="2">
        <v>2</v>
      </c>
      <c r="V88" s="2">
        <v>1</v>
      </c>
      <c r="W88" s="2">
        <v>0.25</v>
      </c>
      <c r="X88" s="2">
        <v>1</v>
      </c>
      <c r="Y88" s="2">
        <v>1</v>
      </c>
      <c r="Z88" s="2">
        <v>1</v>
      </c>
      <c r="AA88" s="2">
        <v>2</v>
      </c>
      <c r="AB88" s="2">
        <v>1</v>
      </c>
      <c r="AC88" s="2">
        <v>0.5</v>
      </c>
      <c r="AD88" s="2">
        <v>70</v>
      </c>
      <c r="AE88" s="2">
        <v>5120</v>
      </c>
      <c r="AF88" s="2">
        <v>70</v>
      </c>
      <c r="AG88" s="2">
        <v>475</v>
      </c>
      <c r="AH88" s="2">
        <v>75</v>
      </c>
      <c r="AI88" s="2">
        <v>80</v>
      </c>
      <c r="AJ88" s="1">
        <v>1000000</v>
      </c>
      <c r="AK88" s="1">
        <v>1.7</v>
      </c>
      <c r="AL88" s="1">
        <v>90</v>
      </c>
      <c r="AM88" s="2">
        <v>50</v>
      </c>
      <c r="AN88" s="2">
        <f t="shared" si="1"/>
        <v>50</v>
      </c>
      <c r="AO88" s="3">
        <v>87</v>
      </c>
      <c r="AP88" s="3">
        <v>70</v>
      </c>
      <c r="AQ88" s="3">
        <v>95</v>
      </c>
      <c r="AR88" s="3">
        <v>70</v>
      </c>
      <c r="AS88" s="1">
        <v>120</v>
      </c>
      <c r="AT88" s="3">
        <v>1</v>
      </c>
      <c r="AU88" s="3" t="s">
        <v>3051</v>
      </c>
    </row>
    <row r="89" spans="1:47" x14ac:dyDescent="0.3">
      <c r="A89" s="1" t="s">
        <v>282</v>
      </c>
      <c r="B89" s="1" t="s">
        <v>281</v>
      </c>
      <c r="C89" s="1" t="s">
        <v>43</v>
      </c>
      <c r="D89" s="1" t="s">
        <v>43</v>
      </c>
      <c r="E89" s="1" t="s">
        <v>280</v>
      </c>
      <c r="F89" t="s">
        <v>3136</v>
      </c>
      <c r="G89" t="s">
        <v>3168</v>
      </c>
      <c r="H89" t="s">
        <v>3244</v>
      </c>
      <c r="I89" t="s">
        <v>3244</v>
      </c>
      <c r="J89" t="s">
        <v>3177</v>
      </c>
      <c r="K89" t="s">
        <v>3245</v>
      </c>
      <c r="L89" s="2">
        <v>0.5</v>
      </c>
      <c r="M89" s="2">
        <v>1</v>
      </c>
      <c r="N89" s="2">
        <v>1</v>
      </c>
      <c r="O89" s="2">
        <v>1</v>
      </c>
      <c r="P89" s="2">
        <v>0.5</v>
      </c>
      <c r="Q89" s="2">
        <v>0.5</v>
      </c>
      <c r="R89" s="2">
        <v>1</v>
      </c>
      <c r="S89" s="2">
        <v>1</v>
      </c>
      <c r="T89" s="2">
        <v>1</v>
      </c>
      <c r="U89" s="2">
        <v>0.5</v>
      </c>
      <c r="V89" s="2">
        <v>2</v>
      </c>
      <c r="W89" s="2">
        <v>1</v>
      </c>
      <c r="X89" s="2">
        <v>1</v>
      </c>
      <c r="Y89" s="2">
        <v>0.5</v>
      </c>
      <c r="Z89" s="2">
        <v>2</v>
      </c>
      <c r="AA89" s="2">
        <v>1</v>
      </c>
      <c r="AB89" s="2">
        <v>1</v>
      </c>
      <c r="AC89" s="2">
        <v>1</v>
      </c>
      <c r="AD89" s="2">
        <v>80</v>
      </c>
      <c r="AE89" s="2">
        <v>5120</v>
      </c>
      <c r="AF89" s="2">
        <v>70</v>
      </c>
      <c r="AG89" s="2">
        <v>325</v>
      </c>
      <c r="AH89" s="2">
        <v>190</v>
      </c>
      <c r="AI89" s="2">
        <v>50</v>
      </c>
      <c r="AJ89" s="1">
        <v>1000000</v>
      </c>
      <c r="AK89" s="1">
        <v>0.9</v>
      </c>
      <c r="AL89" s="1">
        <v>80</v>
      </c>
      <c r="AM89" s="2">
        <v>50</v>
      </c>
      <c r="AN89" s="2">
        <f t="shared" si="1"/>
        <v>50</v>
      </c>
      <c r="AO89" s="3">
        <v>88</v>
      </c>
      <c r="AP89" s="3">
        <v>40</v>
      </c>
      <c r="AQ89" s="3">
        <v>50</v>
      </c>
      <c r="AR89" s="3">
        <v>25</v>
      </c>
      <c r="AS89" s="1">
        <v>30</v>
      </c>
      <c r="AT89" s="3">
        <v>1</v>
      </c>
      <c r="AU89" s="3" t="s">
        <v>3051</v>
      </c>
    </row>
    <row r="90" spans="1:47" x14ac:dyDescent="0.3">
      <c r="A90" s="1" t="s">
        <v>284</v>
      </c>
      <c r="B90" s="1" t="s">
        <v>283</v>
      </c>
      <c r="C90" s="1" t="s">
        <v>43</v>
      </c>
      <c r="D90" s="1" t="s">
        <v>43</v>
      </c>
      <c r="E90" s="1" t="s">
        <v>280</v>
      </c>
      <c r="F90" t="s">
        <v>3136</v>
      </c>
      <c r="G90" t="s">
        <v>3168</v>
      </c>
      <c r="H90" t="s">
        <v>3244</v>
      </c>
      <c r="I90" t="s">
        <v>3244</v>
      </c>
      <c r="J90" t="s">
        <v>3177</v>
      </c>
      <c r="K90" t="s">
        <v>3245</v>
      </c>
      <c r="L90" s="2">
        <v>0.5</v>
      </c>
      <c r="M90" s="2">
        <v>1</v>
      </c>
      <c r="N90" s="2">
        <v>1</v>
      </c>
      <c r="O90" s="2">
        <v>1</v>
      </c>
      <c r="P90" s="2">
        <v>0.5</v>
      </c>
      <c r="Q90" s="2">
        <v>0.5</v>
      </c>
      <c r="R90" s="2">
        <v>1</v>
      </c>
      <c r="S90" s="2">
        <v>1</v>
      </c>
      <c r="T90" s="2">
        <v>1</v>
      </c>
      <c r="U90" s="2">
        <v>0.5</v>
      </c>
      <c r="V90" s="2">
        <v>2</v>
      </c>
      <c r="W90" s="2">
        <v>1</v>
      </c>
      <c r="X90" s="2">
        <v>1</v>
      </c>
      <c r="Y90" s="2">
        <v>0.5</v>
      </c>
      <c r="Z90" s="2">
        <v>2</v>
      </c>
      <c r="AA90" s="2">
        <v>1</v>
      </c>
      <c r="AB90" s="2">
        <v>1</v>
      </c>
      <c r="AC90" s="2">
        <v>1</v>
      </c>
      <c r="AD90" s="2">
        <v>105</v>
      </c>
      <c r="AE90" s="2">
        <v>5120</v>
      </c>
      <c r="AF90" s="2">
        <v>70</v>
      </c>
      <c r="AG90" s="2">
        <v>500</v>
      </c>
      <c r="AH90" s="2">
        <v>75</v>
      </c>
      <c r="AI90" s="2">
        <v>75</v>
      </c>
      <c r="AJ90" s="1">
        <v>1000000</v>
      </c>
      <c r="AK90" s="1">
        <v>1.2</v>
      </c>
      <c r="AL90" s="1">
        <v>105</v>
      </c>
      <c r="AM90" s="2">
        <v>50</v>
      </c>
      <c r="AN90" s="2">
        <f t="shared" si="1"/>
        <v>50</v>
      </c>
      <c r="AO90" s="3">
        <v>89</v>
      </c>
      <c r="AP90" s="3">
        <v>65</v>
      </c>
      <c r="AQ90" s="3">
        <v>100</v>
      </c>
      <c r="AR90" s="3">
        <v>50</v>
      </c>
      <c r="AS90" s="1">
        <v>30</v>
      </c>
      <c r="AT90" s="3">
        <v>1</v>
      </c>
      <c r="AU90" s="3" t="s">
        <v>3051</v>
      </c>
    </row>
    <row r="91" spans="1:47" x14ac:dyDescent="0.3">
      <c r="A91" s="1" t="s">
        <v>287</v>
      </c>
      <c r="B91" s="1" t="s">
        <v>286</v>
      </c>
      <c r="C91" s="1" t="s">
        <v>62</v>
      </c>
      <c r="D91" s="1" t="s">
        <v>52</v>
      </c>
      <c r="E91" s="1" t="s">
        <v>285</v>
      </c>
      <c r="F91" t="s">
        <v>3103</v>
      </c>
      <c r="G91" t="s">
        <v>3246</v>
      </c>
      <c r="H91" t="s">
        <v>3187</v>
      </c>
      <c r="I91" t="s">
        <v>52</v>
      </c>
      <c r="J91" t="s">
        <v>52</v>
      </c>
      <c r="K91" t="s">
        <v>52</v>
      </c>
      <c r="L91" s="2">
        <v>1</v>
      </c>
      <c r="M91" s="2">
        <v>1</v>
      </c>
      <c r="N91" s="2">
        <v>1</v>
      </c>
      <c r="O91" s="2">
        <v>2</v>
      </c>
      <c r="P91" s="2">
        <v>1</v>
      </c>
      <c r="Q91" s="2">
        <v>1</v>
      </c>
      <c r="R91" s="2">
        <v>0.5</v>
      </c>
      <c r="S91" s="2">
        <v>1</v>
      </c>
      <c r="T91" s="2">
        <v>1</v>
      </c>
      <c r="U91" s="2">
        <v>2</v>
      </c>
      <c r="V91" s="2">
        <v>1</v>
      </c>
      <c r="W91" s="2">
        <v>0.5</v>
      </c>
      <c r="X91" s="2">
        <v>1</v>
      </c>
      <c r="Y91" s="2">
        <v>1</v>
      </c>
      <c r="Z91" s="2">
        <v>1</v>
      </c>
      <c r="AA91" s="2">
        <v>1</v>
      </c>
      <c r="AB91" s="2">
        <v>0.5</v>
      </c>
      <c r="AC91" s="2">
        <v>0.5</v>
      </c>
      <c r="AD91" s="2">
        <v>65</v>
      </c>
      <c r="AE91" s="2">
        <v>5120</v>
      </c>
      <c r="AF91" s="2">
        <v>70</v>
      </c>
      <c r="AG91" s="2">
        <v>305</v>
      </c>
      <c r="AH91" s="2">
        <v>190</v>
      </c>
      <c r="AI91" s="2">
        <v>100</v>
      </c>
      <c r="AJ91" s="1">
        <v>1250000</v>
      </c>
      <c r="AK91" s="1">
        <v>0.3</v>
      </c>
      <c r="AL91" s="1">
        <v>30</v>
      </c>
      <c r="AM91" s="2">
        <v>50</v>
      </c>
      <c r="AN91" s="2">
        <f t="shared" si="1"/>
        <v>50</v>
      </c>
      <c r="AO91" s="3">
        <v>90</v>
      </c>
      <c r="AP91" s="3">
        <v>45</v>
      </c>
      <c r="AQ91" s="3">
        <v>25</v>
      </c>
      <c r="AR91" s="3">
        <v>40</v>
      </c>
      <c r="AS91" s="1">
        <v>4</v>
      </c>
      <c r="AT91" s="3">
        <v>1</v>
      </c>
      <c r="AU91" s="3" t="s">
        <v>3051</v>
      </c>
    </row>
    <row r="92" spans="1:47" x14ac:dyDescent="0.3">
      <c r="A92" s="1" t="s">
        <v>289</v>
      </c>
      <c r="B92" s="1" t="s">
        <v>288</v>
      </c>
      <c r="C92" s="1" t="s">
        <v>62</v>
      </c>
      <c r="D92" s="1" t="s">
        <v>121</v>
      </c>
      <c r="E92" s="1" t="s">
        <v>285</v>
      </c>
      <c r="F92" t="s">
        <v>3103</v>
      </c>
      <c r="G92" t="s">
        <v>3246</v>
      </c>
      <c r="H92" t="s">
        <v>3187</v>
      </c>
      <c r="I92" t="s">
        <v>52</v>
      </c>
      <c r="J92" t="s">
        <v>52</v>
      </c>
      <c r="K92" t="s">
        <v>52</v>
      </c>
      <c r="L92" s="2">
        <v>1</v>
      </c>
      <c r="M92" s="2">
        <v>1</v>
      </c>
      <c r="N92" s="2">
        <v>1</v>
      </c>
      <c r="O92" s="2">
        <v>2</v>
      </c>
      <c r="P92" s="2">
        <v>1</v>
      </c>
      <c r="Q92" s="2">
        <v>2</v>
      </c>
      <c r="R92" s="2">
        <v>1</v>
      </c>
      <c r="S92" s="2">
        <v>1</v>
      </c>
      <c r="T92" s="2">
        <v>1</v>
      </c>
      <c r="U92" s="2">
        <v>2</v>
      </c>
      <c r="V92" s="2">
        <v>1</v>
      </c>
      <c r="W92" s="2">
        <v>0.25</v>
      </c>
      <c r="X92" s="2">
        <v>1</v>
      </c>
      <c r="Y92" s="2">
        <v>1</v>
      </c>
      <c r="Z92" s="2">
        <v>1</v>
      </c>
      <c r="AA92" s="2">
        <v>2</v>
      </c>
      <c r="AB92" s="2">
        <v>1</v>
      </c>
      <c r="AC92" s="2">
        <v>0.5</v>
      </c>
      <c r="AD92" s="2">
        <v>95</v>
      </c>
      <c r="AE92" s="2">
        <v>5120</v>
      </c>
      <c r="AF92" s="2">
        <v>70</v>
      </c>
      <c r="AG92" s="2">
        <v>525</v>
      </c>
      <c r="AH92" s="2">
        <v>60</v>
      </c>
      <c r="AI92" s="2">
        <v>180</v>
      </c>
      <c r="AJ92" s="1">
        <v>1250000</v>
      </c>
      <c r="AK92" s="1">
        <v>1.5</v>
      </c>
      <c r="AL92" s="1">
        <v>50</v>
      </c>
      <c r="AM92" s="2">
        <v>50</v>
      </c>
      <c r="AN92" s="2">
        <f t="shared" si="1"/>
        <v>50</v>
      </c>
      <c r="AO92" s="3">
        <v>91</v>
      </c>
      <c r="AP92" s="3">
        <v>85</v>
      </c>
      <c r="AQ92" s="3">
        <v>45</v>
      </c>
      <c r="AR92" s="3">
        <v>70</v>
      </c>
      <c r="AS92" s="1">
        <v>132.5</v>
      </c>
      <c r="AT92" s="3">
        <v>1</v>
      </c>
      <c r="AU92" s="3" t="s">
        <v>3051</v>
      </c>
    </row>
    <row r="93" spans="1:47" x14ac:dyDescent="0.3">
      <c r="A93" s="1" t="s">
        <v>292</v>
      </c>
      <c r="B93" s="1" t="s">
        <v>291</v>
      </c>
      <c r="C93" s="1" t="s">
        <v>293</v>
      </c>
      <c r="D93" s="1" t="s">
        <v>43</v>
      </c>
      <c r="E93" s="1" t="s">
        <v>290</v>
      </c>
      <c r="F93" t="s">
        <v>3055</v>
      </c>
      <c r="G93" t="s">
        <v>52</v>
      </c>
      <c r="H93" t="s">
        <v>52</v>
      </c>
      <c r="I93" t="s">
        <v>52</v>
      </c>
      <c r="J93" t="s">
        <v>52</v>
      </c>
      <c r="K93" t="s">
        <v>52</v>
      </c>
      <c r="L93" s="2">
        <v>0.25</v>
      </c>
      <c r="M93" s="2">
        <v>2</v>
      </c>
      <c r="N93" s="2">
        <v>1</v>
      </c>
      <c r="O93" s="2">
        <v>1</v>
      </c>
      <c r="P93" s="2">
        <v>0.5</v>
      </c>
      <c r="Q93" s="2">
        <v>0</v>
      </c>
      <c r="R93" s="2">
        <v>1</v>
      </c>
      <c r="S93" s="2">
        <v>1</v>
      </c>
      <c r="T93" s="2">
        <v>2</v>
      </c>
      <c r="U93" s="2">
        <v>0.5</v>
      </c>
      <c r="V93" s="2">
        <v>2</v>
      </c>
      <c r="W93" s="2">
        <v>1</v>
      </c>
      <c r="X93" s="2">
        <v>0</v>
      </c>
      <c r="Y93" s="2">
        <v>0.25</v>
      </c>
      <c r="Z93" s="2">
        <v>2</v>
      </c>
      <c r="AA93" s="2">
        <v>1</v>
      </c>
      <c r="AB93" s="2">
        <v>1</v>
      </c>
      <c r="AC93" s="2">
        <v>1</v>
      </c>
      <c r="AD93" s="2">
        <v>35</v>
      </c>
      <c r="AE93" s="2">
        <v>5120</v>
      </c>
      <c r="AF93" s="2">
        <v>70</v>
      </c>
      <c r="AG93" s="2">
        <v>310</v>
      </c>
      <c r="AH93" s="2">
        <v>190</v>
      </c>
      <c r="AI93" s="2">
        <v>30</v>
      </c>
      <c r="AJ93" s="1">
        <v>1059860</v>
      </c>
      <c r="AK93" s="1">
        <v>1.3</v>
      </c>
      <c r="AL93" s="1">
        <v>30</v>
      </c>
      <c r="AM93" s="2">
        <v>50</v>
      </c>
      <c r="AN93" s="2">
        <f t="shared" si="1"/>
        <v>50</v>
      </c>
      <c r="AO93" s="3">
        <v>92</v>
      </c>
      <c r="AP93" s="3">
        <v>100</v>
      </c>
      <c r="AQ93" s="3">
        <v>35</v>
      </c>
      <c r="AR93" s="3">
        <v>80</v>
      </c>
      <c r="AS93" s="1">
        <v>0.1</v>
      </c>
      <c r="AT93" s="3">
        <v>1</v>
      </c>
      <c r="AU93" s="3" t="s">
        <v>3051</v>
      </c>
    </row>
    <row r="94" spans="1:47" x14ac:dyDescent="0.3">
      <c r="A94" s="1" t="s">
        <v>295</v>
      </c>
      <c r="B94" s="1" t="s">
        <v>294</v>
      </c>
      <c r="C94" s="1" t="s">
        <v>293</v>
      </c>
      <c r="D94" s="1" t="s">
        <v>43</v>
      </c>
      <c r="E94" s="1" t="s">
        <v>290</v>
      </c>
      <c r="F94" t="s">
        <v>3055</v>
      </c>
      <c r="G94" t="s">
        <v>52</v>
      </c>
      <c r="H94" t="s">
        <v>52</v>
      </c>
      <c r="I94" t="s">
        <v>52</v>
      </c>
      <c r="J94" t="s">
        <v>52</v>
      </c>
      <c r="K94" t="s">
        <v>52</v>
      </c>
      <c r="L94" s="2">
        <v>0.25</v>
      </c>
      <c r="M94" s="2">
        <v>2</v>
      </c>
      <c r="N94" s="2">
        <v>1</v>
      </c>
      <c r="O94" s="2">
        <v>1</v>
      </c>
      <c r="P94" s="2">
        <v>0.5</v>
      </c>
      <c r="Q94" s="2">
        <v>0</v>
      </c>
      <c r="R94" s="2">
        <v>1</v>
      </c>
      <c r="S94" s="2">
        <v>1</v>
      </c>
      <c r="T94" s="2">
        <v>2</v>
      </c>
      <c r="U94" s="2">
        <v>0.5</v>
      </c>
      <c r="V94" s="2">
        <v>2</v>
      </c>
      <c r="W94" s="2">
        <v>1</v>
      </c>
      <c r="X94" s="2">
        <v>0</v>
      </c>
      <c r="Y94" s="2">
        <v>0.25</v>
      </c>
      <c r="Z94" s="2">
        <v>2</v>
      </c>
      <c r="AA94" s="2">
        <v>1</v>
      </c>
      <c r="AB94" s="2">
        <v>1</v>
      </c>
      <c r="AC94" s="2">
        <v>1</v>
      </c>
      <c r="AD94" s="2">
        <v>50</v>
      </c>
      <c r="AE94" s="2">
        <v>5120</v>
      </c>
      <c r="AF94" s="2">
        <v>70</v>
      </c>
      <c r="AG94" s="2">
        <v>405</v>
      </c>
      <c r="AH94" s="2">
        <v>90</v>
      </c>
      <c r="AI94" s="2">
        <v>45</v>
      </c>
      <c r="AJ94" s="1">
        <v>1059860</v>
      </c>
      <c r="AK94" s="1">
        <v>1.6</v>
      </c>
      <c r="AL94" s="1">
        <v>45</v>
      </c>
      <c r="AM94" s="2">
        <v>50</v>
      </c>
      <c r="AN94" s="2">
        <f t="shared" si="1"/>
        <v>50</v>
      </c>
      <c r="AO94" s="3">
        <v>93</v>
      </c>
      <c r="AP94" s="3">
        <v>115</v>
      </c>
      <c r="AQ94" s="3">
        <v>55</v>
      </c>
      <c r="AR94" s="3">
        <v>95</v>
      </c>
      <c r="AS94" s="1">
        <v>0.1</v>
      </c>
      <c r="AT94" s="3">
        <v>1</v>
      </c>
      <c r="AU94" s="3" t="s">
        <v>3051</v>
      </c>
    </row>
    <row r="95" spans="1:47" x14ac:dyDescent="0.3">
      <c r="A95" s="1" t="s">
        <v>298</v>
      </c>
      <c r="B95" s="1" t="s">
        <v>297</v>
      </c>
      <c r="C95" s="1" t="s">
        <v>293</v>
      </c>
      <c r="D95" s="1" t="s">
        <v>43</v>
      </c>
      <c r="E95" s="1" t="s">
        <v>296</v>
      </c>
      <c r="F95" t="s">
        <v>3056</v>
      </c>
      <c r="G95" t="s">
        <v>52</v>
      </c>
      <c r="H95" t="s">
        <v>52</v>
      </c>
      <c r="I95" t="s">
        <v>52</v>
      </c>
      <c r="J95" t="s">
        <v>52</v>
      </c>
      <c r="K95" t="s">
        <v>52</v>
      </c>
      <c r="L95" s="2">
        <v>0.25</v>
      </c>
      <c r="M95" s="2">
        <v>2</v>
      </c>
      <c r="N95" s="2">
        <v>1</v>
      </c>
      <c r="O95" s="2">
        <v>1</v>
      </c>
      <c r="P95" s="2">
        <v>0.5</v>
      </c>
      <c r="Q95" s="2">
        <v>0</v>
      </c>
      <c r="R95" s="2">
        <v>1</v>
      </c>
      <c r="S95" s="2">
        <v>1</v>
      </c>
      <c r="T95" s="2">
        <v>2</v>
      </c>
      <c r="U95" s="2">
        <v>0.5</v>
      </c>
      <c r="V95" s="2">
        <v>2</v>
      </c>
      <c r="W95" s="2">
        <v>1</v>
      </c>
      <c r="X95" s="2">
        <v>0</v>
      </c>
      <c r="Y95" s="2">
        <v>0.25</v>
      </c>
      <c r="Z95" s="2">
        <v>2</v>
      </c>
      <c r="AA95" s="2">
        <v>1</v>
      </c>
      <c r="AB95" s="2">
        <v>1</v>
      </c>
      <c r="AC95" s="2">
        <v>1</v>
      </c>
      <c r="AD95" s="2">
        <v>65</v>
      </c>
      <c r="AE95" s="2">
        <v>5120</v>
      </c>
      <c r="AF95" s="2">
        <v>70</v>
      </c>
      <c r="AG95" s="2">
        <v>600</v>
      </c>
      <c r="AH95" s="2">
        <v>45</v>
      </c>
      <c r="AI95" s="2">
        <v>80</v>
      </c>
      <c r="AJ95" s="1">
        <v>1059860</v>
      </c>
      <c r="AK95" s="1">
        <v>1.5</v>
      </c>
      <c r="AL95" s="1">
        <v>60</v>
      </c>
      <c r="AM95" s="2">
        <v>50</v>
      </c>
      <c r="AN95" s="2">
        <f t="shared" si="1"/>
        <v>50</v>
      </c>
      <c r="AO95" s="3">
        <v>94</v>
      </c>
      <c r="AP95" s="3">
        <v>170</v>
      </c>
      <c r="AQ95" s="3">
        <v>95</v>
      </c>
      <c r="AR95" s="3">
        <v>130</v>
      </c>
      <c r="AS95" s="1">
        <v>40.5</v>
      </c>
      <c r="AT95" s="3">
        <v>1</v>
      </c>
      <c r="AU95" s="3" t="s">
        <v>3051</v>
      </c>
    </row>
    <row r="96" spans="1:47" x14ac:dyDescent="0.3">
      <c r="A96" s="1" t="s">
        <v>301</v>
      </c>
      <c r="B96" s="1" t="s">
        <v>300</v>
      </c>
      <c r="C96" s="1" t="s">
        <v>243</v>
      </c>
      <c r="D96" s="1" t="s">
        <v>120</v>
      </c>
      <c r="E96" s="1" t="s">
        <v>299</v>
      </c>
      <c r="F96" t="s">
        <v>3132</v>
      </c>
      <c r="G96" t="s">
        <v>3107</v>
      </c>
      <c r="H96" t="s">
        <v>3247</v>
      </c>
      <c r="I96" t="s">
        <v>52</v>
      </c>
      <c r="J96" t="s">
        <v>52</v>
      </c>
      <c r="K96" t="s">
        <v>52</v>
      </c>
      <c r="L96" s="2">
        <v>1</v>
      </c>
      <c r="M96" s="2">
        <v>1</v>
      </c>
      <c r="N96" s="2">
        <v>1</v>
      </c>
      <c r="O96" s="2">
        <v>0</v>
      </c>
      <c r="P96" s="2">
        <v>1</v>
      </c>
      <c r="Q96" s="2">
        <v>2</v>
      </c>
      <c r="R96" s="2">
        <v>0.5</v>
      </c>
      <c r="S96" s="2">
        <v>0.5</v>
      </c>
      <c r="T96" s="2">
        <v>1</v>
      </c>
      <c r="U96" s="2">
        <v>4</v>
      </c>
      <c r="V96" s="2">
        <v>2</v>
      </c>
      <c r="W96" s="2">
        <v>2</v>
      </c>
      <c r="X96" s="2">
        <v>0.5</v>
      </c>
      <c r="Y96" s="2">
        <v>0.25</v>
      </c>
      <c r="Z96" s="2">
        <v>1</v>
      </c>
      <c r="AA96" s="2">
        <v>0.5</v>
      </c>
      <c r="AB96" s="2">
        <v>2</v>
      </c>
      <c r="AC96" s="2">
        <v>4</v>
      </c>
      <c r="AD96" s="2">
        <v>45</v>
      </c>
      <c r="AE96" s="2">
        <v>6400</v>
      </c>
      <c r="AF96" s="2">
        <v>70</v>
      </c>
      <c r="AG96" s="2">
        <v>385</v>
      </c>
      <c r="AH96" s="2">
        <v>45</v>
      </c>
      <c r="AI96" s="2">
        <v>160</v>
      </c>
      <c r="AJ96" s="1">
        <v>1000000</v>
      </c>
      <c r="AK96" s="1">
        <v>8.8000000000000007</v>
      </c>
      <c r="AL96" s="1">
        <v>35</v>
      </c>
      <c r="AM96" s="2">
        <v>50</v>
      </c>
      <c r="AN96" s="2">
        <f t="shared" si="1"/>
        <v>50</v>
      </c>
      <c r="AO96" s="3">
        <v>95</v>
      </c>
      <c r="AP96" s="3">
        <v>30</v>
      </c>
      <c r="AQ96" s="3">
        <v>45</v>
      </c>
      <c r="AR96" s="3">
        <v>70</v>
      </c>
      <c r="AS96" s="1">
        <v>210</v>
      </c>
      <c r="AT96" s="3">
        <v>1</v>
      </c>
      <c r="AU96" s="3" t="s">
        <v>3051</v>
      </c>
    </row>
    <row r="97" spans="1:47" x14ac:dyDescent="0.3">
      <c r="A97" s="1" t="s">
        <v>304</v>
      </c>
      <c r="B97" s="1" t="s">
        <v>303</v>
      </c>
      <c r="C97" s="1" t="s">
        <v>216</v>
      </c>
      <c r="D97" s="1" t="s">
        <v>52</v>
      </c>
      <c r="E97" s="1" t="s">
        <v>302</v>
      </c>
      <c r="F97" t="s">
        <v>3137</v>
      </c>
      <c r="G97" t="s">
        <v>3178</v>
      </c>
      <c r="H97" t="s">
        <v>3126</v>
      </c>
      <c r="I97" t="s">
        <v>52</v>
      </c>
      <c r="J97" t="s">
        <v>52</v>
      </c>
      <c r="K97" t="s">
        <v>52</v>
      </c>
      <c r="L97" s="2">
        <v>2</v>
      </c>
      <c r="M97" s="2">
        <v>2</v>
      </c>
      <c r="N97" s="2">
        <v>1</v>
      </c>
      <c r="O97" s="2">
        <v>1</v>
      </c>
      <c r="P97" s="2">
        <v>1</v>
      </c>
      <c r="Q97" s="2">
        <v>0.5</v>
      </c>
      <c r="R97" s="2">
        <v>1</v>
      </c>
      <c r="S97" s="2">
        <v>1</v>
      </c>
      <c r="T97" s="2">
        <v>2</v>
      </c>
      <c r="U97" s="2">
        <v>1</v>
      </c>
      <c r="V97" s="2">
        <v>1</v>
      </c>
      <c r="W97" s="2">
        <v>1</v>
      </c>
      <c r="X97" s="2">
        <v>1</v>
      </c>
      <c r="Y97" s="2">
        <v>1</v>
      </c>
      <c r="Z97" s="2">
        <v>0.5</v>
      </c>
      <c r="AA97" s="2">
        <v>1</v>
      </c>
      <c r="AB97" s="2">
        <v>1</v>
      </c>
      <c r="AC97" s="2">
        <v>1</v>
      </c>
      <c r="AD97" s="2">
        <v>48</v>
      </c>
      <c r="AE97" s="2">
        <v>5120</v>
      </c>
      <c r="AF97" s="2">
        <v>70</v>
      </c>
      <c r="AG97" s="2">
        <v>328</v>
      </c>
      <c r="AH97" s="2">
        <v>190</v>
      </c>
      <c r="AI97" s="2">
        <v>45</v>
      </c>
      <c r="AJ97" s="1">
        <v>1000000</v>
      </c>
      <c r="AK97" s="1">
        <v>1</v>
      </c>
      <c r="AL97" s="1">
        <v>60</v>
      </c>
      <c r="AM97" s="2">
        <v>50</v>
      </c>
      <c r="AN97" s="2">
        <f t="shared" si="1"/>
        <v>50</v>
      </c>
      <c r="AO97" s="3">
        <v>96</v>
      </c>
      <c r="AP97" s="3">
        <v>43</v>
      </c>
      <c r="AQ97" s="3">
        <v>90</v>
      </c>
      <c r="AR97" s="3">
        <v>42</v>
      </c>
      <c r="AS97" s="1">
        <v>32.4</v>
      </c>
      <c r="AT97" s="3">
        <v>1</v>
      </c>
      <c r="AU97" s="3" t="s">
        <v>3051</v>
      </c>
    </row>
    <row r="98" spans="1:47" x14ac:dyDescent="0.3">
      <c r="A98" s="1" t="s">
        <v>306</v>
      </c>
      <c r="B98" s="1" t="s">
        <v>305</v>
      </c>
      <c r="C98" s="1" t="s">
        <v>216</v>
      </c>
      <c r="D98" s="1" t="s">
        <v>52</v>
      </c>
      <c r="E98" s="1" t="s">
        <v>302</v>
      </c>
      <c r="F98" t="s">
        <v>3137</v>
      </c>
      <c r="G98" t="s">
        <v>3178</v>
      </c>
      <c r="H98" t="s">
        <v>3126</v>
      </c>
      <c r="I98" t="s">
        <v>52</v>
      </c>
      <c r="J98" t="s">
        <v>52</v>
      </c>
      <c r="K98" t="s">
        <v>52</v>
      </c>
      <c r="L98" s="2">
        <v>2</v>
      </c>
      <c r="M98" s="2">
        <v>2</v>
      </c>
      <c r="N98" s="2">
        <v>1</v>
      </c>
      <c r="O98" s="2">
        <v>1</v>
      </c>
      <c r="P98" s="2">
        <v>1</v>
      </c>
      <c r="Q98" s="2">
        <v>0.5</v>
      </c>
      <c r="R98" s="2">
        <v>1</v>
      </c>
      <c r="S98" s="2">
        <v>1</v>
      </c>
      <c r="T98" s="2">
        <v>2</v>
      </c>
      <c r="U98" s="2">
        <v>1</v>
      </c>
      <c r="V98" s="2">
        <v>1</v>
      </c>
      <c r="W98" s="2">
        <v>1</v>
      </c>
      <c r="X98" s="2">
        <v>1</v>
      </c>
      <c r="Y98" s="2">
        <v>1</v>
      </c>
      <c r="Z98" s="2">
        <v>0.5</v>
      </c>
      <c r="AA98" s="2">
        <v>1</v>
      </c>
      <c r="AB98" s="2">
        <v>1</v>
      </c>
      <c r="AC98" s="2">
        <v>1</v>
      </c>
      <c r="AD98" s="2">
        <v>73</v>
      </c>
      <c r="AE98" s="2">
        <v>5120</v>
      </c>
      <c r="AF98" s="2">
        <v>70</v>
      </c>
      <c r="AG98" s="2">
        <v>483</v>
      </c>
      <c r="AH98" s="2">
        <v>75</v>
      </c>
      <c r="AI98" s="2">
        <v>70</v>
      </c>
      <c r="AJ98" s="1">
        <v>1000000</v>
      </c>
      <c r="AK98" s="1">
        <v>1.6</v>
      </c>
      <c r="AL98" s="1">
        <v>85</v>
      </c>
      <c r="AM98" s="2">
        <v>50</v>
      </c>
      <c r="AN98" s="2">
        <f t="shared" si="1"/>
        <v>50</v>
      </c>
      <c r="AO98" s="3">
        <v>97</v>
      </c>
      <c r="AP98" s="3">
        <v>73</v>
      </c>
      <c r="AQ98" s="3">
        <v>115</v>
      </c>
      <c r="AR98" s="3">
        <v>67</v>
      </c>
      <c r="AS98" s="1">
        <v>75.599999999999994</v>
      </c>
      <c r="AT98" s="3">
        <v>1</v>
      </c>
      <c r="AU98" s="3" t="s">
        <v>3051</v>
      </c>
    </row>
    <row r="99" spans="1:47" x14ac:dyDescent="0.3">
      <c r="A99" s="1" t="s">
        <v>309</v>
      </c>
      <c r="B99" s="1" t="s">
        <v>308</v>
      </c>
      <c r="C99" s="1" t="s">
        <v>62</v>
      </c>
      <c r="D99" s="1" t="s">
        <v>52</v>
      </c>
      <c r="E99" s="1" t="s">
        <v>307</v>
      </c>
      <c r="F99" t="s">
        <v>3138</v>
      </c>
      <c r="G99" t="s">
        <v>3103</v>
      </c>
      <c r="H99" t="s">
        <v>3184</v>
      </c>
      <c r="I99" t="s">
        <v>52</v>
      </c>
      <c r="J99" t="s">
        <v>52</v>
      </c>
      <c r="K99" t="s">
        <v>52</v>
      </c>
      <c r="L99" s="2">
        <v>1</v>
      </c>
      <c r="M99" s="2">
        <v>1</v>
      </c>
      <c r="N99" s="2">
        <v>1</v>
      </c>
      <c r="O99" s="2">
        <v>2</v>
      </c>
      <c r="P99" s="2">
        <v>1</v>
      </c>
      <c r="Q99" s="2">
        <v>1</v>
      </c>
      <c r="R99" s="2">
        <v>0.5</v>
      </c>
      <c r="S99" s="2">
        <v>1</v>
      </c>
      <c r="T99" s="2">
        <v>1</v>
      </c>
      <c r="U99" s="2">
        <v>2</v>
      </c>
      <c r="V99" s="2">
        <v>1</v>
      </c>
      <c r="W99" s="2">
        <v>0.5</v>
      </c>
      <c r="X99" s="2">
        <v>1</v>
      </c>
      <c r="Y99" s="2">
        <v>1</v>
      </c>
      <c r="Z99" s="2">
        <v>1</v>
      </c>
      <c r="AA99" s="2">
        <v>1</v>
      </c>
      <c r="AB99" s="2">
        <v>0.5</v>
      </c>
      <c r="AC99" s="2">
        <v>0.5</v>
      </c>
      <c r="AD99" s="2">
        <v>105</v>
      </c>
      <c r="AE99" s="2">
        <v>5120</v>
      </c>
      <c r="AF99" s="2">
        <v>70</v>
      </c>
      <c r="AG99" s="2">
        <v>325</v>
      </c>
      <c r="AH99" s="2">
        <v>225</v>
      </c>
      <c r="AI99" s="2">
        <v>90</v>
      </c>
      <c r="AJ99" s="1">
        <v>1000000</v>
      </c>
      <c r="AK99" s="1">
        <v>0.4</v>
      </c>
      <c r="AL99" s="1">
        <v>30</v>
      </c>
      <c r="AM99" s="2">
        <v>50</v>
      </c>
      <c r="AN99" s="2">
        <f t="shared" si="1"/>
        <v>50</v>
      </c>
      <c r="AO99" s="3">
        <v>98</v>
      </c>
      <c r="AP99" s="3">
        <v>25</v>
      </c>
      <c r="AQ99" s="3">
        <v>25</v>
      </c>
      <c r="AR99" s="3">
        <v>50</v>
      </c>
      <c r="AS99" s="1">
        <v>6.5</v>
      </c>
      <c r="AT99" s="3">
        <v>1</v>
      </c>
      <c r="AU99" s="3" t="s">
        <v>3051</v>
      </c>
    </row>
    <row r="100" spans="1:47" x14ac:dyDescent="0.3">
      <c r="A100" s="1" t="s">
        <v>312</v>
      </c>
      <c r="B100" s="1" t="s">
        <v>311</v>
      </c>
      <c r="C100" s="1" t="s">
        <v>62</v>
      </c>
      <c r="D100" s="1" t="s">
        <v>52</v>
      </c>
      <c r="E100" s="1" t="s">
        <v>310</v>
      </c>
      <c r="F100" t="s">
        <v>3138</v>
      </c>
      <c r="G100" t="s">
        <v>3103</v>
      </c>
      <c r="H100" t="s">
        <v>3184</v>
      </c>
      <c r="I100" t="s">
        <v>52</v>
      </c>
      <c r="J100" t="s">
        <v>52</v>
      </c>
      <c r="K100" t="s">
        <v>52</v>
      </c>
      <c r="L100" s="2">
        <v>1</v>
      </c>
      <c r="M100" s="2">
        <v>1</v>
      </c>
      <c r="N100" s="2">
        <v>1</v>
      </c>
      <c r="O100" s="2">
        <v>2</v>
      </c>
      <c r="P100" s="2">
        <v>1</v>
      </c>
      <c r="Q100" s="2">
        <v>1</v>
      </c>
      <c r="R100" s="2">
        <v>0.5</v>
      </c>
      <c r="S100" s="2">
        <v>1</v>
      </c>
      <c r="T100" s="2">
        <v>1</v>
      </c>
      <c r="U100" s="2">
        <v>2</v>
      </c>
      <c r="V100" s="2">
        <v>1</v>
      </c>
      <c r="W100" s="2">
        <v>0.5</v>
      </c>
      <c r="X100" s="2">
        <v>1</v>
      </c>
      <c r="Y100" s="2">
        <v>1</v>
      </c>
      <c r="Z100" s="2">
        <v>1</v>
      </c>
      <c r="AA100" s="2">
        <v>1</v>
      </c>
      <c r="AB100" s="2">
        <v>0.5</v>
      </c>
      <c r="AC100" s="2">
        <v>0.5</v>
      </c>
      <c r="AD100" s="2">
        <v>130</v>
      </c>
      <c r="AE100" s="2">
        <v>5120</v>
      </c>
      <c r="AF100" s="2">
        <v>70</v>
      </c>
      <c r="AG100" s="2">
        <v>475</v>
      </c>
      <c r="AH100" s="2">
        <v>60</v>
      </c>
      <c r="AI100" s="2">
        <v>115</v>
      </c>
      <c r="AJ100" s="1">
        <v>1000000</v>
      </c>
      <c r="AK100" s="1">
        <v>1.3</v>
      </c>
      <c r="AL100" s="1">
        <v>55</v>
      </c>
      <c r="AM100" s="2">
        <v>50</v>
      </c>
      <c r="AN100" s="2">
        <f t="shared" si="1"/>
        <v>50</v>
      </c>
      <c r="AO100" s="3">
        <v>99</v>
      </c>
      <c r="AP100" s="3">
        <v>50</v>
      </c>
      <c r="AQ100" s="3">
        <v>50</v>
      </c>
      <c r="AR100" s="3">
        <v>75</v>
      </c>
      <c r="AS100" s="1">
        <v>60</v>
      </c>
      <c r="AT100" s="3">
        <v>1</v>
      </c>
      <c r="AU100" s="3" t="s">
        <v>3051</v>
      </c>
    </row>
    <row r="101" spans="1:47" x14ac:dyDescent="0.3">
      <c r="A101" s="1" t="s">
        <v>315</v>
      </c>
      <c r="B101" s="1" t="s">
        <v>314</v>
      </c>
      <c r="C101" s="1" t="s">
        <v>115</v>
      </c>
      <c r="D101" s="1" t="s">
        <v>52</v>
      </c>
      <c r="E101" s="1" t="s">
        <v>313</v>
      </c>
      <c r="F101" t="s">
        <v>3139</v>
      </c>
      <c r="G101" t="s">
        <v>3121</v>
      </c>
      <c r="H101" t="s">
        <v>3170</v>
      </c>
      <c r="I101" t="s">
        <v>52</v>
      </c>
      <c r="J101" t="s">
        <v>52</v>
      </c>
      <c r="K101" t="s">
        <v>52</v>
      </c>
      <c r="L101" s="2">
        <v>1</v>
      </c>
      <c r="M101" s="2">
        <v>1</v>
      </c>
      <c r="N101" s="2">
        <v>1</v>
      </c>
      <c r="O101" s="2">
        <v>0.5</v>
      </c>
      <c r="P101" s="2">
        <v>1</v>
      </c>
      <c r="Q101" s="2">
        <v>1</v>
      </c>
      <c r="R101" s="2">
        <v>1</v>
      </c>
      <c r="S101" s="2">
        <v>0.5</v>
      </c>
      <c r="T101" s="2">
        <v>1</v>
      </c>
      <c r="U101" s="2">
        <v>1</v>
      </c>
      <c r="V101" s="2">
        <v>2</v>
      </c>
      <c r="W101" s="2">
        <v>1</v>
      </c>
      <c r="X101" s="2">
        <v>1</v>
      </c>
      <c r="Y101" s="2">
        <v>1</v>
      </c>
      <c r="Z101" s="2">
        <v>1</v>
      </c>
      <c r="AA101" s="2">
        <v>1</v>
      </c>
      <c r="AB101" s="2">
        <v>0.5</v>
      </c>
      <c r="AC101" s="2">
        <v>1</v>
      </c>
      <c r="AD101" s="2">
        <v>30</v>
      </c>
      <c r="AE101" s="2">
        <v>5120</v>
      </c>
      <c r="AF101" s="2">
        <v>70</v>
      </c>
      <c r="AG101" s="2">
        <v>330</v>
      </c>
      <c r="AH101" s="2">
        <v>190</v>
      </c>
      <c r="AI101" s="2">
        <v>50</v>
      </c>
      <c r="AJ101" s="1">
        <v>1000000</v>
      </c>
      <c r="AK101" s="1">
        <v>0.5</v>
      </c>
      <c r="AL101" s="1">
        <v>40</v>
      </c>
      <c r="AM101" s="2" t="s">
        <v>52</v>
      </c>
      <c r="AN101" s="2" t="str">
        <f t="shared" si="1"/>
        <v/>
      </c>
      <c r="AO101" s="3">
        <v>100</v>
      </c>
      <c r="AP101" s="3">
        <v>55</v>
      </c>
      <c r="AQ101" s="3">
        <v>55</v>
      </c>
      <c r="AR101" s="3">
        <v>100</v>
      </c>
      <c r="AS101" s="1">
        <v>10.4</v>
      </c>
      <c r="AT101" s="3">
        <v>1</v>
      </c>
      <c r="AU101" s="3" t="s">
        <v>3051</v>
      </c>
    </row>
    <row r="102" spans="1:47" x14ac:dyDescent="0.3">
      <c r="A102" s="1" t="s">
        <v>317</v>
      </c>
      <c r="B102" s="1" t="s">
        <v>316</v>
      </c>
      <c r="C102" s="1" t="s">
        <v>115</v>
      </c>
      <c r="D102" s="1" t="s">
        <v>52</v>
      </c>
      <c r="E102" s="1" t="s">
        <v>313</v>
      </c>
      <c r="F102" t="s">
        <v>3139</v>
      </c>
      <c r="G102" t="s">
        <v>3121</v>
      </c>
      <c r="H102" t="s">
        <v>3170</v>
      </c>
      <c r="I102" t="s">
        <v>52</v>
      </c>
      <c r="J102" t="s">
        <v>52</v>
      </c>
      <c r="K102" t="s">
        <v>52</v>
      </c>
      <c r="L102" s="2">
        <v>1</v>
      </c>
      <c r="M102" s="2">
        <v>1</v>
      </c>
      <c r="N102" s="2">
        <v>1</v>
      </c>
      <c r="O102" s="2">
        <v>0.5</v>
      </c>
      <c r="P102" s="2">
        <v>1</v>
      </c>
      <c r="Q102" s="2">
        <v>1</v>
      </c>
      <c r="R102" s="2">
        <v>1</v>
      </c>
      <c r="S102" s="2">
        <v>0.5</v>
      </c>
      <c r="T102" s="2">
        <v>1</v>
      </c>
      <c r="U102" s="2">
        <v>1</v>
      </c>
      <c r="V102" s="2">
        <v>2</v>
      </c>
      <c r="W102" s="2">
        <v>1</v>
      </c>
      <c r="X102" s="2">
        <v>1</v>
      </c>
      <c r="Y102" s="2">
        <v>1</v>
      </c>
      <c r="Z102" s="2">
        <v>1</v>
      </c>
      <c r="AA102" s="2">
        <v>1</v>
      </c>
      <c r="AB102" s="2">
        <v>0.5</v>
      </c>
      <c r="AC102" s="2">
        <v>1</v>
      </c>
      <c r="AD102" s="2">
        <v>50</v>
      </c>
      <c r="AE102" s="2">
        <v>5120</v>
      </c>
      <c r="AF102" s="2">
        <v>70</v>
      </c>
      <c r="AG102" s="2">
        <v>490</v>
      </c>
      <c r="AH102" s="2">
        <v>60</v>
      </c>
      <c r="AI102" s="2">
        <v>70</v>
      </c>
      <c r="AJ102" s="1">
        <v>1000000</v>
      </c>
      <c r="AK102" s="1">
        <v>1.2</v>
      </c>
      <c r="AL102" s="1">
        <v>60</v>
      </c>
      <c r="AM102" s="2" t="s">
        <v>52</v>
      </c>
      <c r="AN102" s="2" t="str">
        <f t="shared" si="1"/>
        <v/>
      </c>
      <c r="AO102" s="3">
        <v>101</v>
      </c>
      <c r="AP102" s="3">
        <v>80</v>
      </c>
      <c r="AQ102" s="3">
        <v>80</v>
      </c>
      <c r="AR102" s="3">
        <v>150</v>
      </c>
      <c r="AS102" s="1">
        <v>66.599999999999994</v>
      </c>
      <c r="AT102" s="3">
        <v>1</v>
      </c>
      <c r="AU102" s="3" t="s">
        <v>3051</v>
      </c>
    </row>
    <row r="103" spans="1:47" x14ac:dyDescent="0.3">
      <c r="A103" s="1" t="s">
        <v>320</v>
      </c>
      <c r="B103" s="1" t="s">
        <v>319</v>
      </c>
      <c r="C103" s="1" t="s">
        <v>42</v>
      </c>
      <c r="D103" s="1" t="s">
        <v>216</v>
      </c>
      <c r="E103" s="1" t="s">
        <v>318</v>
      </c>
      <c r="F103" t="s">
        <v>3068</v>
      </c>
      <c r="G103" t="s">
        <v>3248</v>
      </c>
      <c r="H103" t="s">
        <v>52</v>
      </c>
      <c r="I103" t="s">
        <v>52</v>
      </c>
      <c r="J103" t="s">
        <v>52</v>
      </c>
      <c r="K103" t="s">
        <v>52</v>
      </c>
      <c r="L103" s="2">
        <v>4</v>
      </c>
      <c r="M103" s="2">
        <v>2</v>
      </c>
      <c r="N103" s="2">
        <v>1</v>
      </c>
      <c r="O103" s="2">
        <v>0.5</v>
      </c>
      <c r="P103" s="2">
        <v>1</v>
      </c>
      <c r="Q103" s="2">
        <v>0.5</v>
      </c>
      <c r="R103" s="2">
        <v>2</v>
      </c>
      <c r="S103" s="2">
        <v>2</v>
      </c>
      <c r="T103" s="2">
        <v>2</v>
      </c>
      <c r="U103" s="2">
        <v>0.5</v>
      </c>
      <c r="V103" s="2">
        <v>0.5</v>
      </c>
      <c r="W103" s="2">
        <v>2</v>
      </c>
      <c r="X103" s="2">
        <v>1</v>
      </c>
      <c r="Y103" s="2">
        <v>2</v>
      </c>
      <c r="Z103" s="2">
        <v>0.5</v>
      </c>
      <c r="AA103" s="2">
        <v>1</v>
      </c>
      <c r="AB103" s="2">
        <v>1</v>
      </c>
      <c r="AC103" s="2">
        <v>0.5</v>
      </c>
      <c r="AD103" s="2">
        <v>40</v>
      </c>
      <c r="AE103" s="2">
        <v>5120</v>
      </c>
      <c r="AF103" s="2">
        <v>70</v>
      </c>
      <c r="AG103" s="2">
        <v>325</v>
      </c>
      <c r="AH103" s="2">
        <v>90</v>
      </c>
      <c r="AI103" s="2">
        <v>80</v>
      </c>
      <c r="AJ103" s="1">
        <v>1250000</v>
      </c>
      <c r="AK103" s="1">
        <v>0.4</v>
      </c>
      <c r="AL103" s="1">
        <v>60</v>
      </c>
      <c r="AM103" s="2">
        <v>50</v>
      </c>
      <c r="AN103" s="2">
        <f t="shared" si="1"/>
        <v>50</v>
      </c>
      <c r="AO103" s="3">
        <v>102</v>
      </c>
      <c r="AP103" s="3">
        <v>60</v>
      </c>
      <c r="AQ103" s="3">
        <v>45</v>
      </c>
      <c r="AR103" s="3">
        <v>40</v>
      </c>
      <c r="AS103" s="1">
        <v>2.5</v>
      </c>
      <c r="AT103" s="3">
        <v>1</v>
      </c>
      <c r="AU103" s="3" t="s">
        <v>3051</v>
      </c>
    </row>
    <row r="104" spans="1:47" x14ac:dyDescent="0.3">
      <c r="A104" s="1" t="s">
        <v>323</v>
      </c>
      <c r="B104" s="1" t="s">
        <v>322</v>
      </c>
      <c r="C104" s="1" t="s">
        <v>42</v>
      </c>
      <c r="D104" s="1" t="s">
        <v>216</v>
      </c>
      <c r="E104" s="1" t="s">
        <v>321</v>
      </c>
      <c r="F104" t="s">
        <v>3068</v>
      </c>
      <c r="G104" t="s">
        <v>3248</v>
      </c>
      <c r="H104" t="s">
        <v>3186</v>
      </c>
      <c r="I104" t="s">
        <v>3248</v>
      </c>
      <c r="J104" t="s">
        <v>52</v>
      </c>
      <c r="K104" t="s">
        <v>52</v>
      </c>
      <c r="L104" s="2">
        <v>4</v>
      </c>
      <c r="M104" s="2">
        <v>2</v>
      </c>
      <c r="N104" s="2">
        <v>1</v>
      </c>
      <c r="O104" s="2">
        <v>0.5</v>
      </c>
      <c r="P104" s="2">
        <v>1</v>
      </c>
      <c r="Q104" s="2">
        <v>0.5</v>
      </c>
      <c r="R104" s="2">
        <v>2</v>
      </c>
      <c r="S104" s="2">
        <v>2</v>
      </c>
      <c r="T104" s="2">
        <v>2</v>
      </c>
      <c r="U104" s="2">
        <v>0.5</v>
      </c>
      <c r="V104" s="2">
        <v>0.5</v>
      </c>
      <c r="W104" s="2">
        <v>2</v>
      </c>
      <c r="X104" s="2">
        <v>1</v>
      </c>
      <c r="Y104" s="2">
        <v>2</v>
      </c>
      <c r="Z104" s="2">
        <v>0.5</v>
      </c>
      <c r="AA104" s="2">
        <v>1</v>
      </c>
      <c r="AB104" s="2">
        <v>1</v>
      </c>
      <c r="AC104" s="2">
        <v>0.5</v>
      </c>
      <c r="AD104" s="2">
        <v>105</v>
      </c>
      <c r="AE104" s="2">
        <v>5120</v>
      </c>
      <c r="AF104" s="2">
        <v>70</v>
      </c>
      <c r="AG104" s="2">
        <v>530</v>
      </c>
      <c r="AH104" s="2">
        <v>45</v>
      </c>
      <c r="AI104" s="2">
        <v>85</v>
      </c>
      <c r="AJ104" s="1">
        <v>1250000</v>
      </c>
      <c r="AK104" s="1">
        <v>2</v>
      </c>
      <c r="AL104" s="1">
        <v>95</v>
      </c>
      <c r="AM104" s="2">
        <v>50</v>
      </c>
      <c r="AN104" s="2">
        <f t="shared" si="1"/>
        <v>50</v>
      </c>
      <c r="AO104" s="3">
        <v>103</v>
      </c>
      <c r="AP104" s="3">
        <v>125</v>
      </c>
      <c r="AQ104" s="3">
        <v>75</v>
      </c>
      <c r="AR104" s="3">
        <v>45</v>
      </c>
      <c r="AS104" s="1">
        <v>120</v>
      </c>
      <c r="AT104" s="3">
        <v>1</v>
      </c>
      <c r="AU104" s="3" t="s">
        <v>3051</v>
      </c>
    </row>
    <row r="105" spans="1:47" x14ac:dyDescent="0.3">
      <c r="A105" s="1" t="s">
        <v>326</v>
      </c>
      <c r="B105" s="1" t="s">
        <v>325</v>
      </c>
      <c r="C105" s="1" t="s">
        <v>120</v>
      </c>
      <c r="D105" s="1" t="s">
        <v>52</v>
      </c>
      <c r="E105" s="1" t="s">
        <v>324</v>
      </c>
      <c r="F105" t="s">
        <v>3132</v>
      </c>
      <c r="G105" t="s">
        <v>3141</v>
      </c>
      <c r="H105" t="s">
        <v>3099</v>
      </c>
      <c r="I105" t="s">
        <v>52</v>
      </c>
      <c r="J105" t="s">
        <v>52</v>
      </c>
      <c r="K105" t="s">
        <v>52</v>
      </c>
      <c r="L105" s="2">
        <v>1</v>
      </c>
      <c r="M105" s="2">
        <v>1</v>
      </c>
      <c r="N105" s="2">
        <v>1</v>
      </c>
      <c r="O105" s="2">
        <v>0</v>
      </c>
      <c r="P105" s="2">
        <v>1</v>
      </c>
      <c r="Q105" s="2">
        <v>1</v>
      </c>
      <c r="R105" s="2">
        <v>1</v>
      </c>
      <c r="S105" s="2">
        <v>1</v>
      </c>
      <c r="T105" s="2">
        <v>1</v>
      </c>
      <c r="U105" s="2">
        <v>2</v>
      </c>
      <c r="V105" s="2">
        <v>1</v>
      </c>
      <c r="W105" s="2">
        <v>2</v>
      </c>
      <c r="X105" s="2">
        <v>1</v>
      </c>
      <c r="Y105" s="2">
        <v>0.5</v>
      </c>
      <c r="Z105" s="2">
        <v>1</v>
      </c>
      <c r="AA105" s="2">
        <v>0.5</v>
      </c>
      <c r="AB105" s="2">
        <v>1</v>
      </c>
      <c r="AC105" s="2">
        <v>2</v>
      </c>
      <c r="AD105" s="2">
        <v>50</v>
      </c>
      <c r="AE105" s="2">
        <v>5120</v>
      </c>
      <c r="AF105" s="2">
        <v>70</v>
      </c>
      <c r="AG105" s="2">
        <v>320</v>
      </c>
      <c r="AH105" s="2">
        <v>190</v>
      </c>
      <c r="AI105" s="2">
        <v>95</v>
      </c>
      <c r="AJ105" s="1">
        <v>1000000</v>
      </c>
      <c r="AK105" s="1">
        <v>0.4</v>
      </c>
      <c r="AL105" s="1">
        <v>50</v>
      </c>
      <c r="AM105" s="2">
        <v>50</v>
      </c>
      <c r="AN105" s="2">
        <f t="shared" si="1"/>
        <v>50</v>
      </c>
      <c r="AO105" s="3">
        <v>104</v>
      </c>
      <c r="AP105" s="3">
        <v>40</v>
      </c>
      <c r="AQ105" s="3">
        <v>50</v>
      </c>
      <c r="AR105" s="3">
        <v>35</v>
      </c>
      <c r="AS105" s="1">
        <v>6.5</v>
      </c>
      <c r="AT105" s="3">
        <v>1</v>
      </c>
      <c r="AU105" s="3" t="s">
        <v>3051</v>
      </c>
    </row>
    <row r="106" spans="1:47" x14ac:dyDescent="0.3">
      <c r="A106" s="1" t="s">
        <v>329</v>
      </c>
      <c r="B106" s="1" t="s">
        <v>328</v>
      </c>
      <c r="C106" s="1" t="s">
        <v>120</v>
      </c>
      <c r="D106" s="1" t="s">
        <v>51</v>
      </c>
      <c r="E106" s="1" t="s">
        <v>327</v>
      </c>
      <c r="F106" t="s">
        <v>3132</v>
      </c>
      <c r="G106" t="s">
        <v>3141</v>
      </c>
      <c r="H106" t="s">
        <v>3099</v>
      </c>
      <c r="I106" t="s">
        <v>3056</v>
      </c>
      <c r="J106" t="s">
        <v>3141</v>
      </c>
      <c r="K106" t="s">
        <v>3132</v>
      </c>
      <c r="L106" s="2">
        <v>1</v>
      </c>
      <c r="M106" s="2">
        <v>1</v>
      </c>
      <c r="N106" s="2">
        <v>1</v>
      </c>
      <c r="O106" s="2">
        <v>0</v>
      </c>
      <c r="P106" s="2">
        <v>1</v>
      </c>
      <c r="Q106" s="2">
        <v>1</v>
      </c>
      <c r="R106" s="2">
        <v>1</v>
      </c>
      <c r="S106" s="2">
        <v>1</v>
      </c>
      <c r="T106" s="2">
        <v>1</v>
      </c>
      <c r="U106" s="2">
        <v>2</v>
      </c>
      <c r="V106" s="2">
        <v>1</v>
      </c>
      <c r="W106" s="2">
        <v>2</v>
      </c>
      <c r="X106" s="2">
        <v>1</v>
      </c>
      <c r="Y106" s="2">
        <v>0.5</v>
      </c>
      <c r="Z106" s="2">
        <v>1</v>
      </c>
      <c r="AA106" s="2">
        <v>0.5</v>
      </c>
      <c r="AB106" s="2">
        <v>1</v>
      </c>
      <c r="AC106" s="2">
        <v>2</v>
      </c>
      <c r="AD106" s="2">
        <v>80</v>
      </c>
      <c r="AE106" s="2">
        <v>5120</v>
      </c>
      <c r="AF106" s="2">
        <v>70</v>
      </c>
      <c r="AG106" s="2">
        <v>425</v>
      </c>
      <c r="AH106" s="2">
        <v>75</v>
      </c>
      <c r="AI106" s="2">
        <v>110</v>
      </c>
      <c r="AJ106" s="1">
        <v>1000000</v>
      </c>
      <c r="AK106" s="1">
        <v>1</v>
      </c>
      <c r="AL106" s="1">
        <v>60</v>
      </c>
      <c r="AM106" s="2">
        <v>50</v>
      </c>
      <c r="AN106" s="2">
        <f t="shared" si="1"/>
        <v>50</v>
      </c>
      <c r="AO106" s="3">
        <v>105</v>
      </c>
      <c r="AP106" s="3">
        <v>50</v>
      </c>
      <c r="AQ106" s="3">
        <v>80</v>
      </c>
      <c r="AR106" s="3">
        <v>45</v>
      </c>
      <c r="AS106" s="1">
        <v>45</v>
      </c>
      <c r="AT106" s="3">
        <v>1</v>
      </c>
      <c r="AU106" s="3" t="s">
        <v>3051</v>
      </c>
    </row>
    <row r="107" spans="1:47" x14ac:dyDescent="0.3">
      <c r="A107" s="1" t="s">
        <v>332</v>
      </c>
      <c r="B107" s="1" t="s">
        <v>331</v>
      </c>
      <c r="C107" s="1" t="s">
        <v>197</v>
      </c>
      <c r="D107" s="1" t="s">
        <v>52</v>
      </c>
      <c r="E107" s="1" t="s">
        <v>330</v>
      </c>
      <c r="F107" t="s">
        <v>3129</v>
      </c>
      <c r="G107" t="s">
        <v>3183</v>
      </c>
      <c r="H107" t="s">
        <v>3249</v>
      </c>
      <c r="I107" t="s">
        <v>52</v>
      </c>
      <c r="J107" t="s">
        <v>52</v>
      </c>
      <c r="K107" t="s">
        <v>52</v>
      </c>
      <c r="L107" s="2">
        <v>0.5</v>
      </c>
      <c r="M107" s="2">
        <v>0.5</v>
      </c>
      <c r="N107" s="2">
        <v>1</v>
      </c>
      <c r="O107" s="2">
        <v>1</v>
      </c>
      <c r="P107" s="2">
        <v>2</v>
      </c>
      <c r="Q107" s="2">
        <v>1</v>
      </c>
      <c r="R107" s="2">
        <v>1</v>
      </c>
      <c r="S107" s="2">
        <v>2</v>
      </c>
      <c r="T107" s="2">
        <v>1</v>
      </c>
      <c r="U107" s="2">
        <v>1</v>
      </c>
      <c r="V107" s="2">
        <v>1</v>
      </c>
      <c r="W107" s="2">
        <v>1</v>
      </c>
      <c r="X107" s="2">
        <v>1</v>
      </c>
      <c r="Y107" s="2">
        <v>1</v>
      </c>
      <c r="Z107" s="2">
        <v>2</v>
      </c>
      <c r="AA107" s="2">
        <v>0.5</v>
      </c>
      <c r="AB107" s="2">
        <v>1</v>
      </c>
      <c r="AC107" s="2">
        <v>1</v>
      </c>
      <c r="AD107" s="2">
        <v>120</v>
      </c>
      <c r="AE107" s="2">
        <v>6400</v>
      </c>
      <c r="AF107" s="2">
        <v>70</v>
      </c>
      <c r="AG107" s="2">
        <v>455</v>
      </c>
      <c r="AH107" s="2">
        <v>45</v>
      </c>
      <c r="AI107" s="2">
        <v>53</v>
      </c>
      <c r="AJ107" s="1">
        <v>1000000</v>
      </c>
      <c r="AK107" s="1">
        <v>1.5</v>
      </c>
      <c r="AL107" s="1">
        <v>50</v>
      </c>
      <c r="AM107" s="2">
        <v>100</v>
      </c>
      <c r="AN107" s="2">
        <f t="shared" si="1"/>
        <v>0</v>
      </c>
      <c r="AO107" s="3">
        <v>106</v>
      </c>
      <c r="AP107" s="3">
        <v>35</v>
      </c>
      <c r="AQ107" s="3">
        <v>110</v>
      </c>
      <c r="AR107" s="3">
        <v>87</v>
      </c>
      <c r="AS107" s="1">
        <v>49.8</v>
      </c>
      <c r="AT107" s="3">
        <v>1</v>
      </c>
      <c r="AU107" s="3" t="s">
        <v>3051</v>
      </c>
    </row>
    <row r="108" spans="1:47" x14ac:dyDescent="0.3">
      <c r="A108" s="1" t="s">
        <v>335</v>
      </c>
      <c r="B108" s="1" t="s">
        <v>334</v>
      </c>
      <c r="C108" s="1" t="s">
        <v>197</v>
      </c>
      <c r="D108" s="1" t="s">
        <v>52</v>
      </c>
      <c r="E108" s="1" t="s">
        <v>333</v>
      </c>
      <c r="F108" t="s">
        <v>3118</v>
      </c>
      <c r="G108" t="s">
        <v>3190</v>
      </c>
      <c r="H108" t="s">
        <v>3126</v>
      </c>
      <c r="I108" t="s">
        <v>52</v>
      </c>
      <c r="J108" t="s">
        <v>52</v>
      </c>
      <c r="K108" t="s">
        <v>52</v>
      </c>
      <c r="L108" s="2">
        <v>0.5</v>
      </c>
      <c r="M108" s="2">
        <v>0.5</v>
      </c>
      <c r="N108" s="2">
        <v>1</v>
      </c>
      <c r="O108" s="2">
        <v>1</v>
      </c>
      <c r="P108" s="2">
        <v>2</v>
      </c>
      <c r="Q108" s="2">
        <v>1</v>
      </c>
      <c r="R108" s="2">
        <v>1</v>
      </c>
      <c r="S108" s="2">
        <v>2</v>
      </c>
      <c r="T108" s="2">
        <v>1</v>
      </c>
      <c r="U108" s="2">
        <v>1</v>
      </c>
      <c r="V108" s="2">
        <v>1</v>
      </c>
      <c r="W108" s="2">
        <v>1</v>
      </c>
      <c r="X108" s="2">
        <v>1</v>
      </c>
      <c r="Y108" s="2">
        <v>1</v>
      </c>
      <c r="Z108" s="2">
        <v>2</v>
      </c>
      <c r="AA108" s="2">
        <v>0.5</v>
      </c>
      <c r="AB108" s="2">
        <v>1</v>
      </c>
      <c r="AC108" s="2">
        <v>1</v>
      </c>
      <c r="AD108" s="2">
        <v>105</v>
      </c>
      <c r="AE108" s="2">
        <v>6400</v>
      </c>
      <c r="AF108" s="2">
        <v>70</v>
      </c>
      <c r="AG108" s="2">
        <v>455</v>
      </c>
      <c r="AH108" s="2">
        <v>45</v>
      </c>
      <c r="AI108" s="2">
        <v>79</v>
      </c>
      <c r="AJ108" s="1">
        <v>1000000</v>
      </c>
      <c r="AK108" s="1">
        <v>1.4</v>
      </c>
      <c r="AL108" s="1">
        <v>50</v>
      </c>
      <c r="AM108" s="2">
        <v>100</v>
      </c>
      <c r="AN108" s="2">
        <f t="shared" si="1"/>
        <v>0</v>
      </c>
      <c r="AO108" s="3">
        <v>107</v>
      </c>
      <c r="AP108" s="3">
        <v>35</v>
      </c>
      <c r="AQ108" s="3">
        <v>110</v>
      </c>
      <c r="AR108" s="3">
        <v>76</v>
      </c>
      <c r="AS108" s="1">
        <v>50.2</v>
      </c>
      <c r="AT108" s="3">
        <v>1</v>
      </c>
      <c r="AU108" s="3" t="s">
        <v>3051</v>
      </c>
    </row>
    <row r="109" spans="1:47" x14ac:dyDescent="0.3">
      <c r="A109" s="1" t="s">
        <v>338</v>
      </c>
      <c r="B109" s="1" t="s">
        <v>337</v>
      </c>
      <c r="C109" s="1" t="s">
        <v>90</v>
      </c>
      <c r="D109" s="1" t="s">
        <v>52</v>
      </c>
      <c r="E109" s="1" t="s">
        <v>336</v>
      </c>
      <c r="F109" t="s">
        <v>3140</v>
      </c>
      <c r="G109" t="s">
        <v>3133</v>
      </c>
      <c r="H109" t="s">
        <v>3239</v>
      </c>
      <c r="I109" t="s">
        <v>52</v>
      </c>
      <c r="J109" t="s">
        <v>52</v>
      </c>
      <c r="K109" t="s">
        <v>52</v>
      </c>
      <c r="L109" s="2">
        <v>1</v>
      </c>
      <c r="M109" s="2">
        <v>1</v>
      </c>
      <c r="N109" s="2">
        <v>1</v>
      </c>
      <c r="O109" s="2">
        <v>1</v>
      </c>
      <c r="P109" s="2">
        <v>1</v>
      </c>
      <c r="Q109" s="2">
        <v>2</v>
      </c>
      <c r="R109" s="2">
        <v>1</v>
      </c>
      <c r="S109" s="2">
        <v>1</v>
      </c>
      <c r="T109" s="2">
        <v>0</v>
      </c>
      <c r="U109" s="2">
        <v>1</v>
      </c>
      <c r="V109" s="2">
        <v>1</v>
      </c>
      <c r="W109" s="2">
        <v>1</v>
      </c>
      <c r="X109" s="2">
        <v>1</v>
      </c>
      <c r="Y109" s="2">
        <v>1</v>
      </c>
      <c r="Z109" s="2">
        <v>1</v>
      </c>
      <c r="AA109" s="2">
        <v>1</v>
      </c>
      <c r="AB109" s="2">
        <v>1</v>
      </c>
      <c r="AC109" s="2">
        <v>1</v>
      </c>
      <c r="AD109" s="2">
        <v>55</v>
      </c>
      <c r="AE109" s="2">
        <v>5120</v>
      </c>
      <c r="AF109" s="2">
        <v>70</v>
      </c>
      <c r="AG109" s="2">
        <v>385</v>
      </c>
      <c r="AH109" s="2">
        <v>45</v>
      </c>
      <c r="AI109" s="2">
        <v>75</v>
      </c>
      <c r="AJ109" s="1">
        <v>1000000</v>
      </c>
      <c r="AK109" s="1">
        <v>1.2</v>
      </c>
      <c r="AL109" s="1">
        <v>90</v>
      </c>
      <c r="AM109" s="2">
        <v>50</v>
      </c>
      <c r="AN109" s="2">
        <f t="shared" si="1"/>
        <v>50</v>
      </c>
      <c r="AO109" s="3">
        <v>108</v>
      </c>
      <c r="AP109" s="3">
        <v>60</v>
      </c>
      <c r="AQ109" s="3">
        <v>75</v>
      </c>
      <c r="AR109" s="3">
        <v>30</v>
      </c>
      <c r="AS109" s="1">
        <v>65.5</v>
      </c>
      <c r="AT109" s="3">
        <v>1</v>
      </c>
      <c r="AU109" s="3" t="s">
        <v>3051</v>
      </c>
    </row>
    <row r="110" spans="1:47" x14ac:dyDescent="0.3">
      <c r="A110" s="1" t="s">
        <v>341</v>
      </c>
      <c r="B110" s="1" t="s">
        <v>340</v>
      </c>
      <c r="C110" s="1" t="s">
        <v>43</v>
      </c>
      <c r="D110" s="1" t="s">
        <v>52</v>
      </c>
      <c r="E110" s="1" t="s">
        <v>339</v>
      </c>
      <c r="F110" t="s">
        <v>3055</v>
      </c>
      <c r="G110" t="s">
        <v>52</v>
      </c>
      <c r="H110" t="s">
        <v>52</v>
      </c>
      <c r="I110" t="s">
        <v>52</v>
      </c>
      <c r="J110" t="s">
        <v>52</v>
      </c>
      <c r="K110" t="s">
        <v>52</v>
      </c>
      <c r="L110" s="2">
        <v>0.5</v>
      </c>
      <c r="M110" s="2">
        <v>1</v>
      </c>
      <c r="N110" s="2">
        <v>1</v>
      </c>
      <c r="O110" s="2">
        <v>1</v>
      </c>
      <c r="P110" s="2">
        <v>0.5</v>
      </c>
      <c r="Q110" s="2">
        <v>0.5</v>
      </c>
      <c r="R110" s="2">
        <v>1</v>
      </c>
      <c r="S110" s="2">
        <v>1</v>
      </c>
      <c r="T110" s="2">
        <v>1</v>
      </c>
      <c r="U110" s="2">
        <v>0.5</v>
      </c>
      <c r="V110" s="2">
        <v>2</v>
      </c>
      <c r="W110" s="2">
        <v>1</v>
      </c>
      <c r="X110" s="2">
        <v>1</v>
      </c>
      <c r="Y110" s="2">
        <v>0.5</v>
      </c>
      <c r="Z110" s="2">
        <v>2</v>
      </c>
      <c r="AA110" s="2">
        <v>1</v>
      </c>
      <c r="AB110" s="2">
        <v>1</v>
      </c>
      <c r="AC110" s="2">
        <v>1</v>
      </c>
      <c r="AD110" s="2">
        <v>65</v>
      </c>
      <c r="AE110" s="2">
        <v>5120</v>
      </c>
      <c r="AF110" s="2">
        <v>70</v>
      </c>
      <c r="AG110" s="2">
        <v>340</v>
      </c>
      <c r="AH110" s="2">
        <v>190</v>
      </c>
      <c r="AI110" s="2">
        <v>95</v>
      </c>
      <c r="AJ110" s="1">
        <v>1000000</v>
      </c>
      <c r="AK110" s="1">
        <v>0.6</v>
      </c>
      <c r="AL110" s="1">
        <v>40</v>
      </c>
      <c r="AM110" s="2">
        <v>50</v>
      </c>
      <c r="AN110" s="2">
        <f t="shared" si="1"/>
        <v>50</v>
      </c>
      <c r="AO110" s="3">
        <v>109</v>
      </c>
      <c r="AP110" s="3">
        <v>60</v>
      </c>
      <c r="AQ110" s="3">
        <v>45</v>
      </c>
      <c r="AR110" s="3">
        <v>35</v>
      </c>
      <c r="AS110" s="1">
        <v>1</v>
      </c>
      <c r="AT110" s="3">
        <v>1</v>
      </c>
      <c r="AU110" s="3" t="s">
        <v>3051</v>
      </c>
    </row>
    <row r="111" spans="1:47" x14ac:dyDescent="0.3">
      <c r="A111" s="1" t="s">
        <v>343</v>
      </c>
      <c r="B111" s="1" t="s">
        <v>342</v>
      </c>
      <c r="C111" s="1" t="s">
        <v>43</v>
      </c>
      <c r="D111" s="1" t="s">
        <v>52</v>
      </c>
      <c r="E111" s="1" t="s">
        <v>339</v>
      </c>
      <c r="F111" t="s">
        <v>3055</v>
      </c>
      <c r="G111" t="s">
        <v>52</v>
      </c>
      <c r="H111" t="s">
        <v>52</v>
      </c>
      <c r="I111" t="s">
        <v>52</v>
      </c>
      <c r="J111" t="s">
        <v>52</v>
      </c>
      <c r="K111" t="s">
        <v>52</v>
      </c>
      <c r="L111" s="2">
        <v>0.5</v>
      </c>
      <c r="M111" s="2">
        <v>1</v>
      </c>
      <c r="N111" s="2">
        <v>1</v>
      </c>
      <c r="O111" s="2">
        <v>1</v>
      </c>
      <c r="P111" s="2">
        <v>0.5</v>
      </c>
      <c r="Q111" s="2">
        <v>0.5</v>
      </c>
      <c r="R111" s="2">
        <v>1</v>
      </c>
      <c r="S111" s="2">
        <v>1</v>
      </c>
      <c r="T111" s="2">
        <v>1</v>
      </c>
      <c r="U111" s="2">
        <v>0.5</v>
      </c>
      <c r="V111" s="2">
        <v>2</v>
      </c>
      <c r="W111" s="2">
        <v>1</v>
      </c>
      <c r="X111" s="2">
        <v>1</v>
      </c>
      <c r="Y111" s="2">
        <v>0.5</v>
      </c>
      <c r="Z111" s="2">
        <v>2</v>
      </c>
      <c r="AA111" s="2">
        <v>1</v>
      </c>
      <c r="AB111" s="2">
        <v>1</v>
      </c>
      <c r="AC111" s="2">
        <v>1</v>
      </c>
      <c r="AD111" s="2">
        <v>90</v>
      </c>
      <c r="AE111" s="2">
        <v>5120</v>
      </c>
      <c r="AF111" s="2">
        <v>70</v>
      </c>
      <c r="AG111" s="2">
        <v>490</v>
      </c>
      <c r="AH111" s="2">
        <v>60</v>
      </c>
      <c r="AI111" s="2">
        <v>120</v>
      </c>
      <c r="AJ111" s="1">
        <v>1000000</v>
      </c>
      <c r="AK111" s="1">
        <v>1.2</v>
      </c>
      <c r="AL111" s="1">
        <v>65</v>
      </c>
      <c r="AM111" s="2">
        <v>50</v>
      </c>
      <c r="AN111" s="2">
        <f t="shared" si="1"/>
        <v>50</v>
      </c>
      <c r="AO111" s="3">
        <v>110</v>
      </c>
      <c r="AP111" s="3">
        <v>85</v>
      </c>
      <c r="AQ111" s="3">
        <v>70</v>
      </c>
      <c r="AR111" s="3">
        <v>60</v>
      </c>
      <c r="AS111" s="1">
        <v>9.5</v>
      </c>
      <c r="AT111" s="3">
        <v>1</v>
      </c>
      <c r="AU111" s="3" t="s">
        <v>3051</v>
      </c>
    </row>
    <row r="112" spans="1:47" x14ac:dyDescent="0.3">
      <c r="A112" s="1" t="s">
        <v>346</v>
      </c>
      <c r="B112" s="1" t="s">
        <v>345</v>
      </c>
      <c r="C112" s="1" t="s">
        <v>120</v>
      </c>
      <c r="D112" s="1" t="s">
        <v>243</v>
      </c>
      <c r="E112" s="1" t="s">
        <v>344</v>
      </c>
      <c r="F112" t="s">
        <v>3141</v>
      </c>
      <c r="G112" t="s">
        <v>3132</v>
      </c>
      <c r="H112" t="s">
        <v>3183</v>
      </c>
      <c r="I112" t="s">
        <v>52</v>
      </c>
      <c r="J112" t="s">
        <v>52</v>
      </c>
      <c r="K112" t="s">
        <v>52</v>
      </c>
      <c r="L112" s="2">
        <v>1</v>
      </c>
      <c r="M112" s="2">
        <v>1</v>
      </c>
      <c r="N112" s="2">
        <v>1</v>
      </c>
      <c r="O112" s="2">
        <v>0</v>
      </c>
      <c r="P112" s="2">
        <v>1</v>
      </c>
      <c r="Q112" s="2">
        <v>2</v>
      </c>
      <c r="R112" s="2">
        <v>0.5</v>
      </c>
      <c r="S112" s="2">
        <v>0.5</v>
      </c>
      <c r="T112" s="2">
        <v>1</v>
      </c>
      <c r="U112" s="2">
        <v>4</v>
      </c>
      <c r="V112" s="2">
        <v>2</v>
      </c>
      <c r="W112" s="2">
        <v>2</v>
      </c>
      <c r="X112" s="2">
        <v>0.5</v>
      </c>
      <c r="Y112" s="2">
        <v>0.25</v>
      </c>
      <c r="Z112" s="2">
        <v>1</v>
      </c>
      <c r="AA112" s="2">
        <v>0.5</v>
      </c>
      <c r="AB112" s="2">
        <v>2</v>
      </c>
      <c r="AC112" s="2">
        <v>4</v>
      </c>
      <c r="AD112" s="2">
        <v>85</v>
      </c>
      <c r="AE112" s="2">
        <v>5120</v>
      </c>
      <c r="AF112" s="2">
        <v>70</v>
      </c>
      <c r="AG112" s="2">
        <v>345</v>
      </c>
      <c r="AH112" s="2">
        <v>120</v>
      </c>
      <c r="AI112" s="2">
        <v>95</v>
      </c>
      <c r="AJ112" s="1">
        <v>1250000</v>
      </c>
      <c r="AK112" s="1">
        <v>1</v>
      </c>
      <c r="AL112" s="1">
        <v>80</v>
      </c>
      <c r="AM112" s="2">
        <v>50</v>
      </c>
      <c r="AN112" s="2">
        <f t="shared" si="1"/>
        <v>50</v>
      </c>
      <c r="AO112" s="3">
        <v>111</v>
      </c>
      <c r="AP112" s="3">
        <v>30</v>
      </c>
      <c r="AQ112" s="3">
        <v>30</v>
      </c>
      <c r="AR112" s="3">
        <v>25</v>
      </c>
      <c r="AS112" s="1">
        <v>115</v>
      </c>
      <c r="AT112" s="3">
        <v>1</v>
      </c>
      <c r="AU112" s="3" t="s">
        <v>3051</v>
      </c>
    </row>
    <row r="113" spans="1:47" x14ac:dyDescent="0.3">
      <c r="A113" s="1" t="s">
        <v>348</v>
      </c>
      <c r="B113" s="1" t="s">
        <v>347</v>
      </c>
      <c r="C113" s="1" t="s">
        <v>120</v>
      </c>
      <c r="D113" s="1" t="s">
        <v>243</v>
      </c>
      <c r="E113" s="1" t="s">
        <v>129</v>
      </c>
      <c r="F113" t="s">
        <v>3141</v>
      </c>
      <c r="G113" t="s">
        <v>3132</v>
      </c>
      <c r="H113" t="s">
        <v>3183</v>
      </c>
      <c r="I113" t="s">
        <v>52</v>
      </c>
      <c r="J113" t="s">
        <v>52</v>
      </c>
      <c r="K113" t="s">
        <v>52</v>
      </c>
      <c r="L113" s="2">
        <v>1</v>
      </c>
      <c r="M113" s="2">
        <v>1</v>
      </c>
      <c r="N113" s="2">
        <v>1</v>
      </c>
      <c r="O113" s="2">
        <v>0</v>
      </c>
      <c r="P113" s="2">
        <v>1</v>
      </c>
      <c r="Q113" s="2">
        <v>2</v>
      </c>
      <c r="R113" s="2">
        <v>0.5</v>
      </c>
      <c r="S113" s="2">
        <v>0.5</v>
      </c>
      <c r="T113" s="2">
        <v>1</v>
      </c>
      <c r="U113" s="2">
        <v>4</v>
      </c>
      <c r="V113" s="2">
        <v>2</v>
      </c>
      <c r="W113" s="2">
        <v>2</v>
      </c>
      <c r="X113" s="2">
        <v>0.5</v>
      </c>
      <c r="Y113" s="2">
        <v>0.25</v>
      </c>
      <c r="Z113" s="2">
        <v>1</v>
      </c>
      <c r="AA113" s="2">
        <v>0.5</v>
      </c>
      <c r="AB113" s="2">
        <v>2</v>
      </c>
      <c r="AC113" s="2">
        <v>4</v>
      </c>
      <c r="AD113" s="2">
        <v>130</v>
      </c>
      <c r="AE113" s="2">
        <v>5120</v>
      </c>
      <c r="AF113" s="2">
        <v>70</v>
      </c>
      <c r="AG113" s="2">
        <v>485</v>
      </c>
      <c r="AH113" s="2">
        <v>60</v>
      </c>
      <c r="AI113" s="2">
        <v>120</v>
      </c>
      <c r="AJ113" s="1">
        <v>1250000</v>
      </c>
      <c r="AK113" s="1">
        <v>1.9</v>
      </c>
      <c r="AL113" s="1">
        <v>105</v>
      </c>
      <c r="AM113" s="2">
        <v>50</v>
      </c>
      <c r="AN113" s="2">
        <f t="shared" si="1"/>
        <v>50</v>
      </c>
      <c r="AO113" s="3">
        <v>112</v>
      </c>
      <c r="AP113" s="3">
        <v>45</v>
      </c>
      <c r="AQ113" s="3">
        <v>45</v>
      </c>
      <c r="AR113" s="3">
        <v>40</v>
      </c>
      <c r="AS113" s="1">
        <v>120</v>
      </c>
      <c r="AT113" s="3">
        <v>1</v>
      </c>
      <c r="AU113" s="3" t="s">
        <v>3051</v>
      </c>
    </row>
    <row r="114" spans="1:47" x14ac:dyDescent="0.3">
      <c r="A114" s="1" t="s">
        <v>350</v>
      </c>
      <c r="B114" s="1" t="s">
        <v>349</v>
      </c>
      <c r="C114" s="1" t="s">
        <v>90</v>
      </c>
      <c r="D114" s="1" t="s">
        <v>52</v>
      </c>
      <c r="E114" s="1" t="s">
        <v>318</v>
      </c>
      <c r="F114" t="s">
        <v>3058</v>
      </c>
      <c r="G114" t="s">
        <v>3066</v>
      </c>
      <c r="H114" t="s">
        <v>3181</v>
      </c>
      <c r="I114" t="s">
        <v>52</v>
      </c>
      <c r="J114" t="s">
        <v>52</v>
      </c>
      <c r="K114" t="s">
        <v>52</v>
      </c>
      <c r="L114" s="2">
        <v>1</v>
      </c>
      <c r="M114" s="2">
        <v>1</v>
      </c>
      <c r="N114" s="2">
        <v>1</v>
      </c>
      <c r="O114" s="2">
        <v>1</v>
      </c>
      <c r="P114" s="2">
        <v>1</v>
      </c>
      <c r="Q114" s="2">
        <v>2</v>
      </c>
      <c r="R114" s="2">
        <v>1</v>
      </c>
      <c r="S114" s="2">
        <v>1</v>
      </c>
      <c r="T114" s="2">
        <v>0</v>
      </c>
      <c r="U114" s="2">
        <v>1</v>
      </c>
      <c r="V114" s="2">
        <v>1</v>
      </c>
      <c r="W114" s="2">
        <v>1</v>
      </c>
      <c r="X114" s="2">
        <v>1</v>
      </c>
      <c r="Y114" s="2">
        <v>1</v>
      </c>
      <c r="Z114" s="2">
        <v>1</v>
      </c>
      <c r="AA114" s="2">
        <v>1</v>
      </c>
      <c r="AB114" s="2">
        <v>1</v>
      </c>
      <c r="AC114" s="2">
        <v>1</v>
      </c>
      <c r="AD114" s="2">
        <v>5</v>
      </c>
      <c r="AE114" s="2">
        <v>10240</v>
      </c>
      <c r="AF114" s="2">
        <v>140</v>
      </c>
      <c r="AG114" s="2">
        <v>450</v>
      </c>
      <c r="AH114" s="2">
        <v>30</v>
      </c>
      <c r="AI114" s="2">
        <v>5</v>
      </c>
      <c r="AJ114" s="1">
        <v>800000</v>
      </c>
      <c r="AK114" s="1">
        <v>1.1000000000000001</v>
      </c>
      <c r="AL114" s="1">
        <v>250</v>
      </c>
      <c r="AM114" s="2">
        <v>0</v>
      </c>
      <c r="AN114" s="2">
        <f t="shared" si="1"/>
        <v>100</v>
      </c>
      <c r="AO114" s="3">
        <v>113</v>
      </c>
      <c r="AP114" s="3">
        <v>35</v>
      </c>
      <c r="AQ114" s="3">
        <v>105</v>
      </c>
      <c r="AR114" s="3">
        <v>50</v>
      </c>
      <c r="AS114" s="1">
        <v>34.6</v>
      </c>
      <c r="AT114" s="3">
        <v>1</v>
      </c>
      <c r="AU114" s="3" t="s">
        <v>3051</v>
      </c>
    </row>
    <row r="115" spans="1:47" x14ac:dyDescent="0.3">
      <c r="A115" s="1" t="s">
        <v>353</v>
      </c>
      <c r="B115" s="1" t="s">
        <v>352</v>
      </c>
      <c r="C115" s="1" t="s">
        <v>42</v>
      </c>
      <c r="D115" s="1" t="s">
        <v>52</v>
      </c>
      <c r="E115" s="1" t="s">
        <v>351</v>
      </c>
      <c r="F115" t="s">
        <v>3068</v>
      </c>
      <c r="G115" t="s">
        <v>3174</v>
      </c>
      <c r="H115" t="s">
        <v>3242</v>
      </c>
      <c r="I115" t="s">
        <v>52</v>
      </c>
      <c r="J115" t="s">
        <v>52</v>
      </c>
      <c r="K115" t="s">
        <v>52</v>
      </c>
      <c r="L115" s="2">
        <v>2</v>
      </c>
      <c r="M115" s="2">
        <v>1</v>
      </c>
      <c r="N115" s="2">
        <v>1</v>
      </c>
      <c r="O115" s="2">
        <v>0.5</v>
      </c>
      <c r="P115" s="2">
        <v>1</v>
      </c>
      <c r="Q115" s="2">
        <v>1</v>
      </c>
      <c r="R115" s="2">
        <v>2</v>
      </c>
      <c r="S115" s="2">
        <v>2</v>
      </c>
      <c r="T115" s="2">
        <v>1</v>
      </c>
      <c r="U115" s="2">
        <v>0.5</v>
      </c>
      <c r="V115" s="2">
        <v>0.5</v>
      </c>
      <c r="W115" s="2">
        <v>2</v>
      </c>
      <c r="X115" s="2">
        <v>1</v>
      </c>
      <c r="Y115" s="2">
        <v>2</v>
      </c>
      <c r="Z115" s="2">
        <v>1</v>
      </c>
      <c r="AA115" s="2">
        <v>1</v>
      </c>
      <c r="AB115" s="2">
        <v>1</v>
      </c>
      <c r="AC115" s="2">
        <v>0.5</v>
      </c>
      <c r="AD115" s="2">
        <v>55</v>
      </c>
      <c r="AE115" s="2">
        <v>5120</v>
      </c>
      <c r="AF115" s="2">
        <v>70</v>
      </c>
      <c r="AG115" s="2">
        <v>435</v>
      </c>
      <c r="AH115" s="2">
        <v>45</v>
      </c>
      <c r="AI115" s="2">
        <v>115</v>
      </c>
      <c r="AJ115" s="1">
        <v>1000000</v>
      </c>
      <c r="AK115" s="1">
        <v>1</v>
      </c>
      <c r="AL115" s="1">
        <v>65</v>
      </c>
      <c r="AM115" s="2">
        <v>50</v>
      </c>
      <c r="AN115" s="2">
        <f t="shared" si="1"/>
        <v>50</v>
      </c>
      <c r="AO115" s="3">
        <v>114</v>
      </c>
      <c r="AP115" s="3">
        <v>100</v>
      </c>
      <c r="AQ115" s="3">
        <v>40</v>
      </c>
      <c r="AR115" s="3">
        <v>60</v>
      </c>
      <c r="AS115" s="1">
        <v>35</v>
      </c>
      <c r="AT115" s="3">
        <v>1</v>
      </c>
      <c r="AU115" s="3" t="s">
        <v>3051</v>
      </c>
    </row>
    <row r="116" spans="1:47" x14ac:dyDescent="0.3">
      <c r="A116" s="1" t="s">
        <v>356</v>
      </c>
      <c r="B116" s="1" t="s">
        <v>355</v>
      </c>
      <c r="C116" s="1" t="s">
        <v>90</v>
      </c>
      <c r="D116" s="1" t="s">
        <v>52</v>
      </c>
      <c r="E116" s="1" t="s">
        <v>354</v>
      </c>
      <c r="F116" t="s">
        <v>3142</v>
      </c>
      <c r="G116" t="s">
        <v>3250</v>
      </c>
      <c r="H116" t="s">
        <v>3126</v>
      </c>
      <c r="I116" t="s">
        <v>52</v>
      </c>
      <c r="J116" t="s">
        <v>52</v>
      </c>
      <c r="K116" t="s">
        <v>52</v>
      </c>
      <c r="L116" s="2">
        <v>1</v>
      </c>
      <c r="M116" s="2">
        <v>1</v>
      </c>
      <c r="N116" s="2">
        <v>1</v>
      </c>
      <c r="O116" s="2">
        <v>1</v>
      </c>
      <c r="P116" s="2">
        <v>1</v>
      </c>
      <c r="Q116" s="2">
        <v>2</v>
      </c>
      <c r="R116" s="2">
        <v>1</v>
      </c>
      <c r="S116" s="2">
        <v>1</v>
      </c>
      <c r="T116" s="2">
        <v>0</v>
      </c>
      <c r="U116" s="2">
        <v>1</v>
      </c>
      <c r="V116" s="2">
        <v>1</v>
      </c>
      <c r="W116" s="2">
        <v>1</v>
      </c>
      <c r="X116" s="2">
        <v>1</v>
      </c>
      <c r="Y116" s="2">
        <v>1</v>
      </c>
      <c r="Z116" s="2">
        <v>1</v>
      </c>
      <c r="AA116" s="2">
        <v>1</v>
      </c>
      <c r="AB116" s="2">
        <v>1</v>
      </c>
      <c r="AC116" s="2">
        <v>1</v>
      </c>
      <c r="AD116" s="2">
        <v>125</v>
      </c>
      <c r="AE116" s="2">
        <v>5120</v>
      </c>
      <c r="AF116" s="2">
        <v>70</v>
      </c>
      <c r="AG116" s="2">
        <v>590</v>
      </c>
      <c r="AH116" s="2">
        <v>45</v>
      </c>
      <c r="AI116" s="2">
        <v>100</v>
      </c>
      <c r="AJ116" s="1">
        <v>1000000</v>
      </c>
      <c r="AK116" s="1">
        <v>2.2000000000000002</v>
      </c>
      <c r="AL116" s="1">
        <v>105</v>
      </c>
      <c r="AM116" s="2">
        <v>0</v>
      </c>
      <c r="AN116" s="2">
        <f t="shared" si="1"/>
        <v>100</v>
      </c>
      <c r="AO116" s="3">
        <v>115</v>
      </c>
      <c r="AP116" s="3">
        <v>60</v>
      </c>
      <c r="AQ116" s="3">
        <v>100</v>
      </c>
      <c r="AR116" s="3">
        <v>100</v>
      </c>
      <c r="AS116" s="1">
        <v>80</v>
      </c>
      <c r="AT116" s="3">
        <v>1</v>
      </c>
      <c r="AU116" s="3" t="s">
        <v>3051</v>
      </c>
    </row>
    <row r="117" spans="1:47" x14ac:dyDescent="0.3">
      <c r="A117" s="1" t="s">
        <v>359</v>
      </c>
      <c r="B117" s="1" t="s">
        <v>358</v>
      </c>
      <c r="C117" s="1" t="s">
        <v>62</v>
      </c>
      <c r="D117" s="1" t="s">
        <v>52</v>
      </c>
      <c r="E117" s="1" t="s">
        <v>357</v>
      </c>
      <c r="F117" t="s">
        <v>3143</v>
      </c>
      <c r="G117" t="s">
        <v>3226</v>
      </c>
      <c r="H117" t="s">
        <v>3130</v>
      </c>
      <c r="I117" t="s">
        <v>52</v>
      </c>
      <c r="J117" t="s">
        <v>52</v>
      </c>
      <c r="K117" t="s">
        <v>52</v>
      </c>
      <c r="L117" s="2">
        <v>1</v>
      </c>
      <c r="M117" s="2">
        <v>1</v>
      </c>
      <c r="N117" s="2">
        <v>1</v>
      </c>
      <c r="O117" s="2">
        <v>2</v>
      </c>
      <c r="P117" s="2">
        <v>1</v>
      </c>
      <c r="Q117" s="2">
        <v>1</v>
      </c>
      <c r="R117" s="2">
        <v>0.5</v>
      </c>
      <c r="S117" s="2">
        <v>1</v>
      </c>
      <c r="T117" s="2">
        <v>1</v>
      </c>
      <c r="U117" s="2">
        <v>2</v>
      </c>
      <c r="V117" s="2">
        <v>1</v>
      </c>
      <c r="W117" s="2">
        <v>0.5</v>
      </c>
      <c r="X117" s="2">
        <v>1</v>
      </c>
      <c r="Y117" s="2">
        <v>1</v>
      </c>
      <c r="Z117" s="2">
        <v>1</v>
      </c>
      <c r="AA117" s="2">
        <v>1</v>
      </c>
      <c r="AB117" s="2">
        <v>0.5</v>
      </c>
      <c r="AC117" s="2">
        <v>0.5</v>
      </c>
      <c r="AD117" s="2">
        <v>40</v>
      </c>
      <c r="AE117" s="2">
        <v>5120</v>
      </c>
      <c r="AF117" s="2">
        <v>70</v>
      </c>
      <c r="AG117" s="2">
        <v>295</v>
      </c>
      <c r="AH117" s="2">
        <v>225</v>
      </c>
      <c r="AI117" s="2">
        <v>70</v>
      </c>
      <c r="AJ117" s="1">
        <v>1000000</v>
      </c>
      <c r="AK117" s="1">
        <v>0.4</v>
      </c>
      <c r="AL117" s="1">
        <v>30</v>
      </c>
      <c r="AM117" s="2">
        <v>50</v>
      </c>
      <c r="AN117" s="2">
        <f t="shared" si="1"/>
        <v>50</v>
      </c>
      <c r="AO117" s="3">
        <v>116</v>
      </c>
      <c r="AP117" s="3">
        <v>70</v>
      </c>
      <c r="AQ117" s="3">
        <v>25</v>
      </c>
      <c r="AR117" s="3">
        <v>60</v>
      </c>
      <c r="AS117" s="1">
        <v>8</v>
      </c>
      <c r="AT117" s="3">
        <v>1</v>
      </c>
      <c r="AU117" s="3" t="s">
        <v>3051</v>
      </c>
    </row>
    <row r="118" spans="1:47" x14ac:dyDescent="0.3">
      <c r="A118" s="1" t="s">
        <v>361</v>
      </c>
      <c r="B118" s="1" t="s">
        <v>360</v>
      </c>
      <c r="C118" s="1" t="s">
        <v>62</v>
      </c>
      <c r="D118" s="1" t="s">
        <v>52</v>
      </c>
      <c r="E118" s="1" t="s">
        <v>357</v>
      </c>
      <c r="F118" t="s">
        <v>3123</v>
      </c>
      <c r="G118" t="s">
        <v>3226</v>
      </c>
      <c r="H118" t="s">
        <v>3130</v>
      </c>
      <c r="I118" t="s">
        <v>52</v>
      </c>
      <c r="J118" t="s">
        <v>52</v>
      </c>
      <c r="K118" t="s">
        <v>52</v>
      </c>
      <c r="L118" s="2">
        <v>1</v>
      </c>
      <c r="M118" s="2">
        <v>1</v>
      </c>
      <c r="N118" s="2">
        <v>1</v>
      </c>
      <c r="O118" s="2">
        <v>2</v>
      </c>
      <c r="P118" s="2">
        <v>1</v>
      </c>
      <c r="Q118" s="2">
        <v>1</v>
      </c>
      <c r="R118" s="2">
        <v>0.5</v>
      </c>
      <c r="S118" s="2">
        <v>1</v>
      </c>
      <c r="T118" s="2">
        <v>1</v>
      </c>
      <c r="U118" s="2">
        <v>2</v>
      </c>
      <c r="V118" s="2">
        <v>1</v>
      </c>
      <c r="W118" s="2">
        <v>0.5</v>
      </c>
      <c r="X118" s="2">
        <v>1</v>
      </c>
      <c r="Y118" s="2">
        <v>1</v>
      </c>
      <c r="Z118" s="2">
        <v>1</v>
      </c>
      <c r="AA118" s="2">
        <v>1</v>
      </c>
      <c r="AB118" s="2">
        <v>0.5</v>
      </c>
      <c r="AC118" s="2">
        <v>0.5</v>
      </c>
      <c r="AD118" s="2">
        <v>65</v>
      </c>
      <c r="AE118" s="2">
        <v>5120</v>
      </c>
      <c r="AF118" s="2">
        <v>70</v>
      </c>
      <c r="AG118" s="2">
        <v>440</v>
      </c>
      <c r="AH118" s="2">
        <v>75</v>
      </c>
      <c r="AI118" s="2">
        <v>95</v>
      </c>
      <c r="AJ118" s="1">
        <v>1000000</v>
      </c>
      <c r="AK118" s="1">
        <v>1.2</v>
      </c>
      <c r="AL118" s="1">
        <v>55</v>
      </c>
      <c r="AM118" s="2">
        <v>50</v>
      </c>
      <c r="AN118" s="2">
        <f t="shared" si="1"/>
        <v>50</v>
      </c>
      <c r="AO118" s="3">
        <v>117</v>
      </c>
      <c r="AP118" s="3">
        <v>95</v>
      </c>
      <c r="AQ118" s="3">
        <v>45</v>
      </c>
      <c r="AR118" s="3">
        <v>85</v>
      </c>
      <c r="AS118" s="1">
        <v>25</v>
      </c>
      <c r="AT118" s="3">
        <v>1</v>
      </c>
      <c r="AU118" s="3" t="s">
        <v>3051</v>
      </c>
    </row>
    <row r="119" spans="1:47" x14ac:dyDescent="0.3">
      <c r="A119" s="1" t="s">
        <v>364</v>
      </c>
      <c r="B119" s="1" t="s">
        <v>363</v>
      </c>
      <c r="C119" s="1" t="s">
        <v>62</v>
      </c>
      <c r="D119" s="1" t="s">
        <v>52</v>
      </c>
      <c r="E119" s="1" t="s">
        <v>362</v>
      </c>
      <c r="F119" t="s">
        <v>3143</v>
      </c>
      <c r="G119" t="s">
        <v>3159</v>
      </c>
      <c r="H119" t="s">
        <v>3141</v>
      </c>
      <c r="I119" t="s">
        <v>52</v>
      </c>
      <c r="J119" t="s">
        <v>52</v>
      </c>
      <c r="K119" t="s">
        <v>52</v>
      </c>
      <c r="L119" s="2">
        <v>1</v>
      </c>
      <c r="M119" s="2">
        <v>1</v>
      </c>
      <c r="N119" s="2">
        <v>1</v>
      </c>
      <c r="O119" s="2">
        <v>2</v>
      </c>
      <c r="P119" s="2">
        <v>1</v>
      </c>
      <c r="Q119" s="2">
        <v>1</v>
      </c>
      <c r="R119" s="2">
        <v>0.5</v>
      </c>
      <c r="S119" s="2">
        <v>1</v>
      </c>
      <c r="T119" s="2">
        <v>1</v>
      </c>
      <c r="U119" s="2">
        <v>2</v>
      </c>
      <c r="V119" s="2">
        <v>1</v>
      </c>
      <c r="W119" s="2">
        <v>0.5</v>
      </c>
      <c r="X119" s="2">
        <v>1</v>
      </c>
      <c r="Y119" s="2">
        <v>1</v>
      </c>
      <c r="Z119" s="2">
        <v>1</v>
      </c>
      <c r="AA119" s="2">
        <v>1</v>
      </c>
      <c r="AB119" s="2">
        <v>0.5</v>
      </c>
      <c r="AC119" s="2">
        <v>0.5</v>
      </c>
      <c r="AD119" s="2">
        <v>67</v>
      </c>
      <c r="AE119" s="2">
        <v>5120</v>
      </c>
      <c r="AF119" s="2">
        <v>70</v>
      </c>
      <c r="AG119" s="2">
        <v>320</v>
      </c>
      <c r="AH119" s="2">
        <v>225</v>
      </c>
      <c r="AI119" s="2">
        <v>60</v>
      </c>
      <c r="AJ119" s="1">
        <v>1000000</v>
      </c>
      <c r="AK119" s="1">
        <v>0.6</v>
      </c>
      <c r="AL119" s="1">
        <v>45</v>
      </c>
      <c r="AM119" s="2">
        <v>50</v>
      </c>
      <c r="AN119" s="2">
        <f t="shared" si="1"/>
        <v>50</v>
      </c>
      <c r="AO119" s="3">
        <v>118</v>
      </c>
      <c r="AP119" s="3">
        <v>35</v>
      </c>
      <c r="AQ119" s="3">
        <v>50</v>
      </c>
      <c r="AR119" s="3">
        <v>63</v>
      </c>
      <c r="AS119" s="1">
        <v>15</v>
      </c>
      <c r="AT119" s="3">
        <v>1</v>
      </c>
      <c r="AU119" s="3" t="s">
        <v>3051</v>
      </c>
    </row>
    <row r="120" spans="1:47" x14ac:dyDescent="0.3">
      <c r="A120" s="1" t="s">
        <v>366</v>
      </c>
      <c r="B120" s="1" t="s">
        <v>365</v>
      </c>
      <c r="C120" s="1" t="s">
        <v>62</v>
      </c>
      <c r="D120" s="1" t="s">
        <v>52</v>
      </c>
      <c r="E120" s="1" t="s">
        <v>362</v>
      </c>
      <c r="F120" t="s">
        <v>3143</v>
      </c>
      <c r="G120" t="s">
        <v>3159</v>
      </c>
      <c r="H120" t="s">
        <v>3141</v>
      </c>
      <c r="I120" t="s">
        <v>52</v>
      </c>
      <c r="J120" t="s">
        <v>52</v>
      </c>
      <c r="K120" t="s">
        <v>52</v>
      </c>
      <c r="L120" s="2">
        <v>1</v>
      </c>
      <c r="M120" s="2">
        <v>1</v>
      </c>
      <c r="N120" s="2">
        <v>1</v>
      </c>
      <c r="O120" s="2">
        <v>2</v>
      </c>
      <c r="P120" s="2">
        <v>1</v>
      </c>
      <c r="Q120" s="2">
        <v>1</v>
      </c>
      <c r="R120" s="2">
        <v>0.5</v>
      </c>
      <c r="S120" s="2">
        <v>1</v>
      </c>
      <c r="T120" s="2">
        <v>1</v>
      </c>
      <c r="U120" s="2">
        <v>2</v>
      </c>
      <c r="V120" s="2">
        <v>1</v>
      </c>
      <c r="W120" s="2">
        <v>0.5</v>
      </c>
      <c r="X120" s="2">
        <v>1</v>
      </c>
      <c r="Y120" s="2">
        <v>1</v>
      </c>
      <c r="Z120" s="2">
        <v>1</v>
      </c>
      <c r="AA120" s="2">
        <v>1</v>
      </c>
      <c r="AB120" s="2">
        <v>0.5</v>
      </c>
      <c r="AC120" s="2">
        <v>0.5</v>
      </c>
      <c r="AD120" s="2">
        <v>92</v>
      </c>
      <c r="AE120" s="2">
        <v>5120</v>
      </c>
      <c r="AF120" s="2">
        <v>70</v>
      </c>
      <c r="AG120" s="2">
        <v>450</v>
      </c>
      <c r="AH120" s="2">
        <v>60</v>
      </c>
      <c r="AI120" s="2">
        <v>65</v>
      </c>
      <c r="AJ120" s="1">
        <v>1000000</v>
      </c>
      <c r="AK120" s="1">
        <v>1.3</v>
      </c>
      <c r="AL120" s="1">
        <v>80</v>
      </c>
      <c r="AM120" s="2">
        <v>50</v>
      </c>
      <c r="AN120" s="2">
        <f t="shared" si="1"/>
        <v>50</v>
      </c>
      <c r="AO120" s="3">
        <v>119</v>
      </c>
      <c r="AP120" s="3">
        <v>65</v>
      </c>
      <c r="AQ120" s="3">
        <v>80</v>
      </c>
      <c r="AR120" s="3">
        <v>68</v>
      </c>
      <c r="AS120" s="1">
        <v>39</v>
      </c>
      <c r="AT120" s="3">
        <v>1</v>
      </c>
      <c r="AU120" s="3" t="s">
        <v>3051</v>
      </c>
    </row>
    <row r="121" spans="1:47" x14ac:dyDescent="0.3">
      <c r="A121" s="1" t="s">
        <v>369</v>
      </c>
      <c r="B121" s="1" t="s">
        <v>368</v>
      </c>
      <c r="C121" s="1" t="s">
        <v>62</v>
      </c>
      <c r="D121" s="1" t="s">
        <v>52</v>
      </c>
      <c r="E121" s="1" t="s">
        <v>367</v>
      </c>
      <c r="F121" t="s">
        <v>3144</v>
      </c>
      <c r="G121" t="s">
        <v>3058</v>
      </c>
      <c r="H121" t="s">
        <v>3243</v>
      </c>
      <c r="I121" t="s">
        <v>52</v>
      </c>
      <c r="J121" t="s">
        <v>52</v>
      </c>
      <c r="K121" t="s">
        <v>52</v>
      </c>
      <c r="L121" s="2">
        <v>1</v>
      </c>
      <c r="M121" s="2">
        <v>1</v>
      </c>
      <c r="N121" s="2">
        <v>1</v>
      </c>
      <c r="O121" s="2">
        <v>2</v>
      </c>
      <c r="P121" s="2">
        <v>1</v>
      </c>
      <c r="Q121" s="2">
        <v>1</v>
      </c>
      <c r="R121" s="2">
        <v>0.5</v>
      </c>
      <c r="S121" s="2">
        <v>1</v>
      </c>
      <c r="T121" s="2">
        <v>1</v>
      </c>
      <c r="U121" s="2">
        <v>2</v>
      </c>
      <c r="V121" s="2">
        <v>1</v>
      </c>
      <c r="W121" s="2">
        <v>0.5</v>
      </c>
      <c r="X121" s="2">
        <v>1</v>
      </c>
      <c r="Y121" s="2">
        <v>1</v>
      </c>
      <c r="Z121" s="2">
        <v>1</v>
      </c>
      <c r="AA121" s="2">
        <v>1</v>
      </c>
      <c r="AB121" s="2">
        <v>0.5</v>
      </c>
      <c r="AC121" s="2">
        <v>0.5</v>
      </c>
      <c r="AD121" s="2">
        <v>45</v>
      </c>
      <c r="AE121" s="2">
        <v>5120</v>
      </c>
      <c r="AF121" s="2">
        <v>70</v>
      </c>
      <c r="AG121" s="2">
        <v>340</v>
      </c>
      <c r="AH121" s="2">
        <v>225</v>
      </c>
      <c r="AI121" s="2">
        <v>55</v>
      </c>
      <c r="AJ121" s="1">
        <v>1250000</v>
      </c>
      <c r="AK121" s="1">
        <v>0.8</v>
      </c>
      <c r="AL121" s="1">
        <v>30</v>
      </c>
      <c r="AM121" s="2" t="s">
        <v>52</v>
      </c>
      <c r="AN121" s="2" t="str">
        <f t="shared" si="1"/>
        <v/>
      </c>
      <c r="AO121" s="3">
        <v>120</v>
      </c>
      <c r="AP121" s="3">
        <v>70</v>
      </c>
      <c r="AQ121" s="3">
        <v>55</v>
      </c>
      <c r="AR121" s="3">
        <v>85</v>
      </c>
      <c r="AS121" s="1">
        <v>34.5</v>
      </c>
      <c r="AT121" s="3">
        <v>1</v>
      </c>
      <c r="AU121" s="3" t="s">
        <v>3051</v>
      </c>
    </row>
    <row r="122" spans="1:47" x14ac:dyDescent="0.3">
      <c r="A122" s="1" t="s">
        <v>372</v>
      </c>
      <c r="B122" s="1" t="s">
        <v>371</v>
      </c>
      <c r="C122" s="1" t="s">
        <v>62</v>
      </c>
      <c r="D122" s="1" t="s">
        <v>216</v>
      </c>
      <c r="E122" s="1" t="s">
        <v>370</v>
      </c>
      <c r="F122" t="s">
        <v>3144</v>
      </c>
      <c r="G122" t="s">
        <v>3058</v>
      </c>
      <c r="H122" t="s">
        <v>3243</v>
      </c>
      <c r="I122" t="s">
        <v>52</v>
      </c>
      <c r="J122" t="s">
        <v>52</v>
      </c>
      <c r="K122" t="s">
        <v>52</v>
      </c>
      <c r="L122" s="2">
        <v>2</v>
      </c>
      <c r="M122" s="2">
        <v>2</v>
      </c>
      <c r="N122" s="2">
        <v>1</v>
      </c>
      <c r="O122" s="2">
        <v>2</v>
      </c>
      <c r="P122" s="2">
        <v>1</v>
      </c>
      <c r="Q122" s="2">
        <v>0.5</v>
      </c>
      <c r="R122" s="2">
        <v>0.5</v>
      </c>
      <c r="S122" s="2">
        <v>1</v>
      </c>
      <c r="T122" s="2">
        <v>2</v>
      </c>
      <c r="U122" s="2">
        <v>2</v>
      </c>
      <c r="V122" s="2">
        <v>1</v>
      </c>
      <c r="W122" s="2">
        <v>0.5</v>
      </c>
      <c r="X122" s="2">
        <v>1</v>
      </c>
      <c r="Y122" s="2">
        <v>1</v>
      </c>
      <c r="Z122" s="2">
        <v>0.5</v>
      </c>
      <c r="AA122" s="2">
        <v>1</v>
      </c>
      <c r="AB122" s="2">
        <v>0.5</v>
      </c>
      <c r="AC122" s="2">
        <v>0.5</v>
      </c>
      <c r="AD122" s="2">
        <v>75</v>
      </c>
      <c r="AE122" s="2">
        <v>5120</v>
      </c>
      <c r="AF122" s="2">
        <v>70</v>
      </c>
      <c r="AG122" s="2">
        <v>520</v>
      </c>
      <c r="AH122" s="2">
        <v>60</v>
      </c>
      <c r="AI122" s="2">
        <v>85</v>
      </c>
      <c r="AJ122" s="1">
        <v>1250000</v>
      </c>
      <c r="AK122" s="1">
        <v>1.1000000000000001</v>
      </c>
      <c r="AL122" s="1">
        <v>60</v>
      </c>
      <c r="AM122" s="2" t="s">
        <v>52</v>
      </c>
      <c r="AN122" s="2" t="str">
        <f t="shared" si="1"/>
        <v/>
      </c>
      <c r="AO122" s="3">
        <v>121</v>
      </c>
      <c r="AP122" s="3">
        <v>100</v>
      </c>
      <c r="AQ122" s="3">
        <v>85</v>
      </c>
      <c r="AR122" s="3">
        <v>115</v>
      </c>
      <c r="AS122" s="1">
        <v>80</v>
      </c>
      <c r="AT122" s="3">
        <v>1</v>
      </c>
      <c r="AU122" s="3" t="s">
        <v>3051</v>
      </c>
    </row>
    <row r="123" spans="1:47" x14ac:dyDescent="0.3">
      <c r="A123" s="1" t="s">
        <v>2246</v>
      </c>
      <c r="B123" s="1" t="s">
        <v>374</v>
      </c>
      <c r="C123" s="1" t="s">
        <v>216</v>
      </c>
      <c r="D123" s="1" t="s">
        <v>141</v>
      </c>
      <c r="E123" s="1" t="s">
        <v>373</v>
      </c>
      <c r="F123" t="s">
        <v>3139</v>
      </c>
      <c r="G123" t="s">
        <v>3251</v>
      </c>
      <c r="H123" t="s">
        <v>3169</v>
      </c>
      <c r="I123" t="s">
        <v>52</v>
      </c>
      <c r="J123" t="s">
        <v>52</v>
      </c>
      <c r="K123" t="s">
        <v>52</v>
      </c>
      <c r="L123" s="2">
        <v>1</v>
      </c>
      <c r="M123" s="2">
        <v>1</v>
      </c>
      <c r="N123" s="2">
        <v>0</v>
      </c>
      <c r="O123" s="2">
        <v>1</v>
      </c>
      <c r="P123" s="2">
        <v>1</v>
      </c>
      <c r="Q123" s="2">
        <v>0.25</v>
      </c>
      <c r="R123" s="2">
        <v>1</v>
      </c>
      <c r="S123" s="2">
        <v>1</v>
      </c>
      <c r="T123" s="2">
        <v>2</v>
      </c>
      <c r="U123" s="2">
        <v>1</v>
      </c>
      <c r="V123" s="2">
        <v>1</v>
      </c>
      <c r="W123" s="2">
        <v>1</v>
      </c>
      <c r="X123" s="2">
        <v>1</v>
      </c>
      <c r="Y123" s="2">
        <v>2</v>
      </c>
      <c r="Z123" s="2">
        <v>0.5</v>
      </c>
      <c r="AA123" s="2">
        <v>1</v>
      </c>
      <c r="AB123" s="2">
        <v>2</v>
      </c>
      <c r="AC123" s="2">
        <v>1</v>
      </c>
      <c r="AD123" s="2">
        <v>45</v>
      </c>
      <c r="AE123" s="2">
        <v>6400</v>
      </c>
      <c r="AF123" s="2">
        <v>70</v>
      </c>
      <c r="AG123" s="2">
        <v>460</v>
      </c>
      <c r="AH123" s="2">
        <v>45</v>
      </c>
      <c r="AI123" s="2">
        <v>65</v>
      </c>
      <c r="AJ123" s="1">
        <v>1000000</v>
      </c>
      <c r="AK123" s="1">
        <v>1.3</v>
      </c>
      <c r="AL123" s="1">
        <v>40</v>
      </c>
      <c r="AM123" s="2">
        <v>50</v>
      </c>
      <c r="AN123" s="2">
        <f t="shared" si="1"/>
        <v>50</v>
      </c>
      <c r="AO123" s="3">
        <v>122</v>
      </c>
      <c r="AP123" s="3">
        <v>100</v>
      </c>
      <c r="AQ123" s="3">
        <v>120</v>
      </c>
      <c r="AR123" s="3">
        <v>90</v>
      </c>
      <c r="AS123" s="1">
        <v>54.5</v>
      </c>
      <c r="AT123" s="3">
        <v>1</v>
      </c>
      <c r="AU123" s="3" t="s">
        <v>3051</v>
      </c>
    </row>
    <row r="124" spans="1:47" x14ac:dyDescent="0.3">
      <c r="A124" s="1" t="s">
        <v>377</v>
      </c>
      <c r="B124" s="1" t="s">
        <v>376</v>
      </c>
      <c r="C124" s="1" t="s">
        <v>72</v>
      </c>
      <c r="D124" s="1" t="s">
        <v>58</v>
      </c>
      <c r="E124" s="1" t="s">
        <v>375</v>
      </c>
      <c r="F124" t="s">
        <v>3093</v>
      </c>
      <c r="G124" t="s">
        <v>3169</v>
      </c>
      <c r="H124" t="s">
        <v>3171</v>
      </c>
      <c r="I124" t="s">
        <v>52</v>
      </c>
      <c r="J124" t="s">
        <v>52</v>
      </c>
      <c r="K124" t="s">
        <v>52</v>
      </c>
      <c r="L124" s="2">
        <v>0.5</v>
      </c>
      <c r="M124" s="2">
        <v>1</v>
      </c>
      <c r="N124" s="2">
        <v>1</v>
      </c>
      <c r="O124" s="2">
        <v>2</v>
      </c>
      <c r="P124" s="2">
        <v>1</v>
      </c>
      <c r="Q124" s="2">
        <v>0.25</v>
      </c>
      <c r="R124" s="2">
        <v>2</v>
      </c>
      <c r="S124" s="2">
        <v>2</v>
      </c>
      <c r="T124" s="2">
        <v>1</v>
      </c>
      <c r="U124" s="2">
        <v>0.25</v>
      </c>
      <c r="V124" s="2">
        <v>0</v>
      </c>
      <c r="W124" s="2">
        <v>2</v>
      </c>
      <c r="X124" s="2">
        <v>1</v>
      </c>
      <c r="Y124" s="2">
        <v>1</v>
      </c>
      <c r="Z124" s="2">
        <v>1</v>
      </c>
      <c r="AA124" s="2">
        <v>4</v>
      </c>
      <c r="AB124" s="2">
        <v>1</v>
      </c>
      <c r="AC124" s="2">
        <v>1</v>
      </c>
      <c r="AD124" s="2">
        <v>110</v>
      </c>
      <c r="AE124" s="2">
        <v>6400</v>
      </c>
      <c r="AF124" s="2">
        <v>70</v>
      </c>
      <c r="AG124" s="2">
        <v>500</v>
      </c>
      <c r="AH124" s="2">
        <v>45</v>
      </c>
      <c r="AI124" s="2">
        <v>80</v>
      </c>
      <c r="AJ124" s="1">
        <v>1000000</v>
      </c>
      <c r="AK124" s="1">
        <v>1.5</v>
      </c>
      <c r="AL124" s="1">
        <v>70</v>
      </c>
      <c r="AM124" s="2">
        <v>50</v>
      </c>
      <c r="AN124" s="2">
        <f t="shared" si="1"/>
        <v>50</v>
      </c>
      <c r="AO124" s="3">
        <v>123</v>
      </c>
      <c r="AP124" s="3">
        <v>55</v>
      </c>
      <c r="AQ124" s="3">
        <v>80</v>
      </c>
      <c r="AR124" s="3">
        <v>105</v>
      </c>
      <c r="AS124" s="1">
        <v>56</v>
      </c>
      <c r="AT124" s="3">
        <v>1</v>
      </c>
      <c r="AU124" s="3" t="s">
        <v>3051</v>
      </c>
    </row>
    <row r="125" spans="1:47" x14ac:dyDescent="0.3">
      <c r="A125" s="1" t="s">
        <v>380</v>
      </c>
      <c r="B125" s="1" t="s">
        <v>379</v>
      </c>
      <c r="C125" s="1" t="s">
        <v>121</v>
      </c>
      <c r="D125" s="1" t="s">
        <v>216</v>
      </c>
      <c r="E125" s="1" t="s">
        <v>378</v>
      </c>
      <c r="F125" t="s">
        <v>3133</v>
      </c>
      <c r="G125" t="s">
        <v>3178</v>
      </c>
      <c r="H125" t="s">
        <v>3198</v>
      </c>
      <c r="I125" t="s">
        <v>52</v>
      </c>
      <c r="J125" t="s">
        <v>52</v>
      </c>
      <c r="K125" t="s">
        <v>52</v>
      </c>
      <c r="L125" s="2">
        <v>2</v>
      </c>
      <c r="M125" s="2">
        <v>2</v>
      </c>
      <c r="N125" s="2">
        <v>1</v>
      </c>
      <c r="O125" s="2">
        <v>1</v>
      </c>
      <c r="P125" s="2">
        <v>1</v>
      </c>
      <c r="Q125" s="2">
        <v>1</v>
      </c>
      <c r="R125" s="2">
        <v>2</v>
      </c>
      <c r="S125" s="2">
        <v>1</v>
      </c>
      <c r="T125" s="2">
        <v>2</v>
      </c>
      <c r="U125" s="2">
        <v>1</v>
      </c>
      <c r="V125" s="2">
        <v>1</v>
      </c>
      <c r="W125" s="2">
        <v>0.5</v>
      </c>
      <c r="X125" s="2">
        <v>1</v>
      </c>
      <c r="Y125" s="2">
        <v>1</v>
      </c>
      <c r="Z125" s="2">
        <v>0.5</v>
      </c>
      <c r="AA125" s="2">
        <v>2</v>
      </c>
      <c r="AB125" s="2">
        <v>2</v>
      </c>
      <c r="AC125" s="2">
        <v>1</v>
      </c>
      <c r="AD125" s="2">
        <v>50</v>
      </c>
      <c r="AE125" s="2">
        <v>6400</v>
      </c>
      <c r="AF125" s="2">
        <v>70</v>
      </c>
      <c r="AG125" s="2">
        <v>455</v>
      </c>
      <c r="AH125" s="2">
        <v>45</v>
      </c>
      <c r="AI125" s="2">
        <v>35</v>
      </c>
      <c r="AJ125" s="1">
        <v>1000000</v>
      </c>
      <c r="AK125" s="1">
        <v>1.4</v>
      </c>
      <c r="AL125" s="1">
        <v>65</v>
      </c>
      <c r="AM125" s="2">
        <v>0</v>
      </c>
      <c r="AN125" s="2">
        <f t="shared" si="1"/>
        <v>100</v>
      </c>
      <c r="AO125" s="3">
        <v>124</v>
      </c>
      <c r="AP125" s="3">
        <v>115</v>
      </c>
      <c r="AQ125" s="3">
        <v>95</v>
      </c>
      <c r="AR125" s="3">
        <v>95</v>
      </c>
      <c r="AS125" s="1">
        <v>40.6</v>
      </c>
      <c r="AT125" s="3">
        <v>1</v>
      </c>
      <c r="AU125" s="3" t="s">
        <v>3051</v>
      </c>
    </row>
    <row r="126" spans="1:47" x14ac:dyDescent="0.3">
      <c r="A126" s="1" t="s">
        <v>383</v>
      </c>
      <c r="B126" s="1" t="s">
        <v>382</v>
      </c>
      <c r="C126" s="1" t="s">
        <v>115</v>
      </c>
      <c r="D126" s="1" t="s">
        <v>52</v>
      </c>
      <c r="E126" s="1" t="s">
        <v>381</v>
      </c>
      <c r="F126" t="s">
        <v>3121</v>
      </c>
      <c r="G126" t="s">
        <v>3060</v>
      </c>
      <c r="H126" t="s">
        <v>52</v>
      </c>
      <c r="I126" t="s">
        <v>52</v>
      </c>
      <c r="J126" t="s">
        <v>52</v>
      </c>
      <c r="K126" t="s">
        <v>52</v>
      </c>
      <c r="L126" s="2">
        <v>1</v>
      </c>
      <c r="M126" s="2">
        <v>1</v>
      </c>
      <c r="N126" s="2">
        <v>1</v>
      </c>
      <c r="O126" s="2">
        <v>0.5</v>
      </c>
      <c r="P126" s="2">
        <v>1</v>
      </c>
      <c r="Q126" s="2">
        <v>1</v>
      </c>
      <c r="R126" s="2">
        <v>1</v>
      </c>
      <c r="S126" s="2">
        <v>0.5</v>
      </c>
      <c r="T126" s="2">
        <v>1</v>
      </c>
      <c r="U126" s="2">
        <v>1</v>
      </c>
      <c r="V126" s="2">
        <v>2</v>
      </c>
      <c r="W126" s="2">
        <v>1</v>
      </c>
      <c r="X126" s="2">
        <v>1</v>
      </c>
      <c r="Y126" s="2">
        <v>1</v>
      </c>
      <c r="Z126" s="2">
        <v>1</v>
      </c>
      <c r="AA126" s="2">
        <v>1</v>
      </c>
      <c r="AB126" s="2">
        <v>0.5</v>
      </c>
      <c r="AC126" s="2">
        <v>1</v>
      </c>
      <c r="AD126" s="2">
        <v>83</v>
      </c>
      <c r="AE126" s="2">
        <v>6400</v>
      </c>
      <c r="AF126" s="2">
        <v>70</v>
      </c>
      <c r="AG126" s="2">
        <v>490</v>
      </c>
      <c r="AH126" s="2">
        <v>45</v>
      </c>
      <c r="AI126" s="2">
        <v>57</v>
      </c>
      <c r="AJ126" s="1">
        <v>1000000</v>
      </c>
      <c r="AK126" s="1">
        <v>1.1000000000000001</v>
      </c>
      <c r="AL126" s="1">
        <v>65</v>
      </c>
      <c r="AM126" s="2">
        <v>75.400000000000006</v>
      </c>
      <c r="AN126" s="2">
        <f t="shared" si="1"/>
        <v>24.599999999999994</v>
      </c>
      <c r="AO126" s="3">
        <v>125</v>
      </c>
      <c r="AP126" s="3">
        <v>95</v>
      </c>
      <c r="AQ126" s="3">
        <v>85</v>
      </c>
      <c r="AR126" s="3">
        <v>105</v>
      </c>
      <c r="AS126" s="1">
        <v>30</v>
      </c>
      <c r="AT126" s="3">
        <v>1</v>
      </c>
      <c r="AU126" s="3" t="s">
        <v>3051</v>
      </c>
    </row>
    <row r="127" spans="1:47" x14ac:dyDescent="0.3">
      <c r="A127" s="1" t="s">
        <v>386</v>
      </c>
      <c r="B127" s="1" t="s">
        <v>385</v>
      </c>
      <c r="C127" s="1" t="s">
        <v>51</v>
      </c>
      <c r="D127" s="1" t="s">
        <v>52</v>
      </c>
      <c r="E127" s="1" t="s">
        <v>384</v>
      </c>
      <c r="F127" t="s">
        <v>3145</v>
      </c>
      <c r="G127" t="s">
        <v>3060</v>
      </c>
      <c r="H127" t="s">
        <v>52</v>
      </c>
      <c r="I127" t="s">
        <v>52</v>
      </c>
      <c r="J127" t="s">
        <v>52</v>
      </c>
      <c r="K127" t="s">
        <v>52</v>
      </c>
      <c r="L127" s="2">
        <v>0.5</v>
      </c>
      <c r="M127" s="2">
        <v>1</v>
      </c>
      <c r="N127" s="2">
        <v>1</v>
      </c>
      <c r="O127" s="2">
        <v>1</v>
      </c>
      <c r="P127" s="2">
        <v>0.5</v>
      </c>
      <c r="Q127" s="2">
        <v>1</v>
      </c>
      <c r="R127" s="2">
        <v>0.5</v>
      </c>
      <c r="S127" s="2">
        <v>1</v>
      </c>
      <c r="T127" s="2">
        <v>1</v>
      </c>
      <c r="U127" s="2">
        <v>0.5</v>
      </c>
      <c r="V127" s="2">
        <v>2</v>
      </c>
      <c r="W127" s="2">
        <v>0.5</v>
      </c>
      <c r="X127" s="2">
        <v>1</v>
      </c>
      <c r="Y127" s="2">
        <v>1</v>
      </c>
      <c r="Z127" s="2">
        <v>1</v>
      </c>
      <c r="AA127" s="2">
        <v>2</v>
      </c>
      <c r="AB127" s="2">
        <v>0.5</v>
      </c>
      <c r="AC127" s="2">
        <v>2</v>
      </c>
      <c r="AD127" s="2">
        <v>95</v>
      </c>
      <c r="AE127" s="2">
        <v>6400</v>
      </c>
      <c r="AF127" s="2">
        <v>70</v>
      </c>
      <c r="AG127" s="2">
        <v>495</v>
      </c>
      <c r="AH127" s="2">
        <v>45</v>
      </c>
      <c r="AI127" s="2">
        <v>57</v>
      </c>
      <c r="AJ127" s="1">
        <v>1000000</v>
      </c>
      <c r="AK127" s="1">
        <v>1.3</v>
      </c>
      <c r="AL127" s="1">
        <v>65</v>
      </c>
      <c r="AM127" s="2">
        <v>75.400000000000006</v>
      </c>
      <c r="AN127" s="2">
        <f t="shared" si="1"/>
        <v>24.599999999999994</v>
      </c>
      <c r="AO127" s="3">
        <v>126</v>
      </c>
      <c r="AP127" s="3">
        <v>100</v>
      </c>
      <c r="AQ127" s="3">
        <v>85</v>
      </c>
      <c r="AR127" s="3">
        <v>93</v>
      </c>
      <c r="AS127" s="1">
        <v>44.5</v>
      </c>
      <c r="AT127" s="3">
        <v>1</v>
      </c>
      <c r="AU127" s="3" t="s">
        <v>3051</v>
      </c>
    </row>
    <row r="128" spans="1:47" x14ac:dyDescent="0.3">
      <c r="A128" s="1" t="s">
        <v>389</v>
      </c>
      <c r="B128" s="1" t="s">
        <v>388</v>
      </c>
      <c r="C128" s="1" t="s">
        <v>72</v>
      </c>
      <c r="D128" s="1" t="s">
        <v>52</v>
      </c>
      <c r="E128" s="1" t="s">
        <v>387</v>
      </c>
      <c r="F128" t="s">
        <v>3138</v>
      </c>
      <c r="G128" t="s">
        <v>3165</v>
      </c>
      <c r="H128" t="s">
        <v>3252</v>
      </c>
      <c r="I128" t="s">
        <v>52</v>
      </c>
      <c r="J128" t="s">
        <v>52</v>
      </c>
      <c r="K128" t="s">
        <v>52</v>
      </c>
      <c r="L128" s="2">
        <v>1</v>
      </c>
      <c r="M128" s="2">
        <v>1</v>
      </c>
      <c r="N128" s="2">
        <v>1</v>
      </c>
      <c r="O128" s="2">
        <v>1</v>
      </c>
      <c r="P128" s="2">
        <v>1</v>
      </c>
      <c r="Q128" s="2">
        <v>0.5</v>
      </c>
      <c r="R128" s="2">
        <v>2</v>
      </c>
      <c r="S128" s="2">
        <v>2</v>
      </c>
      <c r="T128" s="2">
        <v>1</v>
      </c>
      <c r="U128" s="2">
        <v>0.5</v>
      </c>
      <c r="V128" s="2">
        <v>0.5</v>
      </c>
      <c r="W128" s="2">
        <v>1</v>
      </c>
      <c r="X128" s="2">
        <v>1</v>
      </c>
      <c r="Y128" s="2">
        <v>1</v>
      </c>
      <c r="Z128" s="2">
        <v>1</v>
      </c>
      <c r="AA128" s="2">
        <v>2</v>
      </c>
      <c r="AB128" s="2">
        <v>1</v>
      </c>
      <c r="AC128" s="2">
        <v>1</v>
      </c>
      <c r="AD128" s="2">
        <v>155</v>
      </c>
      <c r="AE128" s="2">
        <v>6400</v>
      </c>
      <c r="AF128" s="2">
        <v>70</v>
      </c>
      <c r="AG128" s="2">
        <v>600</v>
      </c>
      <c r="AH128" s="2">
        <v>45</v>
      </c>
      <c r="AI128" s="2">
        <v>120</v>
      </c>
      <c r="AJ128" s="1">
        <v>1250000</v>
      </c>
      <c r="AK128" s="1">
        <v>1.5</v>
      </c>
      <c r="AL128" s="1">
        <v>65</v>
      </c>
      <c r="AM128" s="2">
        <v>50</v>
      </c>
      <c r="AN128" s="2">
        <f t="shared" si="1"/>
        <v>50</v>
      </c>
      <c r="AO128" s="3">
        <v>127</v>
      </c>
      <c r="AP128" s="3">
        <v>65</v>
      </c>
      <c r="AQ128" s="3">
        <v>90</v>
      </c>
      <c r="AR128" s="3">
        <v>105</v>
      </c>
      <c r="AS128" s="1">
        <v>55</v>
      </c>
      <c r="AT128" s="3">
        <v>1</v>
      </c>
      <c r="AU128" s="3" t="s">
        <v>3051</v>
      </c>
    </row>
    <row r="129" spans="1:47" x14ac:dyDescent="0.3">
      <c r="A129" s="1" t="s">
        <v>392</v>
      </c>
      <c r="B129" s="1" t="s">
        <v>391</v>
      </c>
      <c r="C129" s="1" t="s">
        <v>90</v>
      </c>
      <c r="D129" s="1" t="s">
        <v>52</v>
      </c>
      <c r="E129" s="1" t="s">
        <v>390</v>
      </c>
      <c r="F129" t="s">
        <v>3120</v>
      </c>
      <c r="G129" t="s">
        <v>3240</v>
      </c>
      <c r="H129" t="s">
        <v>3184</v>
      </c>
      <c r="I129" t="s">
        <v>52</v>
      </c>
      <c r="J129" t="s">
        <v>52</v>
      </c>
      <c r="K129" t="s">
        <v>52</v>
      </c>
      <c r="L129" s="2">
        <v>1</v>
      </c>
      <c r="M129" s="2">
        <v>1</v>
      </c>
      <c r="N129" s="2">
        <v>1</v>
      </c>
      <c r="O129" s="2">
        <v>1</v>
      </c>
      <c r="P129" s="2">
        <v>1</v>
      </c>
      <c r="Q129" s="2">
        <v>2</v>
      </c>
      <c r="R129" s="2">
        <v>1</v>
      </c>
      <c r="S129" s="2">
        <v>1</v>
      </c>
      <c r="T129" s="2">
        <v>0</v>
      </c>
      <c r="U129" s="2">
        <v>1</v>
      </c>
      <c r="V129" s="2">
        <v>1</v>
      </c>
      <c r="W129" s="2">
        <v>1</v>
      </c>
      <c r="X129" s="2">
        <v>1</v>
      </c>
      <c r="Y129" s="2">
        <v>1</v>
      </c>
      <c r="Z129" s="2">
        <v>1</v>
      </c>
      <c r="AA129" s="2">
        <v>1</v>
      </c>
      <c r="AB129" s="2">
        <v>1</v>
      </c>
      <c r="AC129" s="2">
        <v>1</v>
      </c>
      <c r="AD129" s="2">
        <v>100</v>
      </c>
      <c r="AE129" s="2">
        <v>5120</v>
      </c>
      <c r="AF129" s="2">
        <v>70</v>
      </c>
      <c r="AG129" s="2">
        <v>490</v>
      </c>
      <c r="AH129" s="2">
        <v>45</v>
      </c>
      <c r="AI129" s="2">
        <v>95</v>
      </c>
      <c r="AJ129" s="1">
        <v>1250000</v>
      </c>
      <c r="AK129" s="1">
        <v>1.4</v>
      </c>
      <c r="AL129" s="1">
        <v>75</v>
      </c>
      <c r="AM129" s="2">
        <v>100</v>
      </c>
      <c r="AN129" s="2">
        <f t="shared" si="1"/>
        <v>0</v>
      </c>
      <c r="AO129" s="3">
        <v>128</v>
      </c>
      <c r="AP129" s="3">
        <v>40</v>
      </c>
      <c r="AQ129" s="3">
        <v>70</v>
      </c>
      <c r="AR129" s="3">
        <v>110</v>
      </c>
      <c r="AS129" s="1">
        <v>88.4</v>
      </c>
      <c r="AT129" s="3">
        <v>1</v>
      </c>
      <c r="AU129" s="3" t="s">
        <v>3051</v>
      </c>
    </row>
    <row r="130" spans="1:47" x14ac:dyDescent="0.3">
      <c r="A130" s="1" t="s">
        <v>395</v>
      </c>
      <c r="B130" s="1" t="s">
        <v>394</v>
      </c>
      <c r="C130" s="1" t="s">
        <v>62</v>
      </c>
      <c r="D130" s="1" t="s">
        <v>52</v>
      </c>
      <c r="E130" s="1" t="s">
        <v>393</v>
      </c>
      <c r="F130" t="s">
        <v>3143</v>
      </c>
      <c r="G130" t="s">
        <v>3238</v>
      </c>
      <c r="H130" t="s">
        <v>52</v>
      </c>
      <c r="I130" t="s">
        <v>52</v>
      </c>
      <c r="J130" t="s">
        <v>52</v>
      </c>
      <c r="K130" t="s">
        <v>52</v>
      </c>
      <c r="L130" s="2">
        <v>1</v>
      </c>
      <c r="M130" s="2">
        <v>1</v>
      </c>
      <c r="N130" s="2">
        <v>1</v>
      </c>
      <c r="O130" s="2">
        <v>2</v>
      </c>
      <c r="P130" s="2">
        <v>1</v>
      </c>
      <c r="Q130" s="2">
        <v>1</v>
      </c>
      <c r="R130" s="2">
        <v>0.5</v>
      </c>
      <c r="S130" s="2">
        <v>1</v>
      </c>
      <c r="T130" s="2">
        <v>1</v>
      </c>
      <c r="U130" s="2">
        <v>2</v>
      </c>
      <c r="V130" s="2">
        <v>1</v>
      </c>
      <c r="W130" s="2">
        <v>0.5</v>
      </c>
      <c r="X130" s="2">
        <v>1</v>
      </c>
      <c r="Y130" s="2">
        <v>1</v>
      </c>
      <c r="Z130" s="2">
        <v>1</v>
      </c>
      <c r="AA130" s="2">
        <v>1</v>
      </c>
      <c r="AB130" s="2">
        <v>0.5</v>
      </c>
      <c r="AC130" s="2">
        <v>0.5</v>
      </c>
      <c r="AD130" s="2">
        <v>10</v>
      </c>
      <c r="AE130" s="2">
        <v>1280</v>
      </c>
      <c r="AF130" s="2">
        <v>70</v>
      </c>
      <c r="AG130" s="2">
        <v>200</v>
      </c>
      <c r="AH130" s="2">
        <v>255</v>
      </c>
      <c r="AI130" s="2">
        <v>55</v>
      </c>
      <c r="AJ130" s="1">
        <v>1250000</v>
      </c>
      <c r="AK130" s="1">
        <v>0.9</v>
      </c>
      <c r="AL130" s="1">
        <v>20</v>
      </c>
      <c r="AM130" s="2">
        <v>50</v>
      </c>
      <c r="AN130" s="2">
        <f t="shared" si="1"/>
        <v>50</v>
      </c>
      <c r="AO130" s="3">
        <v>129</v>
      </c>
      <c r="AP130" s="3">
        <v>15</v>
      </c>
      <c r="AQ130" s="3">
        <v>20</v>
      </c>
      <c r="AR130" s="3">
        <v>80</v>
      </c>
      <c r="AS130" s="1">
        <v>10</v>
      </c>
      <c r="AT130" s="3">
        <v>1</v>
      </c>
      <c r="AU130" s="3" t="s">
        <v>3051</v>
      </c>
    </row>
    <row r="131" spans="1:47" x14ac:dyDescent="0.3">
      <c r="A131" s="1" t="s">
        <v>398</v>
      </c>
      <c r="B131" s="1" t="s">
        <v>397</v>
      </c>
      <c r="C131" s="1" t="s">
        <v>62</v>
      </c>
      <c r="D131" s="1" t="s">
        <v>58</v>
      </c>
      <c r="E131" s="1" t="s">
        <v>396</v>
      </c>
      <c r="F131" t="s">
        <v>3120</v>
      </c>
      <c r="G131" t="s">
        <v>3252</v>
      </c>
      <c r="H131" t="s">
        <v>52</v>
      </c>
      <c r="I131" t="s">
        <v>52</v>
      </c>
      <c r="J131" t="s">
        <v>52</v>
      </c>
      <c r="K131" t="s">
        <v>52</v>
      </c>
      <c r="L131" s="2">
        <v>0.5</v>
      </c>
      <c r="M131" s="2">
        <v>1</v>
      </c>
      <c r="N131" s="2">
        <v>1</v>
      </c>
      <c r="O131" s="2">
        <v>4</v>
      </c>
      <c r="P131" s="2">
        <v>1</v>
      </c>
      <c r="Q131" s="2">
        <v>0.5</v>
      </c>
      <c r="R131" s="2">
        <v>0.5</v>
      </c>
      <c r="S131" s="2">
        <v>1</v>
      </c>
      <c r="T131" s="2">
        <v>1</v>
      </c>
      <c r="U131" s="2">
        <v>1</v>
      </c>
      <c r="V131" s="2">
        <v>0</v>
      </c>
      <c r="W131" s="2">
        <v>1</v>
      </c>
      <c r="X131" s="2">
        <v>1</v>
      </c>
      <c r="Y131" s="2">
        <v>1</v>
      </c>
      <c r="Z131" s="2">
        <v>1</v>
      </c>
      <c r="AA131" s="2">
        <v>2</v>
      </c>
      <c r="AB131" s="2">
        <v>0.5</v>
      </c>
      <c r="AC131" s="2">
        <v>0.5</v>
      </c>
      <c r="AD131" s="2">
        <v>155</v>
      </c>
      <c r="AE131" s="2">
        <v>1280</v>
      </c>
      <c r="AF131" s="2">
        <v>70</v>
      </c>
      <c r="AG131" s="2">
        <v>640</v>
      </c>
      <c r="AH131" s="2">
        <v>45</v>
      </c>
      <c r="AI131" s="2">
        <v>109</v>
      </c>
      <c r="AJ131" s="1">
        <v>1250000</v>
      </c>
      <c r="AK131" s="1">
        <v>6.5</v>
      </c>
      <c r="AL131" s="1">
        <v>95</v>
      </c>
      <c r="AM131" s="2">
        <v>50</v>
      </c>
      <c r="AN131" s="2">
        <f t="shared" ref="AN131:AN194" si="2">IF(AM131="","",100-AM131)</f>
        <v>50</v>
      </c>
      <c r="AO131" s="3">
        <v>130</v>
      </c>
      <c r="AP131" s="3">
        <v>70</v>
      </c>
      <c r="AQ131" s="3">
        <v>130</v>
      </c>
      <c r="AR131" s="3">
        <v>81</v>
      </c>
      <c r="AS131" s="1">
        <v>235</v>
      </c>
      <c r="AT131" s="3">
        <v>1</v>
      </c>
      <c r="AU131" s="3" t="s">
        <v>3051</v>
      </c>
    </row>
    <row r="132" spans="1:47" x14ac:dyDescent="0.3">
      <c r="A132" s="1" t="s">
        <v>401</v>
      </c>
      <c r="B132" s="1" t="s">
        <v>400</v>
      </c>
      <c r="C132" s="1" t="s">
        <v>62</v>
      </c>
      <c r="D132" s="1" t="s">
        <v>121</v>
      </c>
      <c r="E132" s="1" t="s">
        <v>399</v>
      </c>
      <c r="F132" t="s">
        <v>3092</v>
      </c>
      <c r="G132" t="s">
        <v>3103</v>
      </c>
      <c r="H132" t="s">
        <v>3071</v>
      </c>
      <c r="I132" t="s">
        <v>52</v>
      </c>
      <c r="J132" t="s">
        <v>52</v>
      </c>
      <c r="K132" t="s">
        <v>52</v>
      </c>
      <c r="L132" s="2">
        <v>1</v>
      </c>
      <c r="M132" s="2">
        <v>1</v>
      </c>
      <c r="N132" s="2">
        <v>1</v>
      </c>
      <c r="O132" s="2">
        <v>2</v>
      </c>
      <c r="P132" s="2">
        <v>1</v>
      </c>
      <c r="Q132" s="2">
        <v>2</v>
      </c>
      <c r="R132" s="2">
        <v>1</v>
      </c>
      <c r="S132" s="2">
        <v>1</v>
      </c>
      <c r="T132" s="2">
        <v>1</v>
      </c>
      <c r="U132" s="2">
        <v>2</v>
      </c>
      <c r="V132" s="2">
        <v>1</v>
      </c>
      <c r="W132" s="2">
        <v>0.25</v>
      </c>
      <c r="X132" s="2">
        <v>1</v>
      </c>
      <c r="Y132" s="2">
        <v>1</v>
      </c>
      <c r="Z132" s="2">
        <v>1</v>
      </c>
      <c r="AA132" s="2">
        <v>2</v>
      </c>
      <c r="AB132" s="2">
        <v>1</v>
      </c>
      <c r="AC132" s="2">
        <v>0.5</v>
      </c>
      <c r="AD132" s="2">
        <v>85</v>
      </c>
      <c r="AE132" s="2">
        <v>10240</v>
      </c>
      <c r="AF132" s="2">
        <v>70</v>
      </c>
      <c r="AG132" s="2">
        <v>535</v>
      </c>
      <c r="AH132" s="2">
        <v>45</v>
      </c>
      <c r="AI132" s="2">
        <v>80</v>
      </c>
      <c r="AJ132" s="1">
        <v>1250000</v>
      </c>
      <c r="AK132" s="1">
        <v>2.5</v>
      </c>
      <c r="AL132" s="1">
        <v>130</v>
      </c>
      <c r="AM132" s="2">
        <v>50</v>
      </c>
      <c r="AN132" s="2">
        <f t="shared" si="2"/>
        <v>50</v>
      </c>
      <c r="AO132" s="3">
        <v>131</v>
      </c>
      <c r="AP132" s="3">
        <v>85</v>
      </c>
      <c r="AQ132" s="3">
        <v>95</v>
      </c>
      <c r="AR132" s="3">
        <v>60</v>
      </c>
      <c r="AS132" s="1">
        <v>220</v>
      </c>
      <c r="AT132" s="3">
        <v>1</v>
      </c>
      <c r="AU132" s="3" t="s">
        <v>3051</v>
      </c>
    </row>
    <row r="133" spans="1:47" x14ac:dyDescent="0.3">
      <c r="A133" s="1" t="s">
        <v>404</v>
      </c>
      <c r="B133" s="1" t="s">
        <v>403</v>
      </c>
      <c r="C133" s="1" t="s">
        <v>90</v>
      </c>
      <c r="D133" s="1" t="s">
        <v>52</v>
      </c>
      <c r="E133" s="1" t="s">
        <v>402</v>
      </c>
      <c r="F133" t="s">
        <v>3129</v>
      </c>
      <c r="G133" t="s">
        <v>3253</v>
      </c>
      <c r="H133" t="s">
        <v>52</v>
      </c>
      <c r="I133" t="s">
        <v>52</v>
      </c>
      <c r="J133" t="s">
        <v>52</v>
      </c>
      <c r="K133" t="s">
        <v>52</v>
      </c>
      <c r="L133" s="2">
        <v>1</v>
      </c>
      <c r="M133" s="2">
        <v>1</v>
      </c>
      <c r="N133" s="2">
        <v>1</v>
      </c>
      <c r="O133" s="2">
        <v>1</v>
      </c>
      <c r="P133" s="2">
        <v>1</v>
      </c>
      <c r="Q133" s="2">
        <v>2</v>
      </c>
      <c r="R133" s="2">
        <v>1</v>
      </c>
      <c r="S133" s="2">
        <v>1</v>
      </c>
      <c r="T133" s="2">
        <v>0</v>
      </c>
      <c r="U133" s="2">
        <v>1</v>
      </c>
      <c r="V133" s="2">
        <v>1</v>
      </c>
      <c r="W133" s="2">
        <v>1</v>
      </c>
      <c r="X133" s="2">
        <v>1</v>
      </c>
      <c r="Y133" s="2">
        <v>1</v>
      </c>
      <c r="Z133" s="2">
        <v>1</v>
      </c>
      <c r="AA133" s="2">
        <v>1</v>
      </c>
      <c r="AB133" s="2">
        <v>1</v>
      </c>
      <c r="AC133" s="2">
        <v>1</v>
      </c>
      <c r="AD133" s="2">
        <v>48</v>
      </c>
      <c r="AE133" s="2">
        <v>5120</v>
      </c>
      <c r="AF133" s="2">
        <v>70</v>
      </c>
      <c r="AG133" s="2">
        <v>288</v>
      </c>
      <c r="AH133" s="2">
        <v>35</v>
      </c>
      <c r="AI133" s="2">
        <v>48</v>
      </c>
      <c r="AJ133" s="1">
        <v>1000000</v>
      </c>
      <c r="AK133" s="1">
        <v>0.3</v>
      </c>
      <c r="AL133" s="1">
        <v>48</v>
      </c>
      <c r="AM133" s="2" t="s">
        <v>52</v>
      </c>
      <c r="AN133" s="2" t="str">
        <f t="shared" si="2"/>
        <v/>
      </c>
      <c r="AO133" s="3">
        <v>132</v>
      </c>
      <c r="AP133" s="3">
        <v>48</v>
      </c>
      <c r="AQ133" s="3">
        <v>48</v>
      </c>
      <c r="AR133" s="3">
        <v>48</v>
      </c>
      <c r="AS133" s="1">
        <v>4</v>
      </c>
      <c r="AT133" s="3">
        <v>1</v>
      </c>
      <c r="AU133" s="3" t="s">
        <v>3051</v>
      </c>
    </row>
    <row r="134" spans="1:47" x14ac:dyDescent="0.3">
      <c r="A134" s="1" t="s">
        <v>407</v>
      </c>
      <c r="B134" s="1" t="s">
        <v>406</v>
      </c>
      <c r="C134" s="1" t="s">
        <v>90</v>
      </c>
      <c r="D134" s="1" t="s">
        <v>52</v>
      </c>
      <c r="E134" s="1" t="s">
        <v>405</v>
      </c>
      <c r="F134" t="s">
        <v>3119</v>
      </c>
      <c r="G134" t="s">
        <v>3176</v>
      </c>
      <c r="H134" t="s">
        <v>3166</v>
      </c>
      <c r="I134" t="s">
        <v>52</v>
      </c>
      <c r="J134" t="s">
        <v>52</v>
      </c>
      <c r="K134" t="s">
        <v>52</v>
      </c>
      <c r="L134" s="2">
        <v>1</v>
      </c>
      <c r="M134" s="2">
        <v>1</v>
      </c>
      <c r="N134" s="2">
        <v>1</v>
      </c>
      <c r="O134" s="2">
        <v>1</v>
      </c>
      <c r="P134" s="2">
        <v>1</v>
      </c>
      <c r="Q134" s="2">
        <v>2</v>
      </c>
      <c r="R134" s="2">
        <v>1</v>
      </c>
      <c r="S134" s="2">
        <v>1</v>
      </c>
      <c r="T134" s="2">
        <v>0</v>
      </c>
      <c r="U134" s="2">
        <v>1</v>
      </c>
      <c r="V134" s="2">
        <v>1</v>
      </c>
      <c r="W134" s="2">
        <v>1</v>
      </c>
      <c r="X134" s="2">
        <v>1</v>
      </c>
      <c r="Y134" s="2">
        <v>1</v>
      </c>
      <c r="Z134" s="2">
        <v>1</v>
      </c>
      <c r="AA134" s="2">
        <v>1</v>
      </c>
      <c r="AB134" s="2">
        <v>1</v>
      </c>
      <c r="AC134" s="2">
        <v>1</v>
      </c>
      <c r="AD134" s="2">
        <v>55</v>
      </c>
      <c r="AE134" s="2">
        <v>8960</v>
      </c>
      <c r="AF134" s="2">
        <v>70</v>
      </c>
      <c r="AG134" s="2">
        <v>325</v>
      </c>
      <c r="AH134" s="2">
        <v>45</v>
      </c>
      <c r="AI134" s="2">
        <v>50</v>
      </c>
      <c r="AJ134" s="1">
        <v>1000000</v>
      </c>
      <c r="AK134" s="1">
        <v>0.3</v>
      </c>
      <c r="AL134" s="1">
        <v>55</v>
      </c>
      <c r="AM134" s="2">
        <v>88.1</v>
      </c>
      <c r="AN134" s="2">
        <f t="shared" si="2"/>
        <v>11.900000000000006</v>
      </c>
      <c r="AO134" s="3">
        <v>133</v>
      </c>
      <c r="AP134" s="3">
        <v>45</v>
      </c>
      <c r="AQ134" s="3">
        <v>65</v>
      </c>
      <c r="AR134" s="3">
        <v>55</v>
      </c>
      <c r="AS134" s="1">
        <v>6.5</v>
      </c>
      <c r="AT134" s="3">
        <v>1</v>
      </c>
      <c r="AU134" s="3" t="s">
        <v>3051</v>
      </c>
    </row>
    <row r="135" spans="1:47" x14ac:dyDescent="0.3">
      <c r="A135" s="1" t="s">
        <v>410</v>
      </c>
      <c r="B135" s="1" t="s">
        <v>409</v>
      </c>
      <c r="C135" s="1" t="s">
        <v>62</v>
      </c>
      <c r="D135" s="1" t="s">
        <v>52</v>
      </c>
      <c r="E135" s="1" t="s">
        <v>408</v>
      </c>
      <c r="F135" t="s">
        <v>3092</v>
      </c>
      <c r="G135" t="s">
        <v>3071</v>
      </c>
      <c r="H135" t="s">
        <v>52</v>
      </c>
      <c r="I135" t="s">
        <v>52</v>
      </c>
      <c r="J135" t="s">
        <v>52</v>
      </c>
      <c r="K135" t="s">
        <v>52</v>
      </c>
      <c r="L135" s="2">
        <v>1</v>
      </c>
      <c r="M135" s="2">
        <v>1</v>
      </c>
      <c r="N135" s="2">
        <v>1</v>
      </c>
      <c r="O135" s="2">
        <v>2</v>
      </c>
      <c r="P135" s="2">
        <v>1</v>
      </c>
      <c r="Q135" s="2">
        <v>1</v>
      </c>
      <c r="R135" s="2">
        <v>0.5</v>
      </c>
      <c r="S135" s="2">
        <v>1</v>
      </c>
      <c r="T135" s="2">
        <v>1</v>
      </c>
      <c r="U135" s="2">
        <v>2</v>
      </c>
      <c r="V135" s="2">
        <v>1</v>
      </c>
      <c r="W135" s="2">
        <v>0.5</v>
      </c>
      <c r="X135" s="2">
        <v>1</v>
      </c>
      <c r="Y135" s="2">
        <v>1</v>
      </c>
      <c r="Z135" s="2">
        <v>1</v>
      </c>
      <c r="AA135" s="2">
        <v>1</v>
      </c>
      <c r="AB135" s="2">
        <v>0.5</v>
      </c>
      <c r="AC135" s="2">
        <v>0.5</v>
      </c>
      <c r="AD135" s="2">
        <v>65</v>
      </c>
      <c r="AE135" s="2">
        <v>8960</v>
      </c>
      <c r="AF135" s="2">
        <v>70</v>
      </c>
      <c r="AG135" s="2">
        <v>525</v>
      </c>
      <c r="AH135" s="2">
        <v>45</v>
      </c>
      <c r="AI135" s="2">
        <v>60</v>
      </c>
      <c r="AJ135" s="1">
        <v>1000000</v>
      </c>
      <c r="AK135" s="1">
        <v>1</v>
      </c>
      <c r="AL135" s="1">
        <v>130</v>
      </c>
      <c r="AM135" s="2">
        <v>88.1</v>
      </c>
      <c r="AN135" s="2">
        <f t="shared" si="2"/>
        <v>11.900000000000006</v>
      </c>
      <c r="AO135" s="3">
        <v>134</v>
      </c>
      <c r="AP135" s="3">
        <v>110</v>
      </c>
      <c r="AQ135" s="3">
        <v>95</v>
      </c>
      <c r="AR135" s="3">
        <v>65</v>
      </c>
      <c r="AS135" s="1">
        <v>29</v>
      </c>
      <c r="AT135" s="3">
        <v>1</v>
      </c>
      <c r="AU135" s="3" t="s">
        <v>3051</v>
      </c>
    </row>
    <row r="136" spans="1:47" x14ac:dyDescent="0.3">
      <c r="A136" s="1" t="s">
        <v>413</v>
      </c>
      <c r="B136" s="1" t="s">
        <v>412</v>
      </c>
      <c r="C136" s="1" t="s">
        <v>115</v>
      </c>
      <c r="D136" s="1" t="s">
        <v>52</v>
      </c>
      <c r="E136" s="1" t="s">
        <v>411</v>
      </c>
      <c r="F136" t="s">
        <v>3146</v>
      </c>
      <c r="G136" t="s">
        <v>3254</v>
      </c>
      <c r="H136" t="s">
        <v>52</v>
      </c>
      <c r="I136" t="s">
        <v>52</v>
      </c>
      <c r="J136" t="s">
        <v>52</v>
      </c>
      <c r="K136" t="s">
        <v>52</v>
      </c>
      <c r="L136" s="2">
        <v>1</v>
      </c>
      <c r="M136" s="2">
        <v>1</v>
      </c>
      <c r="N136" s="2">
        <v>1</v>
      </c>
      <c r="O136" s="2">
        <v>0.5</v>
      </c>
      <c r="P136" s="2">
        <v>1</v>
      </c>
      <c r="Q136" s="2">
        <v>1</v>
      </c>
      <c r="R136" s="2">
        <v>1</v>
      </c>
      <c r="S136" s="2">
        <v>0.5</v>
      </c>
      <c r="T136" s="2">
        <v>1</v>
      </c>
      <c r="U136" s="2">
        <v>1</v>
      </c>
      <c r="V136" s="2">
        <v>2</v>
      </c>
      <c r="W136" s="2">
        <v>1</v>
      </c>
      <c r="X136" s="2">
        <v>1</v>
      </c>
      <c r="Y136" s="2">
        <v>1</v>
      </c>
      <c r="Z136" s="2">
        <v>1</v>
      </c>
      <c r="AA136" s="2">
        <v>1</v>
      </c>
      <c r="AB136" s="2">
        <v>0.5</v>
      </c>
      <c r="AC136" s="2">
        <v>1</v>
      </c>
      <c r="AD136" s="2">
        <v>65</v>
      </c>
      <c r="AE136" s="2">
        <v>8960</v>
      </c>
      <c r="AF136" s="2">
        <v>70</v>
      </c>
      <c r="AG136" s="2">
        <v>525</v>
      </c>
      <c r="AH136" s="2">
        <v>45</v>
      </c>
      <c r="AI136" s="2">
        <v>60</v>
      </c>
      <c r="AJ136" s="1">
        <v>1000000</v>
      </c>
      <c r="AK136" s="1">
        <v>0.8</v>
      </c>
      <c r="AL136" s="1">
        <v>65</v>
      </c>
      <c r="AM136" s="2">
        <v>88.1</v>
      </c>
      <c r="AN136" s="2">
        <f t="shared" si="2"/>
        <v>11.900000000000006</v>
      </c>
      <c r="AO136" s="3">
        <v>135</v>
      </c>
      <c r="AP136" s="3">
        <v>110</v>
      </c>
      <c r="AQ136" s="3">
        <v>95</v>
      </c>
      <c r="AR136" s="3">
        <v>130</v>
      </c>
      <c r="AS136" s="1">
        <v>24.5</v>
      </c>
      <c r="AT136" s="3">
        <v>1</v>
      </c>
      <c r="AU136" s="3" t="s">
        <v>3051</v>
      </c>
    </row>
    <row r="137" spans="1:47" x14ac:dyDescent="0.3">
      <c r="A137" s="1" t="s">
        <v>415</v>
      </c>
      <c r="B137" s="1" t="s">
        <v>414</v>
      </c>
      <c r="C137" s="1" t="s">
        <v>51</v>
      </c>
      <c r="D137" s="1" t="s">
        <v>52</v>
      </c>
      <c r="E137" s="1" t="s">
        <v>53</v>
      </c>
      <c r="F137" t="s">
        <v>3125</v>
      </c>
      <c r="G137" t="s">
        <v>3131</v>
      </c>
      <c r="H137" t="s">
        <v>52</v>
      </c>
      <c r="I137" t="s">
        <v>52</v>
      </c>
      <c r="J137" t="s">
        <v>52</v>
      </c>
      <c r="K137" t="s">
        <v>52</v>
      </c>
      <c r="L137" s="2">
        <v>0.5</v>
      </c>
      <c r="M137" s="2">
        <v>1</v>
      </c>
      <c r="N137" s="2">
        <v>1</v>
      </c>
      <c r="O137" s="2">
        <v>1</v>
      </c>
      <c r="P137" s="2">
        <v>0.5</v>
      </c>
      <c r="Q137" s="2">
        <v>1</v>
      </c>
      <c r="R137" s="2">
        <v>0.5</v>
      </c>
      <c r="S137" s="2">
        <v>1</v>
      </c>
      <c r="T137" s="2">
        <v>1</v>
      </c>
      <c r="U137" s="2">
        <v>0.5</v>
      </c>
      <c r="V137" s="2">
        <v>2</v>
      </c>
      <c r="W137" s="2">
        <v>0.5</v>
      </c>
      <c r="X137" s="2">
        <v>1</v>
      </c>
      <c r="Y137" s="2">
        <v>1</v>
      </c>
      <c r="Z137" s="2">
        <v>1</v>
      </c>
      <c r="AA137" s="2">
        <v>2</v>
      </c>
      <c r="AB137" s="2">
        <v>0.5</v>
      </c>
      <c r="AC137" s="2">
        <v>2</v>
      </c>
      <c r="AD137" s="2">
        <v>130</v>
      </c>
      <c r="AE137" s="2">
        <v>8960</v>
      </c>
      <c r="AF137" s="2">
        <v>70</v>
      </c>
      <c r="AG137" s="2">
        <v>525</v>
      </c>
      <c r="AH137" s="2">
        <v>45</v>
      </c>
      <c r="AI137" s="2">
        <v>60</v>
      </c>
      <c r="AJ137" s="1">
        <v>1000000</v>
      </c>
      <c r="AK137" s="1">
        <v>0.9</v>
      </c>
      <c r="AL137" s="1">
        <v>65</v>
      </c>
      <c r="AM137" s="2">
        <v>88.1</v>
      </c>
      <c r="AN137" s="2">
        <f t="shared" si="2"/>
        <v>11.900000000000006</v>
      </c>
      <c r="AO137" s="3">
        <v>136</v>
      </c>
      <c r="AP137" s="3">
        <v>95</v>
      </c>
      <c r="AQ137" s="3">
        <v>110</v>
      </c>
      <c r="AR137" s="3">
        <v>65</v>
      </c>
      <c r="AS137" s="1">
        <v>25</v>
      </c>
      <c r="AT137" s="3">
        <v>1</v>
      </c>
      <c r="AU137" s="3" t="s">
        <v>3051</v>
      </c>
    </row>
    <row r="138" spans="1:47" x14ac:dyDescent="0.3">
      <c r="A138" s="1" t="s">
        <v>418</v>
      </c>
      <c r="B138" s="1" t="s">
        <v>417</v>
      </c>
      <c r="C138" s="1" t="s">
        <v>90</v>
      </c>
      <c r="D138" s="1" t="s">
        <v>52</v>
      </c>
      <c r="E138" s="1" t="s">
        <v>416</v>
      </c>
      <c r="F138" t="s">
        <v>3147</v>
      </c>
      <c r="G138" t="s">
        <v>3083</v>
      </c>
      <c r="H138" t="s">
        <v>3243</v>
      </c>
      <c r="I138" t="s">
        <v>52</v>
      </c>
      <c r="J138" t="s">
        <v>52</v>
      </c>
      <c r="K138" t="s">
        <v>52</v>
      </c>
      <c r="L138" s="2">
        <v>1</v>
      </c>
      <c r="M138" s="2">
        <v>1</v>
      </c>
      <c r="N138" s="2">
        <v>1</v>
      </c>
      <c r="O138" s="2">
        <v>1</v>
      </c>
      <c r="P138" s="2">
        <v>1</v>
      </c>
      <c r="Q138" s="2">
        <v>2</v>
      </c>
      <c r="R138" s="2">
        <v>1</v>
      </c>
      <c r="S138" s="2">
        <v>1</v>
      </c>
      <c r="T138" s="2">
        <v>0</v>
      </c>
      <c r="U138" s="2">
        <v>1</v>
      </c>
      <c r="V138" s="2">
        <v>1</v>
      </c>
      <c r="W138" s="2">
        <v>1</v>
      </c>
      <c r="X138" s="2">
        <v>1</v>
      </c>
      <c r="Y138" s="2">
        <v>1</v>
      </c>
      <c r="Z138" s="2">
        <v>1</v>
      </c>
      <c r="AA138" s="2">
        <v>1</v>
      </c>
      <c r="AB138" s="2">
        <v>1</v>
      </c>
      <c r="AC138" s="2">
        <v>1</v>
      </c>
      <c r="AD138" s="2">
        <v>60</v>
      </c>
      <c r="AE138" s="2">
        <v>5120</v>
      </c>
      <c r="AF138" s="2">
        <v>70</v>
      </c>
      <c r="AG138" s="2">
        <v>395</v>
      </c>
      <c r="AH138" s="2">
        <v>45</v>
      </c>
      <c r="AI138" s="2">
        <v>70</v>
      </c>
      <c r="AJ138" s="1">
        <v>1000000</v>
      </c>
      <c r="AK138" s="1">
        <v>0.8</v>
      </c>
      <c r="AL138" s="1">
        <v>65</v>
      </c>
      <c r="AM138" s="2" t="s">
        <v>52</v>
      </c>
      <c r="AN138" s="2" t="str">
        <f t="shared" si="2"/>
        <v/>
      </c>
      <c r="AO138" s="3">
        <v>137</v>
      </c>
      <c r="AP138" s="3">
        <v>85</v>
      </c>
      <c r="AQ138" s="3">
        <v>75</v>
      </c>
      <c r="AR138" s="3">
        <v>40</v>
      </c>
      <c r="AS138" s="1">
        <v>36.5</v>
      </c>
      <c r="AT138" s="3">
        <v>1</v>
      </c>
      <c r="AU138" s="3" t="s">
        <v>3051</v>
      </c>
    </row>
    <row r="139" spans="1:47" x14ac:dyDescent="0.3">
      <c r="A139" s="1" t="s">
        <v>421</v>
      </c>
      <c r="B139" s="1" t="s">
        <v>420</v>
      </c>
      <c r="C139" s="1" t="s">
        <v>243</v>
      </c>
      <c r="D139" s="1" t="s">
        <v>62</v>
      </c>
      <c r="E139" s="1" t="s">
        <v>419</v>
      </c>
      <c r="F139" t="s">
        <v>3143</v>
      </c>
      <c r="G139" t="s">
        <v>3103</v>
      </c>
      <c r="H139" t="s">
        <v>3247</v>
      </c>
      <c r="I139" t="s">
        <v>52</v>
      </c>
      <c r="J139" t="s">
        <v>52</v>
      </c>
      <c r="K139" t="s">
        <v>52</v>
      </c>
      <c r="L139" s="2">
        <v>1</v>
      </c>
      <c r="M139" s="2">
        <v>1</v>
      </c>
      <c r="N139" s="2">
        <v>1</v>
      </c>
      <c r="O139" s="2">
        <v>2</v>
      </c>
      <c r="P139" s="2">
        <v>1</v>
      </c>
      <c r="Q139" s="2">
        <v>2</v>
      </c>
      <c r="R139" s="2">
        <v>0.25</v>
      </c>
      <c r="S139" s="2">
        <v>0.5</v>
      </c>
      <c r="T139" s="2">
        <v>1</v>
      </c>
      <c r="U139" s="2">
        <v>4</v>
      </c>
      <c r="V139" s="2">
        <v>2</v>
      </c>
      <c r="W139" s="2">
        <v>0.5</v>
      </c>
      <c r="X139" s="2">
        <v>0.5</v>
      </c>
      <c r="Y139" s="2">
        <v>0.5</v>
      </c>
      <c r="Z139" s="2">
        <v>1</v>
      </c>
      <c r="AA139" s="2">
        <v>1</v>
      </c>
      <c r="AB139" s="2">
        <v>1</v>
      </c>
      <c r="AC139" s="2">
        <v>1</v>
      </c>
      <c r="AD139" s="2">
        <v>40</v>
      </c>
      <c r="AE139" s="2">
        <v>7680</v>
      </c>
      <c r="AF139" s="2">
        <v>70</v>
      </c>
      <c r="AG139" s="2">
        <v>355</v>
      </c>
      <c r="AH139" s="2">
        <v>45</v>
      </c>
      <c r="AI139" s="2">
        <v>100</v>
      </c>
      <c r="AJ139" s="1">
        <v>1000000</v>
      </c>
      <c r="AK139" s="1">
        <v>0.4</v>
      </c>
      <c r="AL139" s="1">
        <v>35</v>
      </c>
      <c r="AM139" s="2">
        <v>88.1</v>
      </c>
      <c r="AN139" s="2">
        <f t="shared" si="2"/>
        <v>11.900000000000006</v>
      </c>
      <c r="AO139" s="3">
        <v>138</v>
      </c>
      <c r="AP139" s="3">
        <v>90</v>
      </c>
      <c r="AQ139" s="3">
        <v>55</v>
      </c>
      <c r="AR139" s="3">
        <v>35</v>
      </c>
      <c r="AS139" s="1">
        <v>7.5</v>
      </c>
      <c r="AT139" s="3">
        <v>1</v>
      </c>
      <c r="AU139" s="3" t="s">
        <v>3051</v>
      </c>
    </row>
    <row r="140" spans="1:47" x14ac:dyDescent="0.3">
      <c r="A140" s="1" t="s">
        <v>423</v>
      </c>
      <c r="B140" s="1" t="s">
        <v>422</v>
      </c>
      <c r="C140" s="1" t="s">
        <v>243</v>
      </c>
      <c r="D140" s="1" t="s">
        <v>62</v>
      </c>
      <c r="E140" s="1" t="s">
        <v>419</v>
      </c>
      <c r="F140" t="s">
        <v>3143</v>
      </c>
      <c r="G140" t="s">
        <v>3103</v>
      </c>
      <c r="H140" t="s">
        <v>3247</v>
      </c>
      <c r="I140" t="s">
        <v>52</v>
      </c>
      <c r="J140" t="s">
        <v>52</v>
      </c>
      <c r="K140" t="s">
        <v>52</v>
      </c>
      <c r="L140" s="2">
        <v>1</v>
      </c>
      <c r="M140" s="2">
        <v>1</v>
      </c>
      <c r="N140" s="2">
        <v>1</v>
      </c>
      <c r="O140" s="2">
        <v>2</v>
      </c>
      <c r="P140" s="2">
        <v>1</v>
      </c>
      <c r="Q140" s="2">
        <v>2</v>
      </c>
      <c r="R140" s="2">
        <v>0.25</v>
      </c>
      <c r="S140" s="2">
        <v>0.5</v>
      </c>
      <c r="T140" s="2">
        <v>1</v>
      </c>
      <c r="U140" s="2">
        <v>4</v>
      </c>
      <c r="V140" s="2">
        <v>2</v>
      </c>
      <c r="W140" s="2">
        <v>0.5</v>
      </c>
      <c r="X140" s="2">
        <v>0.5</v>
      </c>
      <c r="Y140" s="2">
        <v>0.5</v>
      </c>
      <c r="Z140" s="2">
        <v>1</v>
      </c>
      <c r="AA140" s="2">
        <v>1</v>
      </c>
      <c r="AB140" s="2">
        <v>1</v>
      </c>
      <c r="AC140" s="2">
        <v>1</v>
      </c>
      <c r="AD140" s="2">
        <v>60</v>
      </c>
      <c r="AE140" s="2">
        <v>7680</v>
      </c>
      <c r="AF140" s="2">
        <v>70</v>
      </c>
      <c r="AG140" s="2">
        <v>495</v>
      </c>
      <c r="AH140" s="2">
        <v>45</v>
      </c>
      <c r="AI140" s="2">
        <v>125</v>
      </c>
      <c r="AJ140" s="1">
        <v>1000000</v>
      </c>
      <c r="AK140" s="1">
        <v>1</v>
      </c>
      <c r="AL140" s="1">
        <v>70</v>
      </c>
      <c r="AM140" s="2">
        <v>88.1</v>
      </c>
      <c r="AN140" s="2">
        <f t="shared" si="2"/>
        <v>11.900000000000006</v>
      </c>
      <c r="AO140" s="3">
        <v>139</v>
      </c>
      <c r="AP140" s="3">
        <v>115</v>
      </c>
      <c r="AQ140" s="3">
        <v>70</v>
      </c>
      <c r="AR140" s="3">
        <v>55</v>
      </c>
      <c r="AS140" s="1">
        <v>35</v>
      </c>
      <c r="AT140" s="3">
        <v>1</v>
      </c>
      <c r="AU140" s="3" t="s">
        <v>3051</v>
      </c>
    </row>
    <row r="141" spans="1:47" x14ac:dyDescent="0.3">
      <c r="A141" s="1" t="s">
        <v>425</v>
      </c>
      <c r="B141" s="1" t="s">
        <v>424</v>
      </c>
      <c r="C141" s="1" t="s">
        <v>243</v>
      </c>
      <c r="D141" s="1" t="s">
        <v>62</v>
      </c>
      <c r="E141" s="1" t="s">
        <v>66</v>
      </c>
      <c r="F141" t="s">
        <v>3143</v>
      </c>
      <c r="G141" t="s">
        <v>3099</v>
      </c>
      <c r="H141" t="s">
        <v>3247</v>
      </c>
      <c r="I141" t="s">
        <v>52</v>
      </c>
      <c r="J141" t="s">
        <v>52</v>
      </c>
      <c r="K141" t="s">
        <v>52</v>
      </c>
      <c r="L141" s="2">
        <v>1</v>
      </c>
      <c r="M141" s="2">
        <v>1</v>
      </c>
      <c r="N141" s="2">
        <v>1</v>
      </c>
      <c r="O141" s="2">
        <v>2</v>
      </c>
      <c r="P141" s="2">
        <v>1</v>
      </c>
      <c r="Q141" s="2">
        <v>2</v>
      </c>
      <c r="R141" s="2">
        <v>0.25</v>
      </c>
      <c r="S141" s="2">
        <v>0.5</v>
      </c>
      <c r="T141" s="2">
        <v>1</v>
      </c>
      <c r="U141" s="2">
        <v>4</v>
      </c>
      <c r="V141" s="2">
        <v>2</v>
      </c>
      <c r="W141" s="2">
        <v>0.5</v>
      </c>
      <c r="X141" s="2">
        <v>0.5</v>
      </c>
      <c r="Y141" s="2">
        <v>0.5</v>
      </c>
      <c r="Z141" s="2">
        <v>1</v>
      </c>
      <c r="AA141" s="2">
        <v>1</v>
      </c>
      <c r="AB141" s="2">
        <v>1</v>
      </c>
      <c r="AC141" s="2">
        <v>1</v>
      </c>
      <c r="AD141" s="2">
        <v>80</v>
      </c>
      <c r="AE141" s="2">
        <v>7680</v>
      </c>
      <c r="AF141" s="2">
        <v>70</v>
      </c>
      <c r="AG141" s="2">
        <v>355</v>
      </c>
      <c r="AH141" s="2">
        <v>45</v>
      </c>
      <c r="AI141" s="2">
        <v>90</v>
      </c>
      <c r="AJ141" s="1">
        <v>1000000</v>
      </c>
      <c r="AK141" s="1">
        <v>0.5</v>
      </c>
      <c r="AL141" s="1">
        <v>30</v>
      </c>
      <c r="AM141" s="2">
        <v>88.1</v>
      </c>
      <c r="AN141" s="2">
        <f t="shared" si="2"/>
        <v>11.900000000000006</v>
      </c>
      <c r="AO141" s="3">
        <v>140</v>
      </c>
      <c r="AP141" s="3">
        <v>55</v>
      </c>
      <c r="AQ141" s="3">
        <v>45</v>
      </c>
      <c r="AR141" s="3">
        <v>55</v>
      </c>
      <c r="AS141" s="1">
        <v>11.5</v>
      </c>
      <c r="AT141" s="3">
        <v>1</v>
      </c>
      <c r="AU141" s="3" t="s">
        <v>3051</v>
      </c>
    </row>
    <row r="142" spans="1:47" x14ac:dyDescent="0.3">
      <c r="A142" s="1" t="s">
        <v>427</v>
      </c>
      <c r="B142" s="1" t="s">
        <v>426</v>
      </c>
      <c r="C142" s="1" t="s">
        <v>243</v>
      </c>
      <c r="D142" s="1" t="s">
        <v>62</v>
      </c>
      <c r="E142" s="1" t="s">
        <v>66</v>
      </c>
      <c r="F142" t="s">
        <v>3143</v>
      </c>
      <c r="G142" t="s">
        <v>3099</v>
      </c>
      <c r="H142" t="s">
        <v>3247</v>
      </c>
      <c r="I142" t="s">
        <v>52</v>
      </c>
      <c r="J142" t="s">
        <v>52</v>
      </c>
      <c r="K142" t="s">
        <v>52</v>
      </c>
      <c r="L142" s="2">
        <v>1</v>
      </c>
      <c r="M142" s="2">
        <v>1</v>
      </c>
      <c r="N142" s="2">
        <v>1</v>
      </c>
      <c r="O142" s="2">
        <v>2</v>
      </c>
      <c r="P142" s="2">
        <v>1</v>
      </c>
      <c r="Q142" s="2">
        <v>2</v>
      </c>
      <c r="R142" s="2">
        <v>0.25</v>
      </c>
      <c r="S142" s="2">
        <v>0.5</v>
      </c>
      <c r="T142" s="2">
        <v>1</v>
      </c>
      <c r="U142" s="2">
        <v>4</v>
      </c>
      <c r="V142" s="2">
        <v>2</v>
      </c>
      <c r="W142" s="2">
        <v>0.5</v>
      </c>
      <c r="X142" s="2">
        <v>0.5</v>
      </c>
      <c r="Y142" s="2">
        <v>0.5</v>
      </c>
      <c r="Z142" s="2">
        <v>1</v>
      </c>
      <c r="AA142" s="2">
        <v>1</v>
      </c>
      <c r="AB142" s="2">
        <v>1</v>
      </c>
      <c r="AC142" s="2">
        <v>1</v>
      </c>
      <c r="AD142" s="2">
        <v>115</v>
      </c>
      <c r="AE142" s="2">
        <v>7680</v>
      </c>
      <c r="AF142" s="2">
        <v>70</v>
      </c>
      <c r="AG142" s="2">
        <v>495</v>
      </c>
      <c r="AH142" s="2">
        <v>45</v>
      </c>
      <c r="AI142" s="2">
        <v>105</v>
      </c>
      <c r="AJ142" s="1">
        <v>1000000</v>
      </c>
      <c r="AK142" s="1">
        <v>1.3</v>
      </c>
      <c r="AL142" s="1">
        <v>60</v>
      </c>
      <c r="AM142" s="2">
        <v>88.1</v>
      </c>
      <c r="AN142" s="2">
        <f t="shared" si="2"/>
        <v>11.900000000000006</v>
      </c>
      <c r="AO142" s="3">
        <v>141</v>
      </c>
      <c r="AP142" s="3">
        <v>65</v>
      </c>
      <c r="AQ142" s="3">
        <v>70</v>
      </c>
      <c r="AR142" s="3">
        <v>80</v>
      </c>
      <c r="AS142" s="1">
        <v>40.5</v>
      </c>
      <c r="AT142" s="3">
        <v>1</v>
      </c>
      <c r="AU142" s="3" t="s">
        <v>3051</v>
      </c>
    </row>
    <row r="143" spans="1:47" x14ac:dyDescent="0.3">
      <c r="A143" s="1" t="s">
        <v>430</v>
      </c>
      <c r="B143" s="1" t="s">
        <v>429</v>
      </c>
      <c r="C143" s="1" t="s">
        <v>243</v>
      </c>
      <c r="D143" s="1" t="s">
        <v>58</v>
      </c>
      <c r="E143" s="1" t="s">
        <v>428</v>
      </c>
      <c r="F143" t="s">
        <v>3132</v>
      </c>
      <c r="G143" t="s">
        <v>3067</v>
      </c>
      <c r="H143" t="s">
        <v>3228</v>
      </c>
      <c r="I143" t="s">
        <v>52</v>
      </c>
      <c r="J143" t="s">
        <v>52</v>
      </c>
      <c r="K143" t="s">
        <v>52</v>
      </c>
      <c r="L143" s="2">
        <v>0.5</v>
      </c>
      <c r="M143" s="2">
        <v>1</v>
      </c>
      <c r="N143" s="2">
        <v>1</v>
      </c>
      <c r="O143" s="2">
        <v>2</v>
      </c>
      <c r="P143" s="2">
        <v>1</v>
      </c>
      <c r="Q143" s="2">
        <v>1</v>
      </c>
      <c r="R143" s="2">
        <v>0.5</v>
      </c>
      <c r="S143" s="2">
        <v>0.5</v>
      </c>
      <c r="T143" s="2">
        <v>1</v>
      </c>
      <c r="U143" s="2">
        <v>1</v>
      </c>
      <c r="V143" s="2">
        <v>0</v>
      </c>
      <c r="W143" s="2">
        <v>2</v>
      </c>
      <c r="X143" s="2">
        <v>0.5</v>
      </c>
      <c r="Y143" s="2">
        <v>0.5</v>
      </c>
      <c r="Z143" s="2">
        <v>1</v>
      </c>
      <c r="AA143" s="2">
        <v>2</v>
      </c>
      <c r="AB143" s="2">
        <v>2</v>
      </c>
      <c r="AC143" s="2">
        <v>2</v>
      </c>
      <c r="AD143" s="2">
        <v>135</v>
      </c>
      <c r="AE143" s="2">
        <v>8960</v>
      </c>
      <c r="AF143" s="2">
        <v>70</v>
      </c>
      <c r="AG143" s="2">
        <v>615</v>
      </c>
      <c r="AH143" s="2">
        <v>45</v>
      </c>
      <c r="AI143" s="2">
        <v>85</v>
      </c>
      <c r="AJ143" s="1">
        <v>1250000</v>
      </c>
      <c r="AK143" s="1">
        <v>1.8</v>
      </c>
      <c r="AL143" s="1">
        <v>80</v>
      </c>
      <c r="AM143" s="2">
        <v>88.1</v>
      </c>
      <c r="AN143" s="2">
        <f t="shared" si="2"/>
        <v>11.900000000000006</v>
      </c>
      <c r="AO143" s="3">
        <v>142</v>
      </c>
      <c r="AP143" s="3">
        <v>70</v>
      </c>
      <c r="AQ143" s="3">
        <v>95</v>
      </c>
      <c r="AR143" s="3">
        <v>150</v>
      </c>
      <c r="AS143" s="1">
        <v>59</v>
      </c>
      <c r="AT143" s="3">
        <v>1</v>
      </c>
      <c r="AU143" s="3" t="s">
        <v>3051</v>
      </c>
    </row>
    <row r="144" spans="1:47" x14ac:dyDescent="0.3">
      <c r="A144" s="1" t="s">
        <v>433</v>
      </c>
      <c r="B144" s="1" t="s">
        <v>432</v>
      </c>
      <c r="C144" s="1" t="s">
        <v>90</v>
      </c>
      <c r="D144" s="1" t="s">
        <v>52</v>
      </c>
      <c r="E144" s="1" t="s">
        <v>431</v>
      </c>
      <c r="F144" t="s">
        <v>3148</v>
      </c>
      <c r="G144" t="s">
        <v>3135</v>
      </c>
      <c r="H144" t="s">
        <v>3177</v>
      </c>
      <c r="I144" t="s">
        <v>52</v>
      </c>
      <c r="J144" t="s">
        <v>52</v>
      </c>
      <c r="K144" t="s">
        <v>52</v>
      </c>
      <c r="L144" s="2">
        <v>1</v>
      </c>
      <c r="M144" s="2">
        <v>1</v>
      </c>
      <c r="N144" s="2">
        <v>1</v>
      </c>
      <c r="O144" s="2">
        <v>1</v>
      </c>
      <c r="P144" s="2">
        <v>1</v>
      </c>
      <c r="Q144" s="2">
        <v>2</v>
      </c>
      <c r="R144" s="2">
        <v>1</v>
      </c>
      <c r="S144" s="2">
        <v>1</v>
      </c>
      <c r="T144" s="2">
        <v>0</v>
      </c>
      <c r="U144" s="2">
        <v>1</v>
      </c>
      <c r="V144" s="2">
        <v>1</v>
      </c>
      <c r="W144" s="2">
        <v>1</v>
      </c>
      <c r="X144" s="2">
        <v>1</v>
      </c>
      <c r="Y144" s="2">
        <v>1</v>
      </c>
      <c r="Z144" s="2">
        <v>1</v>
      </c>
      <c r="AA144" s="2">
        <v>1</v>
      </c>
      <c r="AB144" s="2">
        <v>1</v>
      </c>
      <c r="AC144" s="2">
        <v>1</v>
      </c>
      <c r="AD144" s="2">
        <v>110</v>
      </c>
      <c r="AE144" s="2">
        <v>10240</v>
      </c>
      <c r="AF144" s="2">
        <v>70</v>
      </c>
      <c r="AG144" s="2">
        <v>540</v>
      </c>
      <c r="AH144" s="2">
        <v>25</v>
      </c>
      <c r="AI144" s="2">
        <v>65</v>
      </c>
      <c r="AJ144" s="1">
        <v>1250000</v>
      </c>
      <c r="AK144" s="1">
        <v>2.1</v>
      </c>
      <c r="AL144" s="1">
        <v>160</v>
      </c>
      <c r="AM144" s="2">
        <v>88.1</v>
      </c>
      <c r="AN144" s="2">
        <f t="shared" si="2"/>
        <v>11.900000000000006</v>
      </c>
      <c r="AO144" s="3">
        <v>143</v>
      </c>
      <c r="AP144" s="3">
        <v>65</v>
      </c>
      <c r="AQ144" s="3">
        <v>110</v>
      </c>
      <c r="AR144" s="3">
        <v>30</v>
      </c>
      <c r="AS144" s="1">
        <v>460</v>
      </c>
      <c r="AT144" s="3">
        <v>1</v>
      </c>
      <c r="AU144" s="3" t="s">
        <v>3051</v>
      </c>
    </row>
    <row r="145" spans="1:47" x14ac:dyDescent="0.3">
      <c r="A145" s="1" t="s">
        <v>436</v>
      </c>
      <c r="B145" s="1" t="s">
        <v>435</v>
      </c>
      <c r="C145" s="1" t="s">
        <v>121</v>
      </c>
      <c r="D145" s="1" t="s">
        <v>58</v>
      </c>
      <c r="E145" s="1" t="s">
        <v>434</v>
      </c>
      <c r="F145" t="s">
        <v>3067</v>
      </c>
      <c r="G145" t="s">
        <v>3175</v>
      </c>
      <c r="H145" t="s">
        <v>52</v>
      </c>
      <c r="I145" t="s">
        <v>52</v>
      </c>
      <c r="J145" t="s">
        <v>52</v>
      </c>
      <c r="K145" t="s">
        <v>52</v>
      </c>
      <c r="L145" s="2">
        <v>0.5</v>
      </c>
      <c r="M145" s="2">
        <v>1</v>
      </c>
      <c r="N145" s="2">
        <v>1</v>
      </c>
      <c r="O145" s="2">
        <v>2</v>
      </c>
      <c r="P145" s="2">
        <v>1</v>
      </c>
      <c r="Q145" s="2">
        <v>1</v>
      </c>
      <c r="R145" s="2">
        <v>2</v>
      </c>
      <c r="S145" s="2">
        <v>1</v>
      </c>
      <c r="T145" s="2">
        <v>1</v>
      </c>
      <c r="U145" s="2">
        <v>0.5</v>
      </c>
      <c r="V145" s="2">
        <v>0</v>
      </c>
      <c r="W145" s="2">
        <v>1</v>
      </c>
      <c r="X145" s="2">
        <v>1</v>
      </c>
      <c r="Y145" s="2">
        <v>1</v>
      </c>
      <c r="Z145" s="2">
        <v>1</v>
      </c>
      <c r="AA145" s="2">
        <v>4</v>
      </c>
      <c r="AB145" s="2">
        <v>2</v>
      </c>
      <c r="AC145" s="2">
        <v>1</v>
      </c>
      <c r="AD145" s="2">
        <v>85</v>
      </c>
      <c r="AE145" s="2">
        <v>20480</v>
      </c>
      <c r="AF145" s="2">
        <v>35</v>
      </c>
      <c r="AG145" s="2">
        <v>580</v>
      </c>
      <c r="AH145" s="2">
        <v>3</v>
      </c>
      <c r="AI145" s="2">
        <v>100</v>
      </c>
      <c r="AJ145" s="1">
        <v>1250000</v>
      </c>
      <c r="AK145" s="1">
        <v>1.7</v>
      </c>
      <c r="AL145" s="1">
        <v>90</v>
      </c>
      <c r="AM145" s="2" t="s">
        <v>52</v>
      </c>
      <c r="AN145" s="2" t="str">
        <f t="shared" si="2"/>
        <v/>
      </c>
      <c r="AO145" s="3">
        <v>144</v>
      </c>
      <c r="AP145" s="3">
        <v>95</v>
      </c>
      <c r="AQ145" s="3">
        <v>125</v>
      </c>
      <c r="AR145" s="3">
        <v>85</v>
      </c>
      <c r="AS145" s="1">
        <v>55.4</v>
      </c>
      <c r="AT145" s="3">
        <v>1</v>
      </c>
      <c r="AU145" s="3" t="s">
        <v>3052</v>
      </c>
    </row>
    <row r="146" spans="1:47" x14ac:dyDescent="0.3">
      <c r="A146" s="1" t="s">
        <v>438</v>
      </c>
      <c r="B146" s="1" t="s">
        <v>437</v>
      </c>
      <c r="C146" s="1" t="s">
        <v>115</v>
      </c>
      <c r="D146" s="1" t="s">
        <v>58</v>
      </c>
      <c r="E146" s="1" t="s">
        <v>381</v>
      </c>
      <c r="F146" t="s">
        <v>3067</v>
      </c>
      <c r="G146" t="s">
        <v>3121</v>
      </c>
      <c r="H146" t="s">
        <v>52</v>
      </c>
      <c r="I146" t="s">
        <v>52</v>
      </c>
      <c r="J146" t="s">
        <v>52</v>
      </c>
      <c r="K146" t="s">
        <v>52</v>
      </c>
      <c r="L146" s="2">
        <v>0.5</v>
      </c>
      <c r="M146" s="2">
        <v>1</v>
      </c>
      <c r="N146" s="2">
        <v>1</v>
      </c>
      <c r="O146" s="2">
        <v>1</v>
      </c>
      <c r="P146" s="2">
        <v>1</v>
      </c>
      <c r="Q146" s="2">
        <v>0.5</v>
      </c>
      <c r="R146" s="2">
        <v>1</v>
      </c>
      <c r="S146" s="2">
        <v>0.5</v>
      </c>
      <c r="T146" s="2">
        <v>1</v>
      </c>
      <c r="U146" s="2">
        <v>0.5</v>
      </c>
      <c r="V146" s="2">
        <v>0</v>
      </c>
      <c r="W146" s="2">
        <v>2</v>
      </c>
      <c r="X146" s="2">
        <v>1</v>
      </c>
      <c r="Y146" s="2">
        <v>1</v>
      </c>
      <c r="Z146" s="2">
        <v>1</v>
      </c>
      <c r="AA146" s="2">
        <v>2</v>
      </c>
      <c r="AB146" s="2">
        <v>0.5</v>
      </c>
      <c r="AC146" s="2">
        <v>1</v>
      </c>
      <c r="AD146" s="2">
        <v>90</v>
      </c>
      <c r="AE146" s="2">
        <v>20480</v>
      </c>
      <c r="AF146" s="2">
        <v>35</v>
      </c>
      <c r="AG146" s="2">
        <v>580</v>
      </c>
      <c r="AH146" s="2">
        <v>3</v>
      </c>
      <c r="AI146" s="2">
        <v>85</v>
      </c>
      <c r="AJ146" s="1">
        <v>1250000</v>
      </c>
      <c r="AK146" s="1">
        <v>1.6</v>
      </c>
      <c r="AL146" s="1">
        <v>90</v>
      </c>
      <c r="AM146" s="2" t="s">
        <v>52</v>
      </c>
      <c r="AN146" s="2" t="str">
        <f t="shared" si="2"/>
        <v/>
      </c>
      <c r="AO146" s="3">
        <v>145</v>
      </c>
      <c r="AP146" s="3">
        <v>125</v>
      </c>
      <c r="AQ146" s="3">
        <v>90</v>
      </c>
      <c r="AR146" s="3">
        <v>100</v>
      </c>
      <c r="AS146" s="1">
        <v>52.6</v>
      </c>
      <c r="AT146" s="3">
        <v>1</v>
      </c>
      <c r="AU146" s="3" t="s">
        <v>3052</v>
      </c>
    </row>
    <row r="147" spans="1:47" x14ac:dyDescent="0.3">
      <c r="A147" s="1" t="s">
        <v>440</v>
      </c>
      <c r="B147" s="1" t="s">
        <v>439</v>
      </c>
      <c r="C147" s="1" t="s">
        <v>51</v>
      </c>
      <c r="D147" s="1" t="s">
        <v>58</v>
      </c>
      <c r="E147" s="1" t="s">
        <v>53</v>
      </c>
      <c r="F147" t="s">
        <v>3067</v>
      </c>
      <c r="G147" t="s">
        <v>3145</v>
      </c>
      <c r="H147" t="s">
        <v>52</v>
      </c>
      <c r="I147" t="s">
        <v>52</v>
      </c>
      <c r="J147" t="s">
        <v>52</v>
      </c>
      <c r="K147" t="s">
        <v>52</v>
      </c>
      <c r="L147" s="2">
        <v>0.25</v>
      </c>
      <c r="M147" s="2">
        <v>1</v>
      </c>
      <c r="N147" s="2">
        <v>1</v>
      </c>
      <c r="O147" s="2">
        <v>2</v>
      </c>
      <c r="P147" s="2">
        <v>0.5</v>
      </c>
      <c r="Q147" s="2">
        <v>0.5</v>
      </c>
      <c r="R147" s="2">
        <v>0.5</v>
      </c>
      <c r="S147" s="2">
        <v>1</v>
      </c>
      <c r="T147" s="2">
        <v>1</v>
      </c>
      <c r="U147" s="2">
        <v>0.25</v>
      </c>
      <c r="V147" s="2">
        <v>0</v>
      </c>
      <c r="W147" s="2">
        <v>1</v>
      </c>
      <c r="X147" s="2">
        <v>1</v>
      </c>
      <c r="Y147" s="2">
        <v>1</v>
      </c>
      <c r="Z147" s="2">
        <v>1</v>
      </c>
      <c r="AA147" s="2">
        <v>4</v>
      </c>
      <c r="AB147" s="2">
        <v>0.5</v>
      </c>
      <c r="AC147" s="2">
        <v>2</v>
      </c>
      <c r="AD147" s="2">
        <v>100</v>
      </c>
      <c r="AE147" s="2">
        <v>20480</v>
      </c>
      <c r="AF147" s="2">
        <v>35</v>
      </c>
      <c r="AG147" s="2">
        <v>580</v>
      </c>
      <c r="AH147" s="2">
        <v>3</v>
      </c>
      <c r="AI147" s="2">
        <v>90</v>
      </c>
      <c r="AJ147" s="1">
        <v>1250000</v>
      </c>
      <c r="AK147" s="1">
        <v>2</v>
      </c>
      <c r="AL147" s="1">
        <v>90</v>
      </c>
      <c r="AM147" s="2" t="s">
        <v>52</v>
      </c>
      <c r="AN147" s="2" t="str">
        <f t="shared" si="2"/>
        <v/>
      </c>
      <c r="AO147" s="3">
        <v>146</v>
      </c>
      <c r="AP147" s="3">
        <v>125</v>
      </c>
      <c r="AQ147" s="3">
        <v>85</v>
      </c>
      <c r="AR147" s="3">
        <v>90</v>
      </c>
      <c r="AS147" s="1">
        <v>60</v>
      </c>
      <c r="AT147" s="3">
        <v>1</v>
      </c>
      <c r="AU147" s="3" t="s">
        <v>3052</v>
      </c>
    </row>
    <row r="148" spans="1:47" x14ac:dyDescent="0.3">
      <c r="A148" s="1" t="s">
        <v>442</v>
      </c>
      <c r="B148" s="1" t="s">
        <v>441</v>
      </c>
      <c r="C148" s="1" t="s">
        <v>443</v>
      </c>
      <c r="D148" s="1" t="s">
        <v>52</v>
      </c>
      <c r="E148" s="1" t="s">
        <v>357</v>
      </c>
      <c r="F148" t="s">
        <v>3054</v>
      </c>
      <c r="G148" t="s">
        <v>3161</v>
      </c>
      <c r="H148" t="s">
        <v>52</v>
      </c>
      <c r="I148" t="s">
        <v>52</v>
      </c>
      <c r="J148" t="s">
        <v>52</v>
      </c>
      <c r="K148" t="s">
        <v>52</v>
      </c>
      <c r="L148" s="2">
        <v>1</v>
      </c>
      <c r="M148" s="2">
        <v>1</v>
      </c>
      <c r="N148" s="2">
        <v>2</v>
      </c>
      <c r="O148" s="2">
        <v>0.5</v>
      </c>
      <c r="P148" s="2">
        <v>2</v>
      </c>
      <c r="Q148" s="2">
        <v>1</v>
      </c>
      <c r="R148" s="2">
        <v>0.5</v>
      </c>
      <c r="S148" s="2">
        <v>1</v>
      </c>
      <c r="T148" s="2">
        <v>1</v>
      </c>
      <c r="U148" s="2">
        <v>0.5</v>
      </c>
      <c r="V148" s="2">
        <v>1</v>
      </c>
      <c r="W148" s="2">
        <v>2</v>
      </c>
      <c r="X148" s="2">
        <v>1</v>
      </c>
      <c r="Y148" s="2">
        <v>1</v>
      </c>
      <c r="Z148" s="2">
        <v>1</v>
      </c>
      <c r="AA148" s="2">
        <v>1</v>
      </c>
      <c r="AB148" s="2">
        <v>1</v>
      </c>
      <c r="AC148" s="2">
        <v>0.5</v>
      </c>
      <c r="AD148" s="2">
        <v>64</v>
      </c>
      <c r="AE148" s="2">
        <v>10240</v>
      </c>
      <c r="AF148" s="2">
        <v>35</v>
      </c>
      <c r="AG148" s="2">
        <v>300</v>
      </c>
      <c r="AH148" s="2">
        <v>45</v>
      </c>
      <c r="AI148" s="2">
        <v>45</v>
      </c>
      <c r="AJ148" s="1">
        <v>1250000</v>
      </c>
      <c r="AK148" s="1">
        <v>1.8</v>
      </c>
      <c r="AL148" s="1">
        <v>41</v>
      </c>
      <c r="AM148" s="2">
        <v>50</v>
      </c>
      <c r="AN148" s="2">
        <f t="shared" si="2"/>
        <v>50</v>
      </c>
      <c r="AO148" s="3">
        <v>147</v>
      </c>
      <c r="AP148" s="3">
        <v>50</v>
      </c>
      <c r="AQ148" s="3">
        <v>50</v>
      </c>
      <c r="AR148" s="3">
        <v>50</v>
      </c>
      <c r="AS148" s="1">
        <v>3.3</v>
      </c>
      <c r="AT148" s="3">
        <v>1</v>
      </c>
      <c r="AU148" s="3" t="s">
        <v>3051</v>
      </c>
    </row>
    <row r="149" spans="1:47" x14ac:dyDescent="0.3">
      <c r="A149" s="1" t="s">
        <v>445</v>
      </c>
      <c r="B149" s="1" t="s">
        <v>444</v>
      </c>
      <c r="C149" s="1" t="s">
        <v>443</v>
      </c>
      <c r="D149" s="1" t="s">
        <v>52</v>
      </c>
      <c r="E149" s="1" t="s">
        <v>357</v>
      </c>
      <c r="F149" t="s">
        <v>3054</v>
      </c>
      <c r="G149" t="s">
        <v>3161</v>
      </c>
      <c r="H149" t="s">
        <v>52</v>
      </c>
      <c r="I149" t="s">
        <v>52</v>
      </c>
      <c r="J149" t="s">
        <v>52</v>
      </c>
      <c r="K149" t="s">
        <v>52</v>
      </c>
      <c r="L149" s="2">
        <v>1</v>
      </c>
      <c r="M149" s="2">
        <v>1</v>
      </c>
      <c r="N149" s="2">
        <v>2</v>
      </c>
      <c r="O149" s="2">
        <v>0.5</v>
      </c>
      <c r="P149" s="2">
        <v>2</v>
      </c>
      <c r="Q149" s="2">
        <v>1</v>
      </c>
      <c r="R149" s="2">
        <v>0.5</v>
      </c>
      <c r="S149" s="2">
        <v>1</v>
      </c>
      <c r="T149" s="2">
        <v>1</v>
      </c>
      <c r="U149" s="2">
        <v>0.5</v>
      </c>
      <c r="V149" s="2">
        <v>1</v>
      </c>
      <c r="W149" s="2">
        <v>2</v>
      </c>
      <c r="X149" s="2">
        <v>1</v>
      </c>
      <c r="Y149" s="2">
        <v>1</v>
      </c>
      <c r="Z149" s="2">
        <v>1</v>
      </c>
      <c r="AA149" s="2">
        <v>1</v>
      </c>
      <c r="AB149" s="2">
        <v>1</v>
      </c>
      <c r="AC149" s="2">
        <v>0.5</v>
      </c>
      <c r="AD149" s="2">
        <v>84</v>
      </c>
      <c r="AE149" s="2">
        <v>10240</v>
      </c>
      <c r="AF149" s="2">
        <v>35</v>
      </c>
      <c r="AG149" s="2">
        <v>420</v>
      </c>
      <c r="AH149" s="2">
        <v>45</v>
      </c>
      <c r="AI149" s="2">
        <v>65</v>
      </c>
      <c r="AJ149" s="1">
        <v>1250000</v>
      </c>
      <c r="AK149" s="1">
        <v>4</v>
      </c>
      <c r="AL149" s="1">
        <v>61</v>
      </c>
      <c r="AM149" s="2">
        <v>50</v>
      </c>
      <c r="AN149" s="2">
        <f t="shared" si="2"/>
        <v>50</v>
      </c>
      <c r="AO149" s="3">
        <v>148</v>
      </c>
      <c r="AP149" s="3">
        <v>70</v>
      </c>
      <c r="AQ149" s="3">
        <v>70</v>
      </c>
      <c r="AR149" s="3">
        <v>70</v>
      </c>
      <c r="AS149" s="1">
        <v>16.5</v>
      </c>
      <c r="AT149" s="3">
        <v>1</v>
      </c>
      <c r="AU149" s="3" t="s">
        <v>3051</v>
      </c>
    </row>
    <row r="150" spans="1:47" x14ac:dyDescent="0.3">
      <c r="A150" s="1" t="s">
        <v>447</v>
      </c>
      <c r="B150" s="1" t="s">
        <v>446</v>
      </c>
      <c r="C150" s="1" t="s">
        <v>443</v>
      </c>
      <c r="D150" s="1" t="s">
        <v>58</v>
      </c>
      <c r="E150" s="1" t="s">
        <v>357</v>
      </c>
      <c r="F150" t="s">
        <v>3126</v>
      </c>
      <c r="G150" t="s">
        <v>3255</v>
      </c>
      <c r="H150" t="s">
        <v>52</v>
      </c>
      <c r="I150" t="s">
        <v>52</v>
      </c>
      <c r="J150" t="s">
        <v>52</v>
      </c>
      <c r="K150" t="s">
        <v>52</v>
      </c>
      <c r="L150" s="2">
        <v>0.5</v>
      </c>
      <c r="M150" s="2">
        <v>1</v>
      </c>
      <c r="N150" s="2">
        <v>2</v>
      </c>
      <c r="O150" s="2">
        <v>1</v>
      </c>
      <c r="P150" s="2">
        <v>2</v>
      </c>
      <c r="Q150" s="2">
        <v>0.5</v>
      </c>
      <c r="R150" s="2">
        <v>0.5</v>
      </c>
      <c r="S150" s="2">
        <v>1</v>
      </c>
      <c r="T150" s="2">
        <v>1</v>
      </c>
      <c r="U150" s="2">
        <v>0.25</v>
      </c>
      <c r="V150" s="2">
        <v>0</v>
      </c>
      <c r="W150" s="2">
        <v>4</v>
      </c>
      <c r="X150" s="2">
        <v>1</v>
      </c>
      <c r="Y150" s="2">
        <v>1</v>
      </c>
      <c r="Z150" s="2">
        <v>1</v>
      </c>
      <c r="AA150" s="2">
        <v>2</v>
      </c>
      <c r="AB150" s="2">
        <v>1</v>
      </c>
      <c r="AC150" s="2">
        <v>0.5</v>
      </c>
      <c r="AD150" s="2">
        <v>134</v>
      </c>
      <c r="AE150" s="2">
        <v>10240</v>
      </c>
      <c r="AF150" s="2">
        <v>35</v>
      </c>
      <c r="AG150" s="2">
        <v>600</v>
      </c>
      <c r="AH150" s="2">
        <v>45</v>
      </c>
      <c r="AI150" s="2">
        <v>95</v>
      </c>
      <c r="AJ150" s="1">
        <v>1250000</v>
      </c>
      <c r="AK150" s="1">
        <v>2.2000000000000002</v>
      </c>
      <c r="AL150" s="1">
        <v>91</v>
      </c>
      <c r="AM150" s="2">
        <v>50</v>
      </c>
      <c r="AN150" s="2">
        <f t="shared" si="2"/>
        <v>50</v>
      </c>
      <c r="AO150" s="3">
        <v>149</v>
      </c>
      <c r="AP150" s="3">
        <v>100</v>
      </c>
      <c r="AQ150" s="3">
        <v>100</v>
      </c>
      <c r="AR150" s="3">
        <v>80</v>
      </c>
      <c r="AS150" s="1">
        <v>210</v>
      </c>
      <c r="AT150" s="3">
        <v>1</v>
      </c>
      <c r="AU150" s="3" t="s">
        <v>3051</v>
      </c>
    </row>
    <row r="151" spans="1:47" x14ac:dyDescent="0.3">
      <c r="A151" s="1" t="s">
        <v>450</v>
      </c>
      <c r="B151" s="1" t="s">
        <v>449</v>
      </c>
      <c r="C151" s="1" t="s">
        <v>216</v>
      </c>
      <c r="D151" s="1" t="s">
        <v>52</v>
      </c>
      <c r="E151" s="1" t="s">
        <v>448</v>
      </c>
      <c r="F151" t="s">
        <v>3067</v>
      </c>
      <c r="G151" t="s">
        <v>3228</v>
      </c>
      <c r="H151" t="s">
        <v>52</v>
      </c>
      <c r="I151" t="s">
        <v>52</v>
      </c>
      <c r="J151" t="s">
        <v>52</v>
      </c>
      <c r="K151" t="s">
        <v>52</v>
      </c>
      <c r="L151" s="2">
        <v>2</v>
      </c>
      <c r="M151" s="2">
        <v>2</v>
      </c>
      <c r="N151" s="2">
        <v>1</v>
      </c>
      <c r="O151" s="2">
        <v>1</v>
      </c>
      <c r="P151" s="2">
        <v>1</v>
      </c>
      <c r="Q151" s="2">
        <v>0.5</v>
      </c>
      <c r="R151" s="2">
        <v>1</v>
      </c>
      <c r="S151" s="2">
        <v>1</v>
      </c>
      <c r="T151" s="2">
        <v>2</v>
      </c>
      <c r="U151" s="2">
        <v>1</v>
      </c>
      <c r="V151" s="2">
        <v>1</v>
      </c>
      <c r="W151" s="2">
        <v>1</v>
      </c>
      <c r="X151" s="2">
        <v>1</v>
      </c>
      <c r="Y151" s="2">
        <v>1</v>
      </c>
      <c r="Z151" s="2">
        <v>0.5</v>
      </c>
      <c r="AA151" s="2">
        <v>1</v>
      </c>
      <c r="AB151" s="2">
        <v>1</v>
      </c>
      <c r="AC151" s="2">
        <v>1</v>
      </c>
      <c r="AD151" s="2">
        <v>150</v>
      </c>
      <c r="AE151" s="2">
        <v>30720</v>
      </c>
      <c r="AF151" s="2">
        <v>0</v>
      </c>
      <c r="AG151" s="2">
        <v>780</v>
      </c>
      <c r="AH151" s="2">
        <v>3</v>
      </c>
      <c r="AI151" s="2">
        <v>70</v>
      </c>
      <c r="AJ151" s="1">
        <v>1250000</v>
      </c>
      <c r="AK151" s="1">
        <v>2</v>
      </c>
      <c r="AL151" s="1">
        <v>106</v>
      </c>
      <c r="AM151" s="2" t="s">
        <v>52</v>
      </c>
      <c r="AN151" s="2" t="str">
        <f t="shared" si="2"/>
        <v/>
      </c>
      <c r="AO151" s="3">
        <v>150</v>
      </c>
      <c r="AP151" s="3">
        <v>194</v>
      </c>
      <c r="AQ151" s="3">
        <v>120</v>
      </c>
      <c r="AR151" s="3">
        <v>140</v>
      </c>
      <c r="AS151" s="1">
        <v>122</v>
      </c>
      <c r="AT151" s="3">
        <v>1</v>
      </c>
      <c r="AU151" s="3" t="s">
        <v>3052</v>
      </c>
    </row>
    <row r="152" spans="1:47" x14ac:dyDescent="0.3">
      <c r="A152" s="1" t="s">
        <v>453</v>
      </c>
      <c r="B152" s="1" t="s">
        <v>452</v>
      </c>
      <c r="C152" s="1" t="s">
        <v>216</v>
      </c>
      <c r="D152" s="1" t="s">
        <v>52</v>
      </c>
      <c r="E152" s="1" t="s">
        <v>451</v>
      </c>
      <c r="F152" t="s">
        <v>3057</v>
      </c>
      <c r="G152" t="s">
        <v>52</v>
      </c>
      <c r="H152" t="s">
        <v>52</v>
      </c>
      <c r="I152" t="s">
        <v>52</v>
      </c>
      <c r="J152" t="s">
        <v>52</v>
      </c>
      <c r="K152" t="s">
        <v>52</v>
      </c>
      <c r="L152" s="2">
        <v>2</v>
      </c>
      <c r="M152" s="2">
        <v>2</v>
      </c>
      <c r="N152" s="2">
        <v>1</v>
      </c>
      <c r="O152" s="2">
        <v>1</v>
      </c>
      <c r="P152" s="2">
        <v>1</v>
      </c>
      <c r="Q152" s="2">
        <v>0.5</v>
      </c>
      <c r="R152" s="2">
        <v>1</v>
      </c>
      <c r="S152" s="2">
        <v>1</v>
      </c>
      <c r="T152" s="2">
        <v>2</v>
      </c>
      <c r="U152" s="2">
        <v>1</v>
      </c>
      <c r="V152" s="2">
        <v>1</v>
      </c>
      <c r="W152" s="2">
        <v>1</v>
      </c>
      <c r="X152" s="2">
        <v>1</v>
      </c>
      <c r="Y152" s="2">
        <v>1</v>
      </c>
      <c r="Z152" s="2">
        <v>0.5</v>
      </c>
      <c r="AA152" s="2">
        <v>1</v>
      </c>
      <c r="AB152" s="2">
        <v>1</v>
      </c>
      <c r="AC152" s="2">
        <v>1</v>
      </c>
      <c r="AD152" s="2">
        <v>100</v>
      </c>
      <c r="AE152" s="2">
        <v>30720</v>
      </c>
      <c r="AF152" s="2">
        <v>100</v>
      </c>
      <c r="AG152" s="2">
        <v>600</v>
      </c>
      <c r="AH152" s="2">
        <v>45</v>
      </c>
      <c r="AI152" s="2">
        <v>100</v>
      </c>
      <c r="AJ152" s="1">
        <v>1059860</v>
      </c>
      <c r="AK152" s="1">
        <v>0.4</v>
      </c>
      <c r="AL152" s="1">
        <v>100</v>
      </c>
      <c r="AM152" s="2" t="s">
        <v>52</v>
      </c>
      <c r="AN152" s="2" t="str">
        <f t="shared" si="2"/>
        <v/>
      </c>
      <c r="AO152" s="3">
        <v>151</v>
      </c>
      <c r="AP152" s="3">
        <v>100</v>
      </c>
      <c r="AQ152" s="3">
        <v>100</v>
      </c>
      <c r="AR152" s="3">
        <v>100</v>
      </c>
      <c r="AS152" s="1">
        <v>4</v>
      </c>
      <c r="AT152" s="3">
        <v>1</v>
      </c>
      <c r="AU152" s="3" t="s">
        <v>3052</v>
      </c>
    </row>
    <row r="153" spans="1:47" x14ac:dyDescent="0.3">
      <c r="A153" s="1" t="s">
        <v>456</v>
      </c>
      <c r="B153" s="1" t="s">
        <v>455</v>
      </c>
      <c r="C153" s="1" t="s">
        <v>42</v>
      </c>
      <c r="D153" s="1" t="s">
        <v>52</v>
      </c>
      <c r="E153" s="1" t="s">
        <v>454</v>
      </c>
      <c r="F153" t="s">
        <v>3113</v>
      </c>
      <c r="G153" t="s">
        <v>3174</v>
      </c>
      <c r="H153" t="s">
        <v>52</v>
      </c>
      <c r="I153" t="s">
        <v>52</v>
      </c>
      <c r="J153" t="s">
        <v>52</v>
      </c>
      <c r="K153" t="s">
        <v>52</v>
      </c>
      <c r="L153" s="2">
        <v>2</v>
      </c>
      <c r="M153" s="2">
        <v>1</v>
      </c>
      <c r="N153" s="2">
        <v>1</v>
      </c>
      <c r="O153" s="2">
        <v>0.5</v>
      </c>
      <c r="P153" s="2">
        <v>1</v>
      </c>
      <c r="Q153" s="2">
        <v>1</v>
      </c>
      <c r="R153" s="2">
        <v>2</v>
      </c>
      <c r="S153" s="2">
        <v>2</v>
      </c>
      <c r="T153" s="2">
        <v>1</v>
      </c>
      <c r="U153" s="2">
        <v>0.5</v>
      </c>
      <c r="V153" s="2">
        <v>0.5</v>
      </c>
      <c r="W153" s="2">
        <v>2</v>
      </c>
      <c r="X153" s="2">
        <v>1</v>
      </c>
      <c r="Y153" s="2">
        <v>2</v>
      </c>
      <c r="Z153" s="2">
        <v>1</v>
      </c>
      <c r="AA153" s="2">
        <v>1</v>
      </c>
      <c r="AB153" s="2">
        <v>1</v>
      </c>
      <c r="AC153" s="2">
        <v>0.5</v>
      </c>
      <c r="AD153" s="2">
        <v>49</v>
      </c>
      <c r="AE153" s="2">
        <v>5120</v>
      </c>
      <c r="AF153" s="2">
        <v>70</v>
      </c>
      <c r="AG153" s="2">
        <v>318</v>
      </c>
      <c r="AH153" s="2">
        <v>45</v>
      </c>
      <c r="AI153" s="2">
        <v>65</v>
      </c>
      <c r="AJ153" s="1">
        <v>1059860</v>
      </c>
      <c r="AK153" s="1">
        <v>0.9</v>
      </c>
      <c r="AL153" s="1">
        <v>45</v>
      </c>
      <c r="AM153" s="2">
        <v>88.1</v>
      </c>
      <c r="AN153" s="2">
        <f t="shared" si="2"/>
        <v>11.900000000000006</v>
      </c>
      <c r="AO153" s="3">
        <v>152</v>
      </c>
      <c r="AP153" s="3">
        <v>49</v>
      </c>
      <c r="AQ153" s="3">
        <v>65</v>
      </c>
      <c r="AR153" s="3">
        <v>45</v>
      </c>
      <c r="AS153" s="1">
        <v>6.4</v>
      </c>
      <c r="AT153" s="3">
        <v>2</v>
      </c>
      <c r="AU153" s="3" t="s">
        <v>3051</v>
      </c>
    </row>
    <row r="154" spans="1:47" x14ac:dyDescent="0.3">
      <c r="A154" s="1" t="s">
        <v>458</v>
      </c>
      <c r="B154" s="1" t="s">
        <v>457</v>
      </c>
      <c r="C154" s="1" t="s">
        <v>42</v>
      </c>
      <c r="D154" s="1" t="s">
        <v>52</v>
      </c>
      <c r="E154" s="1" t="s">
        <v>454</v>
      </c>
      <c r="F154" t="s">
        <v>3113</v>
      </c>
      <c r="G154" t="s">
        <v>3174</v>
      </c>
      <c r="H154" t="s">
        <v>52</v>
      </c>
      <c r="I154" t="s">
        <v>52</v>
      </c>
      <c r="J154" t="s">
        <v>52</v>
      </c>
      <c r="K154" t="s">
        <v>52</v>
      </c>
      <c r="L154" s="2">
        <v>2</v>
      </c>
      <c r="M154" s="2">
        <v>1</v>
      </c>
      <c r="N154" s="2">
        <v>1</v>
      </c>
      <c r="O154" s="2">
        <v>0.5</v>
      </c>
      <c r="P154" s="2">
        <v>1</v>
      </c>
      <c r="Q154" s="2">
        <v>1</v>
      </c>
      <c r="R154" s="2">
        <v>2</v>
      </c>
      <c r="S154" s="2">
        <v>2</v>
      </c>
      <c r="T154" s="2">
        <v>1</v>
      </c>
      <c r="U154" s="2">
        <v>0.5</v>
      </c>
      <c r="V154" s="2">
        <v>0.5</v>
      </c>
      <c r="W154" s="2">
        <v>2</v>
      </c>
      <c r="X154" s="2">
        <v>1</v>
      </c>
      <c r="Y154" s="2">
        <v>2</v>
      </c>
      <c r="Z154" s="2">
        <v>1</v>
      </c>
      <c r="AA154" s="2">
        <v>1</v>
      </c>
      <c r="AB154" s="2">
        <v>1</v>
      </c>
      <c r="AC154" s="2">
        <v>0.5</v>
      </c>
      <c r="AD154" s="2">
        <v>62</v>
      </c>
      <c r="AE154" s="2">
        <v>5120</v>
      </c>
      <c r="AF154" s="2">
        <v>70</v>
      </c>
      <c r="AG154" s="2">
        <v>405</v>
      </c>
      <c r="AH154" s="2">
        <v>45</v>
      </c>
      <c r="AI154" s="2">
        <v>80</v>
      </c>
      <c r="AJ154" s="1">
        <v>1059860</v>
      </c>
      <c r="AK154" s="1">
        <v>1.2</v>
      </c>
      <c r="AL154" s="1">
        <v>60</v>
      </c>
      <c r="AM154" s="2">
        <v>88.1</v>
      </c>
      <c r="AN154" s="2">
        <f t="shared" si="2"/>
        <v>11.900000000000006</v>
      </c>
      <c r="AO154" s="3">
        <v>153</v>
      </c>
      <c r="AP154" s="3">
        <v>63</v>
      </c>
      <c r="AQ154" s="3">
        <v>80</v>
      </c>
      <c r="AR154" s="3">
        <v>60</v>
      </c>
      <c r="AS154" s="1">
        <v>15.8</v>
      </c>
      <c r="AT154" s="3">
        <v>2</v>
      </c>
      <c r="AU154" s="3" t="s">
        <v>3051</v>
      </c>
    </row>
    <row r="155" spans="1:47" x14ac:dyDescent="0.3">
      <c r="A155" s="1" t="s">
        <v>461</v>
      </c>
      <c r="B155" s="1" t="s">
        <v>460</v>
      </c>
      <c r="C155" s="1" t="s">
        <v>42</v>
      </c>
      <c r="D155" s="1" t="s">
        <v>52</v>
      </c>
      <c r="E155" s="1" t="s">
        <v>459</v>
      </c>
      <c r="F155" t="s">
        <v>3113</v>
      </c>
      <c r="G155" t="s">
        <v>3174</v>
      </c>
      <c r="H155" t="s">
        <v>52</v>
      </c>
      <c r="I155" t="s">
        <v>52</v>
      </c>
      <c r="J155" t="s">
        <v>52</v>
      </c>
      <c r="K155" t="s">
        <v>52</v>
      </c>
      <c r="L155" s="2">
        <v>2</v>
      </c>
      <c r="M155" s="2">
        <v>1</v>
      </c>
      <c r="N155" s="2">
        <v>1</v>
      </c>
      <c r="O155" s="2">
        <v>0.5</v>
      </c>
      <c r="P155" s="2">
        <v>1</v>
      </c>
      <c r="Q155" s="2">
        <v>1</v>
      </c>
      <c r="R155" s="2">
        <v>2</v>
      </c>
      <c r="S155" s="2">
        <v>2</v>
      </c>
      <c r="T155" s="2">
        <v>1</v>
      </c>
      <c r="U155" s="2">
        <v>0.5</v>
      </c>
      <c r="V155" s="2">
        <v>0.5</v>
      </c>
      <c r="W155" s="2">
        <v>2</v>
      </c>
      <c r="X155" s="2">
        <v>1</v>
      </c>
      <c r="Y155" s="2">
        <v>2</v>
      </c>
      <c r="Z155" s="2">
        <v>1</v>
      </c>
      <c r="AA155" s="2">
        <v>1</v>
      </c>
      <c r="AB155" s="2">
        <v>1</v>
      </c>
      <c r="AC155" s="2">
        <v>0.5</v>
      </c>
      <c r="AD155" s="2">
        <v>82</v>
      </c>
      <c r="AE155" s="2">
        <v>5120</v>
      </c>
      <c r="AF155" s="2">
        <v>70</v>
      </c>
      <c r="AG155" s="2">
        <v>525</v>
      </c>
      <c r="AH155" s="2">
        <v>45</v>
      </c>
      <c r="AI155" s="2">
        <v>100</v>
      </c>
      <c r="AJ155" s="1">
        <v>1059860</v>
      </c>
      <c r="AK155" s="1">
        <v>1.8</v>
      </c>
      <c r="AL155" s="1">
        <v>80</v>
      </c>
      <c r="AM155" s="2">
        <v>88.1</v>
      </c>
      <c r="AN155" s="2">
        <f t="shared" si="2"/>
        <v>11.900000000000006</v>
      </c>
      <c r="AO155" s="3">
        <v>154</v>
      </c>
      <c r="AP155" s="3">
        <v>83</v>
      </c>
      <c r="AQ155" s="3">
        <v>100</v>
      </c>
      <c r="AR155" s="3">
        <v>80</v>
      </c>
      <c r="AS155" s="1">
        <v>100.5</v>
      </c>
      <c r="AT155" s="3">
        <v>2</v>
      </c>
      <c r="AU155" s="3" t="s">
        <v>3051</v>
      </c>
    </row>
    <row r="156" spans="1:47" x14ac:dyDescent="0.3">
      <c r="A156" s="1" t="s">
        <v>464</v>
      </c>
      <c r="B156" s="1" t="s">
        <v>463</v>
      </c>
      <c r="C156" s="1" t="s">
        <v>51</v>
      </c>
      <c r="D156" s="1" t="s">
        <v>52</v>
      </c>
      <c r="E156" s="1" t="s">
        <v>462</v>
      </c>
      <c r="F156" t="s">
        <v>3114</v>
      </c>
      <c r="G156" t="s">
        <v>3125</v>
      </c>
      <c r="H156" t="s">
        <v>52</v>
      </c>
      <c r="I156" t="s">
        <v>52</v>
      </c>
      <c r="J156" t="s">
        <v>52</v>
      </c>
      <c r="K156" t="s">
        <v>52</v>
      </c>
      <c r="L156" s="2">
        <v>0.5</v>
      </c>
      <c r="M156" s="2">
        <v>1</v>
      </c>
      <c r="N156" s="2">
        <v>1</v>
      </c>
      <c r="O156" s="2">
        <v>1</v>
      </c>
      <c r="P156" s="2">
        <v>0.5</v>
      </c>
      <c r="Q156" s="2">
        <v>1</v>
      </c>
      <c r="R156" s="2">
        <v>0.5</v>
      </c>
      <c r="S156" s="2">
        <v>1</v>
      </c>
      <c r="T156" s="2">
        <v>1</v>
      </c>
      <c r="U156" s="2">
        <v>0.5</v>
      </c>
      <c r="V156" s="2">
        <v>2</v>
      </c>
      <c r="W156" s="2">
        <v>0.5</v>
      </c>
      <c r="X156" s="2">
        <v>1</v>
      </c>
      <c r="Y156" s="2">
        <v>1</v>
      </c>
      <c r="Z156" s="2">
        <v>1</v>
      </c>
      <c r="AA156" s="2">
        <v>2</v>
      </c>
      <c r="AB156" s="2">
        <v>0.5</v>
      </c>
      <c r="AC156" s="2">
        <v>2</v>
      </c>
      <c r="AD156" s="2">
        <v>52</v>
      </c>
      <c r="AE156" s="2">
        <v>5120</v>
      </c>
      <c r="AF156" s="2">
        <v>70</v>
      </c>
      <c r="AG156" s="2">
        <v>309</v>
      </c>
      <c r="AH156" s="2">
        <v>45</v>
      </c>
      <c r="AI156" s="2">
        <v>43</v>
      </c>
      <c r="AJ156" s="1">
        <v>1059860</v>
      </c>
      <c r="AK156" s="1">
        <v>0.5</v>
      </c>
      <c r="AL156" s="1">
        <v>39</v>
      </c>
      <c r="AM156" s="2">
        <v>88.1</v>
      </c>
      <c r="AN156" s="2">
        <f t="shared" si="2"/>
        <v>11.900000000000006</v>
      </c>
      <c r="AO156" s="3">
        <v>155</v>
      </c>
      <c r="AP156" s="3">
        <v>60</v>
      </c>
      <c r="AQ156" s="3">
        <v>50</v>
      </c>
      <c r="AR156" s="3">
        <v>65</v>
      </c>
      <c r="AS156" s="1">
        <v>7.9</v>
      </c>
      <c r="AT156" s="3">
        <v>2</v>
      </c>
      <c r="AU156" s="3" t="s">
        <v>3051</v>
      </c>
    </row>
    <row r="157" spans="1:47" x14ac:dyDescent="0.3">
      <c r="A157" s="1" t="s">
        <v>467</v>
      </c>
      <c r="B157" s="1" t="s">
        <v>466</v>
      </c>
      <c r="C157" s="1" t="s">
        <v>51</v>
      </c>
      <c r="D157" s="1" t="s">
        <v>52</v>
      </c>
      <c r="E157" s="1" t="s">
        <v>465</v>
      </c>
      <c r="F157" t="s">
        <v>3114</v>
      </c>
      <c r="G157" t="s">
        <v>3125</v>
      </c>
      <c r="H157" t="s">
        <v>52</v>
      </c>
      <c r="I157" t="s">
        <v>52</v>
      </c>
      <c r="J157" t="s">
        <v>52</v>
      </c>
      <c r="K157" t="s">
        <v>52</v>
      </c>
      <c r="L157" s="2">
        <v>0.5</v>
      </c>
      <c r="M157" s="2">
        <v>1</v>
      </c>
      <c r="N157" s="2">
        <v>1</v>
      </c>
      <c r="O157" s="2">
        <v>1</v>
      </c>
      <c r="P157" s="2">
        <v>0.5</v>
      </c>
      <c r="Q157" s="2">
        <v>1</v>
      </c>
      <c r="R157" s="2">
        <v>0.5</v>
      </c>
      <c r="S157" s="2">
        <v>1</v>
      </c>
      <c r="T157" s="2">
        <v>1</v>
      </c>
      <c r="U157" s="2">
        <v>0.5</v>
      </c>
      <c r="V157" s="2">
        <v>2</v>
      </c>
      <c r="W157" s="2">
        <v>0.5</v>
      </c>
      <c r="X157" s="2">
        <v>1</v>
      </c>
      <c r="Y157" s="2">
        <v>1</v>
      </c>
      <c r="Z157" s="2">
        <v>1</v>
      </c>
      <c r="AA157" s="2">
        <v>2</v>
      </c>
      <c r="AB157" s="2">
        <v>0.5</v>
      </c>
      <c r="AC157" s="2">
        <v>2</v>
      </c>
      <c r="AD157" s="2">
        <v>64</v>
      </c>
      <c r="AE157" s="2">
        <v>5120</v>
      </c>
      <c r="AF157" s="2">
        <v>70</v>
      </c>
      <c r="AG157" s="2">
        <v>405</v>
      </c>
      <c r="AH157" s="2">
        <v>45</v>
      </c>
      <c r="AI157" s="2">
        <v>58</v>
      </c>
      <c r="AJ157" s="1">
        <v>1059860</v>
      </c>
      <c r="AK157" s="1">
        <v>0.9</v>
      </c>
      <c r="AL157" s="1">
        <v>58</v>
      </c>
      <c r="AM157" s="2">
        <v>88.1</v>
      </c>
      <c r="AN157" s="2">
        <f t="shared" si="2"/>
        <v>11.900000000000006</v>
      </c>
      <c r="AO157" s="3">
        <v>156</v>
      </c>
      <c r="AP157" s="3">
        <v>80</v>
      </c>
      <c r="AQ157" s="3">
        <v>65</v>
      </c>
      <c r="AR157" s="3">
        <v>80</v>
      </c>
      <c r="AS157" s="1">
        <v>19</v>
      </c>
      <c r="AT157" s="3">
        <v>2</v>
      </c>
      <c r="AU157" s="3" t="s">
        <v>3051</v>
      </c>
    </row>
    <row r="158" spans="1:47" x14ac:dyDescent="0.3">
      <c r="A158" s="1" t="s">
        <v>469</v>
      </c>
      <c r="B158" s="1" t="s">
        <v>468</v>
      </c>
      <c r="C158" s="1" t="s">
        <v>51</v>
      </c>
      <c r="D158" s="1" t="s">
        <v>52</v>
      </c>
      <c r="E158" s="1" t="s">
        <v>465</v>
      </c>
      <c r="F158" t="s">
        <v>3114</v>
      </c>
      <c r="G158" t="s">
        <v>3125</v>
      </c>
      <c r="H158" t="s">
        <v>52</v>
      </c>
      <c r="I158" t="s">
        <v>52</v>
      </c>
      <c r="J158" t="s">
        <v>52</v>
      </c>
      <c r="K158" t="s">
        <v>52</v>
      </c>
      <c r="L158" s="2">
        <v>0.5</v>
      </c>
      <c r="M158" s="2">
        <v>1</v>
      </c>
      <c r="N158" s="2">
        <v>1</v>
      </c>
      <c r="O158" s="2">
        <v>1</v>
      </c>
      <c r="P158" s="2">
        <v>0.5</v>
      </c>
      <c r="Q158" s="2">
        <v>1</v>
      </c>
      <c r="R158" s="2">
        <v>0.5</v>
      </c>
      <c r="S158" s="2">
        <v>1</v>
      </c>
      <c r="T158" s="2">
        <v>1</v>
      </c>
      <c r="U158" s="2">
        <v>0.5</v>
      </c>
      <c r="V158" s="2">
        <v>2</v>
      </c>
      <c r="W158" s="2">
        <v>0.5</v>
      </c>
      <c r="X158" s="2">
        <v>1</v>
      </c>
      <c r="Y158" s="2">
        <v>1</v>
      </c>
      <c r="Z158" s="2">
        <v>1</v>
      </c>
      <c r="AA158" s="2">
        <v>2</v>
      </c>
      <c r="AB158" s="2">
        <v>0.5</v>
      </c>
      <c r="AC158" s="2">
        <v>2</v>
      </c>
      <c r="AD158" s="2">
        <v>84</v>
      </c>
      <c r="AE158" s="2">
        <v>5120</v>
      </c>
      <c r="AF158" s="2">
        <v>70</v>
      </c>
      <c r="AG158" s="2">
        <v>534</v>
      </c>
      <c r="AH158" s="2">
        <v>45</v>
      </c>
      <c r="AI158" s="2">
        <v>78</v>
      </c>
      <c r="AJ158" s="1">
        <v>1059860</v>
      </c>
      <c r="AK158" s="1">
        <v>1.7</v>
      </c>
      <c r="AL158" s="1">
        <v>78</v>
      </c>
      <c r="AM158" s="2">
        <v>88.1</v>
      </c>
      <c r="AN158" s="2">
        <f t="shared" si="2"/>
        <v>11.900000000000006</v>
      </c>
      <c r="AO158" s="3">
        <v>157</v>
      </c>
      <c r="AP158" s="3">
        <v>109</v>
      </c>
      <c r="AQ158" s="3">
        <v>85</v>
      </c>
      <c r="AR158" s="3">
        <v>100</v>
      </c>
      <c r="AS158" s="1">
        <v>79.5</v>
      </c>
      <c r="AT158" s="3">
        <v>2</v>
      </c>
      <c r="AU158" s="3" t="s">
        <v>3051</v>
      </c>
    </row>
    <row r="159" spans="1:47" x14ac:dyDescent="0.3">
      <c r="A159" s="1" t="s">
        <v>472</v>
      </c>
      <c r="B159" s="1" t="s">
        <v>471</v>
      </c>
      <c r="C159" s="1" t="s">
        <v>62</v>
      </c>
      <c r="D159" s="1" t="s">
        <v>52</v>
      </c>
      <c r="E159" s="1" t="s">
        <v>470</v>
      </c>
      <c r="F159" t="s">
        <v>3115</v>
      </c>
      <c r="G159" t="s">
        <v>3184</v>
      </c>
      <c r="H159" t="s">
        <v>52</v>
      </c>
      <c r="I159" t="s">
        <v>52</v>
      </c>
      <c r="J159" t="s">
        <v>52</v>
      </c>
      <c r="K159" t="s">
        <v>52</v>
      </c>
      <c r="L159" s="2">
        <v>1</v>
      </c>
      <c r="M159" s="2">
        <v>1</v>
      </c>
      <c r="N159" s="2">
        <v>1</v>
      </c>
      <c r="O159" s="2">
        <v>2</v>
      </c>
      <c r="P159" s="2">
        <v>1</v>
      </c>
      <c r="Q159" s="2">
        <v>1</v>
      </c>
      <c r="R159" s="2">
        <v>0.5</v>
      </c>
      <c r="S159" s="2">
        <v>1</v>
      </c>
      <c r="T159" s="2">
        <v>1</v>
      </c>
      <c r="U159" s="2">
        <v>2</v>
      </c>
      <c r="V159" s="2">
        <v>1</v>
      </c>
      <c r="W159" s="2">
        <v>0.5</v>
      </c>
      <c r="X159" s="2">
        <v>1</v>
      </c>
      <c r="Y159" s="2">
        <v>1</v>
      </c>
      <c r="Z159" s="2">
        <v>1</v>
      </c>
      <c r="AA159" s="2">
        <v>1</v>
      </c>
      <c r="AB159" s="2">
        <v>0.5</v>
      </c>
      <c r="AC159" s="2">
        <v>0.5</v>
      </c>
      <c r="AD159" s="2">
        <v>65</v>
      </c>
      <c r="AE159" s="2">
        <v>5120</v>
      </c>
      <c r="AF159" s="2">
        <v>70</v>
      </c>
      <c r="AG159" s="2">
        <v>314</v>
      </c>
      <c r="AH159" s="2">
        <v>45</v>
      </c>
      <c r="AI159" s="2">
        <v>64</v>
      </c>
      <c r="AJ159" s="1">
        <v>1059860</v>
      </c>
      <c r="AK159" s="1">
        <v>0.6</v>
      </c>
      <c r="AL159" s="1">
        <v>50</v>
      </c>
      <c r="AM159" s="2">
        <v>88.1</v>
      </c>
      <c r="AN159" s="2">
        <f t="shared" si="2"/>
        <v>11.900000000000006</v>
      </c>
      <c r="AO159" s="3">
        <v>158</v>
      </c>
      <c r="AP159" s="3">
        <v>44</v>
      </c>
      <c r="AQ159" s="3">
        <v>48</v>
      </c>
      <c r="AR159" s="3">
        <v>43</v>
      </c>
      <c r="AS159" s="1">
        <v>9.5</v>
      </c>
      <c r="AT159" s="3">
        <v>2</v>
      </c>
      <c r="AU159" s="3" t="s">
        <v>3051</v>
      </c>
    </row>
    <row r="160" spans="1:47" x14ac:dyDescent="0.3">
      <c r="A160" s="1" t="s">
        <v>474</v>
      </c>
      <c r="B160" s="1" t="s">
        <v>473</v>
      </c>
      <c r="C160" s="1" t="s">
        <v>62</v>
      </c>
      <c r="D160" s="1" t="s">
        <v>52</v>
      </c>
      <c r="E160" s="1" t="s">
        <v>470</v>
      </c>
      <c r="F160" t="s">
        <v>3115</v>
      </c>
      <c r="G160" t="s">
        <v>3184</v>
      </c>
      <c r="H160" t="s">
        <v>52</v>
      </c>
      <c r="I160" t="s">
        <v>52</v>
      </c>
      <c r="J160" t="s">
        <v>52</v>
      </c>
      <c r="K160" t="s">
        <v>52</v>
      </c>
      <c r="L160" s="2">
        <v>1</v>
      </c>
      <c r="M160" s="2">
        <v>1</v>
      </c>
      <c r="N160" s="2">
        <v>1</v>
      </c>
      <c r="O160" s="2">
        <v>2</v>
      </c>
      <c r="P160" s="2">
        <v>1</v>
      </c>
      <c r="Q160" s="2">
        <v>1</v>
      </c>
      <c r="R160" s="2">
        <v>0.5</v>
      </c>
      <c r="S160" s="2">
        <v>1</v>
      </c>
      <c r="T160" s="2">
        <v>1</v>
      </c>
      <c r="U160" s="2">
        <v>2</v>
      </c>
      <c r="V160" s="2">
        <v>1</v>
      </c>
      <c r="W160" s="2">
        <v>0.5</v>
      </c>
      <c r="X160" s="2">
        <v>1</v>
      </c>
      <c r="Y160" s="2">
        <v>1</v>
      </c>
      <c r="Z160" s="2">
        <v>1</v>
      </c>
      <c r="AA160" s="2">
        <v>1</v>
      </c>
      <c r="AB160" s="2">
        <v>0.5</v>
      </c>
      <c r="AC160" s="2">
        <v>0.5</v>
      </c>
      <c r="AD160" s="2">
        <v>80</v>
      </c>
      <c r="AE160" s="2">
        <v>5120</v>
      </c>
      <c r="AF160" s="2">
        <v>70</v>
      </c>
      <c r="AG160" s="2">
        <v>405</v>
      </c>
      <c r="AH160" s="2">
        <v>45</v>
      </c>
      <c r="AI160" s="2">
        <v>80</v>
      </c>
      <c r="AJ160" s="1">
        <v>1059860</v>
      </c>
      <c r="AK160" s="1">
        <v>1.1000000000000001</v>
      </c>
      <c r="AL160" s="1">
        <v>65</v>
      </c>
      <c r="AM160" s="2">
        <v>88.1</v>
      </c>
      <c r="AN160" s="2">
        <f t="shared" si="2"/>
        <v>11.900000000000006</v>
      </c>
      <c r="AO160" s="3">
        <v>159</v>
      </c>
      <c r="AP160" s="3">
        <v>59</v>
      </c>
      <c r="AQ160" s="3">
        <v>63</v>
      </c>
      <c r="AR160" s="3">
        <v>58</v>
      </c>
      <c r="AS160" s="1">
        <v>25</v>
      </c>
      <c r="AT160" s="3">
        <v>2</v>
      </c>
      <c r="AU160" s="3" t="s">
        <v>3051</v>
      </c>
    </row>
    <row r="161" spans="1:47" x14ac:dyDescent="0.3">
      <c r="A161" s="1" t="s">
        <v>476</v>
      </c>
      <c r="B161" s="1" t="s">
        <v>475</v>
      </c>
      <c r="C161" s="1" t="s">
        <v>62</v>
      </c>
      <c r="D161" s="1" t="s">
        <v>52</v>
      </c>
      <c r="E161" s="1" t="s">
        <v>470</v>
      </c>
      <c r="F161" t="s">
        <v>3115</v>
      </c>
      <c r="G161" t="s">
        <v>3184</v>
      </c>
      <c r="H161" t="s">
        <v>52</v>
      </c>
      <c r="I161" t="s">
        <v>52</v>
      </c>
      <c r="J161" t="s">
        <v>52</v>
      </c>
      <c r="K161" t="s">
        <v>52</v>
      </c>
      <c r="L161" s="2">
        <v>1</v>
      </c>
      <c r="M161" s="2">
        <v>1</v>
      </c>
      <c r="N161" s="2">
        <v>1</v>
      </c>
      <c r="O161" s="2">
        <v>2</v>
      </c>
      <c r="P161" s="2">
        <v>1</v>
      </c>
      <c r="Q161" s="2">
        <v>1</v>
      </c>
      <c r="R161" s="2">
        <v>0.5</v>
      </c>
      <c r="S161" s="2">
        <v>1</v>
      </c>
      <c r="T161" s="2">
        <v>1</v>
      </c>
      <c r="U161" s="2">
        <v>2</v>
      </c>
      <c r="V161" s="2">
        <v>1</v>
      </c>
      <c r="W161" s="2">
        <v>0.5</v>
      </c>
      <c r="X161" s="2">
        <v>1</v>
      </c>
      <c r="Y161" s="2">
        <v>1</v>
      </c>
      <c r="Z161" s="2">
        <v>1</v>
      </c>
      <c r="AA161" s="2">
        <v>1</v>
      </c>
      <c r="AB161" s="2">
        <v>0.5</v>
      </c>
      <c r="AC161" s="2">
        <v>0.5</v>
      </c>
      <c r="AD161" s="2">
        <v>105</v>
      </c>
      <c r="AE161" s="2">
        <v>5120</v>
      </c>
      <c r="AF161" s="2">
        <v>70</v>
      </c>
      <c r="AG161" s="2">
        <v>530</v>
      </c>
      <c r="AH161" s="2">
        <v>45</v>
      </c>
      <c r="AI161" s="2">
        <v>100</v>
      </c>
      <c r="AJ161" s="1">
        <v>1059860</v>
      </c>
      <c r="AK161" s="1">
        <v>2.2999999999999998</v>
      </c>
      <c r="AL161" s="1">
        <v>85</v>
      </c>
      <c r="AM161" s="2">
        <v>88.1</v>
      </c>
      <c r="AN161" s="2">
        <f t="shared" si="2"/>
        <v>11.900000000000006</v>
      </c>
      <c r="AO161" s="3">
        <v>160</v>
      </c>
      <c r="AP161" s="3">
        <v>79</v>
      </c>
      <c r="AQ161" s="3">
        <v>83</v>
      </c>
      <c r="AR161" s="3">
        <v>78</v>
      </c>
      <c r="AS161" s="1">
        <v>88.8</v>
      </c>
      <c r="AT161" s="3">
        <v>2</v>
      </c>
      <c r="AU161" s="3" t="s">
        <v>3051</v>
      </c>
    </row>
    <row r="162" spans="1:47" x14ac:dyDescent="0.3">
      <c r="A162" s="1" t="s">
        <v>479</v>
      </c>
      <c r="B162" s="1" t="s">
        <v>478</v>
      </c>
      <c r="C162" s="1" t="s">
        <v>90</v>
      </c>
      <c r="D162" s="1" t="s">
        <v>52</v>
      </c>
      <c r="E162" s="1" t="s">
        <v>477</v>
      </c>
      <c r="F162" t="s">
        <v>3119</v>
      </c>
      <c r="G162" t="s">
        <v>3118</v>
      </c>
      <c r="H162" t="s">
        <v>3186</v>
      </c>
      <c r="I162" t="s">
        <v>52</v>
      </c>
      <c r="J162" t="s">
        <v>52</v>
      </c>
      <c r="K162" t="s">
        <v>52</v>
      </c>
      <c r="L162" s="2">
        <v>1</v>
      </c>
      <c r="M162" s="2">
        <v>1</v>
      </c>
      <c r="N162" s="2">
        <v>1</v>
      </c>
      <c r="O162" s="2">
        <v>1</v>
      </c>
      <c r="P162" s="2">
        <v>1</v>
      </c>
      <c r="Q162" s="2">
        <v>2</v>
      </c>
      <c r="R162" s="2">
        <v>1</v>
      </c>
      <c r="S162" s="2">
        <v>1</v>
      </c>
      <c r="T162" s="2">
        <v>0</v>
      </c>
      <c r="U162" s="2">
        <v>1</v>
      </c>
      <c r="V162" s="2">
        <v>1</v>
      </c>
      <c r="W162" s="2">
        <v>1</v>
      </c>
      <c r="X162" s="2">
        <v>1</v>
      </c>
      <c r="Y162" s="2">
        <v>1</v>
      </c>
      <c r="Z162" s="2">
        <v>1</v>
      </c>
      <c r="AA162" s="2">
        <v>1</v>
      </c>
      <c r="AB162" s="2">
        <v>1</v>
      </c>
      <c r="AC162" s="2">
        <v>1</v>
      </c>
      <c r="AD162" s="2">
        <v>46</v>
      </c>
      <c r="AE162" s="2">
        <v>3840</v>
      </c>
      <c r="AF162" s="2">
        <v>70</v>
      </c>
      <c r="AG162" s="2">
        <v>215</v>
      </c>
      <c r="AH162" s="2">
        <v>255</v>
      </c>
      <c r="AI162" s="2">
        <v>34</v>
      </c>
      <c r="AJ162" s="1">
        <v>1000000</v>
      </c>
      <c r="AK162" s="1">
        <v>0.8</v>
      </c>
      <c r="AL162" s="1">
        <v>35</v>
      </c>
      <c r="AM162" s="2">
        <v>50</v>
      </c>
      <c r="AN162" s="2">
        <f t="shared" si="2"/>
        <v>50</v>
      </c>
      <c r="AO162" s="3">
        <v>161</v>
      </c>
      <c r="AP162" s="3">
        <v>35</v>
      </c>
      <c r="AQ162" s="3">
        <v>45</v>
      </c>
      <c r="AR162" s="3">
        <v>20</v>
      </c>
      <c r="AS162" s="1">
        <v>6</v>
      </c>
      <c r="AT162" s="3">
        <v>2</v>
      </c>
      <c r="AU162" s="3" t="s">
        <v>3051</v>
      </c>
    </row>
    <row r="163" spans="1:47" x14ac:dyDescent="0.3">
      <c r="A163" s="1" t="s">
        <v>482</v>
      </c>
      <c r="B163" s="1" t="s">
        <v>481</v>
      </c>
      <c r="C163" s="1" t="s">
        <v>90</v>
      </c>
      <c r="D163" s="1" t="s">
        <v>52</v>
      </c>
      <c r="E163" s="1" t="s">
        <v>480</v>
      </c>
      <c r="F163" t="s">
        <v>3119</v>
      </c>
      <c r="G163" t="s">
        <v>3118</v>
      </c>
      <c r="H163" t="s">
        <v>3186</v>
      </c>
      <c r="I163" t="s">
        <v>52</v>
      </c>
      <c r="J163" t="s">
        <v>52</v>
      </c>
      <c r="K163" t="s">
        <v>52</v>
      </c>
      <c r="L163" s="2">
        <v>1</v>
      </c>
      <c r="M163" s="2">
        <v>1</v>
      </c>
      <c r="N163" s="2">
        <v>1</v>
      </c>
      <c r="O163" s="2">
        <v>1</v>
      </c>
      <c r="P163" s="2">
        <v>1</v>
      </c>
      <c r="Q163" s="2">
        <v>2</v>
      </c>
      <c r="R163" s="2">
        <v>1</v>
      </c>
      <c r="S163" s="2">
        <v>1</v>
      </c>
      <c r="T163" s="2">
        <v>0</v>
      </c>
      <c r="U163" s="2">
        <v>1</v>
      </c>
      <c r="V163" s="2">
        <v>1</v>
      </c>
      <c r="W163" s="2">
        <v>1</v>
      </c>
      <c r="X163" s="2">
        <v>1</v>
      </c>
      <c r="Y163" s="2">
        <v>1</v>
      </c>
      <c r="Z163" s="2">
        <v>1</v>
      </c>
      <c r="AA163" s="2">
        <v>1</v>
      </c>
      <c r="AB163" s="2">
        <v>1</v>
      </c>
      <c r="AC163" s="2">
        <v>1</v>
      </c>
      <c r="AD163" s="2">
        <v>76</v>
      </c>
      <c r="AE163" s="2">
        <v>3840</v>
      </c>
      <c r="AF163" s="2">
        <v>70</v>
      </c>
      <c r="AG163" s="2">
        <v>415</v>
      </c>
      <c r="AH163" s="2">
        <v>90</v>
      </c>
      <c r="AI163" s="2">
        <v>64</v>
      </c>
      <c r="AJ163" s="1">
        <v>1000000</v>
      </c>
      <c r="AK163" s="1">
        <v>1.8</v>
      </c>
      <c r="AL163" s="1">
        <v>85</v>
      </c>
      <c r="AM163" s="2">
        <v>50</v>
      </c>
      <c r="AN163" s="2">
        <f t="shared" si="2"/>
        <v>50</v>
      </c>
      <c r="AO163" s="3">
        <v>162</v>
      </c>
      <c r="AP163" s="3">
        <v>45</v>
      </c>
      <c r="AQ163" s="3">
        <v>55</v>
      </c>
      <c r="AR163" s="3">
        <v>90</v>
      </c>
      <c r="AS163" s="1">
        <v>32.5</v>
      </c>
      <c r="AT163" s="3">
        <v>2</v>
      </c>
      <c r="AU163" s="3" t="s">
        <v>3051</v>
      </c>
    </row>
    <row r="164" spans="1:47" x14ac:dyDescent="0.3">
      <c r="A164" s="1" t="s">
        <v>485</v>
      </c>
      <c r="B164" s="1" t="s">
        <v>484</v>
      </c>
      <c r="C164" s="1" t="s">
        <v>90</v>
      </c>
      <c r="D164" s="1" t="s">
        <v>58</v>
      </c>
      <c r="E164" s="1" t="s">
        <v>483</v>
      </c>
      <c r="F164" t="s">
        <v>3137</v>
      </c>
      <c r="G164" t="s">
        <v>3118</v>
      </c>
      <c r="H164" t="s">
        <v>3225</v>
      </c>
      <c r="I164" t="s">
        <v>52</v>
      </c>
      <c r="J164" t="s">
        <v>52</v>
      </c>
      <c r="K164" t="s">
        <v>52</v>
      </c>
      <c r="L164" s="2">
        <v>0.5</v>
      </c>
      <c r="M164" s="2">
        <v>1</v>
      </c>
      <c r="N164" s="2">
        <v>1</v>
      </c>
      <c r="O164" s="2">
        <v>2</v>
      </c>
      <c r="P164" s="2">
        <v>1</v>
      </c>
      <c r="Q164" s="2">
        <v>1</v>
      </c>
      <c r="R164" s="2">
        <v>1</v>
      </c>
      <c r="S164" s="2">
        <v>1</v>
      </c>
      <c r="T164" s="2">
        <v>0</v>
      </c>
      <c r="U164" s="2">
        <v>0.5</v>
      </c>
      <c r="V164" s="2">
        <v>0</v>
      </c>
      <c r="W164" s="2">
        <v>2</v>
      </c>
      <c r="X164" s="2">
        <v>1</v>
      </c>
      <c r="Y164" s="2">
        <v>1</v>
      </c>
      <c r="Z164" s="2">
        <v>1</v>
      </c>
      <c r="AA164" s="2">
        <v>2</v>
      </c>
      <c r="AB164" s="2">
        <v>1</v>
      </c>
      <c r="AC164" s="2">
        <v>1</v>
      </c>
      <c r="AD164" s="2">
        <v>30</v>
      </c>
      <c r="AE164" s="2">
        <v>3840</v>
      </c>
      <c r="AF164" s="2">
        <v>70</v>
      </c>
      <c r="AG164" s="2">
        <v>262</v>
      </c>
      <c r="AH164" s="2">
        <v>255</v>
      </c>
      <c r="AI164" s="2">
        <v>30</v>
      </c>
      <c r="AJ164" s="1">
        <v>1000000</v>
      </c>
      <c r="AK164" s="1">
        <v>0.7</v>
      </c>
      <c r="AL164" s="1">
        <v>60</v>
      </c>
      <c r="AM164" s="2">
        <v>50</v>
      </c>
      <c r="AN164" s="2">
        <f t="shared" si="2"/>
        <v>50</v>
      </c>
      <c r="AO164" s="3">
        <v>163</v>
      </c>
      <c r="AP164" s="3">
        <v>36</v>
      </c>
      <c r="AQ164" s="3">
        <v>56</v>
      </c>
      <c r="AR164" s="3">
        <v>50</v>
      </c>
      <c r="AS164" s="1">
        <v>21.2</v>
      </c>
      <c r="AT164" s="3">
        <v>2</v>
      </c>
      <c r="AU164" s="3" t="s">
        <v>3051</v>
      </c>
    </row>
    <row r="165" spans="1:47" x14ac:dyDescent="0.3">
      <c r="A165" s="1" t="s">
        <v>487</v>
      </c>
      <c r="B165" s="1" t="s">
        <v>486</v>
      </c>
      <c r="C165" s="1" t="s">
        <v>90</v>
      </c>
      <c r="D165" s="1" t="s">
        <v>58</v>
      </c>
      <c r="E165" s="1" t="s">
        <v>483</v>
      </c>
      <c r="F165" t="s">
        <v>3137</v>
      </c>
      <c r="G165" t="s">
        <v>3118</v>
      </c>
      <c r="H165" t="s">
        <v>3225</v>
      </c>
      <c r="I165" t="s">
        <v>52</v>
      </c>
      <c r="J165" t="s">
        <v>52</v>
      </c>
      <c r="K165" t="s">
        <v>52</v>
      </c>
      <c r="L165" s="2">
        <v>0.5</v>
      </c>
      <c r="M165" s="2">
        <v>1</v>
      </c>
      <c r="N165" s="2">
        <v>1</v>
      </c>
      <c r="O165" s="2">
        <v>2</v>
      </c>
      <c r="P165" s="2">
        <v>1</v>
      </c>
      <c r="Q165" s="2">
        <v>1</v>
      </c>
      <c r="R165" s="2">
        <v>1</v>
      </c>
      <c r="S165" s="2">
        <v>1</v>
      </c>
      <c r="T165" s="2">
        <v>0</v>
      </c>
      <c r="U165" s="2">
        <v>0.5</v>
      </c>
      <c r="V165" s="2">
        <v>0</v>
      </c>
      <c r="W165" s="2">
        <v>2</v>
      </c>
      <c r="X165" s="2">
        <v>1</v>
      </c>
      <c r="Y165" s="2">
        <v>1</v>
      </c>
      <c r="Z165" s="2">
        <v>1</v>
      </c>
      <c r="AA165" s="2">
        <v>2</v>
      </c>
      <c r="AB165" s="2">
        <v>1</v>
      </c>
      <c r="AC165" s="2">
        <v>1</v>
      </c>
      <c r="AD165" s="2">
        <v>50</v>
      </c>
      <c r="AE165" s="2">
        <v>3840</v>
      </c>
      <c r="AF165" s="2">
        <v>70</v>
      </c>
      <c r="AG165" s="2">
        <v>452</v>
      </c>
      <c r="AH165" s="2">
        <v>90</v>
      </c>
      <c r="AI165" s="2">
        <v>50</v>
      </c>
      <c r="AJ165" s="1">
        <v>1000000</v>
      </c>
      <c r="AK165" s="1">
        <v>1.6</v>
      </c>
      <c r="AL165" s="1">
        <v>100</v>
      </c>
      <c r="AM165" s="2">
        <v>50</v>
      </c>
      <c r="AN165" s="2">
        <f t="shared" si="2"/>
        <v>50</v>
      </c>
      <c r="AO165" s="3">
        <v>164</v>
      </c>
      <c r="AP165" s="3">
        <v>86</v>
      </c>
      <c r="AQ165" s="3">
        <v>96</v>
      </c>
      <c r="AR165" s="3">
        <v>70</v>
      </c>
      <c r="AS165" s="1">
        <v>40.799999999999997</v>
      </c>
      <c r="AT165" s="3">
        <v>2</v>
      </c>
      <c r="AU165" s="3" t="s">
        <v>3051</v>
      </c>
    </row>
    <row r="166" spans="1:47" x14ac:dyDescent="0.3">
      <c r="A166" s="1" t="s">
        <v>490</v>
      </c>
      <c r="B166" s="1" t="s">
        <v>489</v>
      </c>
      <c r="C166" s="1" t="s">
        <v>72</v>
      </c>
      <c r="D166" s="1" t="s">
        <v>58</v>
      </c>
      <c r="E166" s="1" t="s">
        <v>488</v>
      </c>
      <c r="F166" t="s">
        <v>3093</v>
      </c>
      <c r="G166" t="s">
        <v>3142</v>
      </c>
      <c r="H166" t="s">
        <v>3238</v>
      </c>
      <c r="I166" t="s">
        <v>52</v>
      </c>
      <c r="J166" t="s">
        <v>52</v>
      </c>
      <c r="K166" t="s">
        <v>52</v>
      </c>
      <c r="L166" s="2">
        <v>0.5</v>
      </c>
      <c r="M166" s="2">
        <v>1</v>
      </c>
      <c r="N166" s="2">
        <v>1</v>
      </c>
      <c r="O166" s="2">
        <v>2</v>
      </c>
      <c r="P166" s="2">
        <v>1</v>
      </c>
      <c r="Q166" s="2">
        <v>0.25</v>
      </c>
      <c r="R166" s="2">
        <v>2</v>
      </c>
      <c r="S166" s="2">
        <v>2</v>
      </c>
      <c r="T166" s="2">
        <v>1</v>
      </c>
      <c r="U166" s="2">
        <v>0.25</v>
      </c>
      <c r="V166" s="2">
        <v>0</v>
      </c>
      <c r="W166" s="2">
        <v>2</v>
      </c>
      <c r="X166" s="2">
        <v>1</v>
      </c>
      <c r="Y166" s="2">
        <v>1</v>
      </c>
      <c r="Z166" s="2">
        <v>1</v>
      </c>
      <c r="AA166" s="2">
        <v>4</v>
      </c>
      <c r="AB166" s="2">
        <v>1</v>
      </c>
      <c r="AC166" s="2">
        <v>1</v>
      </c>
      <c r="AD166" s="2">
        <v>20</v>
      </c>
      <c r="AE166" s="2">
        <v>3840</v>
      </c>
      <c r="AF166" s="2">
        <v>70</v>
      </c>
      <c r="AG166" s="2">
        <v>265</v>
      </c>
      <c r="AH166" s="2">
        <v>255</v>
      </c>
      <c r="AI166" s="2">
        <v>30</v>
      </c>
      <c r="AJ166" s="1">
        <v>800000</v>
      </c>
      <c r="AK166" s="1">
        <v>1</v>
      </c>
      <c r="AL166" s="1">
        <v>40</v>
      </c>
      <c r="AM166" s="2">
        <v>50</v>
      </c>
      <c r="AN166" s="2">
        <f t="shared" si="2"/>
        <v>50</v>
      </c>
      <c r="AO166" s="3">
        <v>165</v>
      </c>
      <c r="AP166" s="3">
        <v>40</v>
      </c>
      <c r="AQ166" s="3">
        <v>80</v>
      </c>
      <c r="AR166" s="3">
        <v>55</v>
      </c>
      <c r="AS166" s="1">
        <v>10.8</v>
      </c>
      <c r="AT166" s="3">
        <v>2</v>
      </c>
      <c r="AU166" s="3" t="s">
        <v>3051</v>
      </c>
    </row>
    <row r="167" spans="1:47" x14ac:dyDescent="0.3">
      <c r="A167" s="1" t="s">
        <v>492</v>
      </c>
      <c r="B167" s="1" t="s">
        <v>491</v>
      </c>
      <c r="C167" s="1" t="s">
        <v>72</v>
      </c>
      <c r="D167" s="1" t="s">
        <v>58</v>
      </c>
      <c r="E167" s="1" t="s">
        <v>488</v>
      </c>
      <c r="F167" t="s">
        <v>3093</v>
      </c>
      <c r="G167" t="s">
        <v>3142</v>
      </c>
      <c r="H167" t="s">
        <v>3190</v>
      </c>
      <c r="I167" t="s">
        <v>52</v>
      </c>
      <c r="J167" t="s">
        <v>52</v>
      </c>
      <c r="K167" t="s">
        <v>52</v>
      </c>
      <c r="L167" s="2">
        <v>0.5</v>
      </c>
      <c r="M167" s="2">
        <v>1</v>
      </c>
      <c r="N167" s="2">
        <v>1</v>
      </c>
      <c r="O167" s="2">
        <v>2</v>
      </c>
      <c r="P167" s="2">
        <v>1</v>
      </c>
      <c r="Q167" s="2">
        <v>0.25</v>
      </c>
      <c r="R167" s="2">
        <v>2</v>
      </c>
      <c r="S167" s="2">
        <v>2</v>
      </c>
      <c r="T167" s="2">
        <v>1</v>
      </c>
      <c r="U167" s="2">
        <v>0.25</v>
      </c>
      <c r="V167" s="2">
        <v>0</v>
      </c>
      <c r="W167" s="2">
        <v>2</v>
      </c>
      <c r="X167" s="2">
        <v>1</v>
      </c>
      <c r="Y167" s="2">
        <v>1</v>
      </c>
      <c r="Z167" s="2">
        <v>1</v>
      </c>
      <c r="AA167" s="2">
        <v>4</v>
      </c>
      <c r="AB167" s="2">
        <v>1</v>
      </c>
      <c r="AC167" s="2">
        <v>1</v>
      </c>
      <c r="AD167" s="2">
        <v>35</v>
      </c>
      <c r="AE167" s="2">
        <v>3840</v>
      </c>
      <c r="AF167" s="2">
        <v>70</v>
      </c>
      <c r="AG167" s="2">
        <v>390</v>
      </c>
      <c r="AH167" s="2">
        <v>90</v>
      </c>
      <c r="AI167" s="2">
        <v>50</v>
      </c>
      <c r="AJ167" s="1">
        <v>800000</v>
      </c>
      <c r="AK167" s="1">
        <v>1.4</v>
      </c>
      <c r="AL167" s="1">
        <v>55</v>
      </c>
      <c r="AM167" s="2">
        <v>50</v>
      </c>
      <c r="AN167" s="2">
        <f t="shared" si="2"/>
        <v>50</v>
      </c>
      <c r="AO167" s="3">
        <v>166</v>
      </c>
      <c r="AP167" s="3">
        <v>55</v>
      </c>
      <c r="AQ167" s="3">
        <v>110</v>
      </c>
      <c r="AR167" s="3">
        <v>85</v>
      </c>
      <c r="AS167" s="1">
        <v>35.6</v>
      </c>
      <c r="AT167" s="3">
        <v>2</v>
      </c>
      <c r="AU167" s="3" t="s">
        <v>3051</v>
      </c>
    </row>
    <row r="168" spans="1:47" x14ac:dyDescent="0.3">
      <c r="A168" s="1" t="s">
        <v>495</v>
      </c>
      <c r="B168" s="1" t="s">
        <v>494</v>
      </c>
      <c r="C168" s="1" t="s">
        <v>72</v>
      </c>
      <c r="D168" s="1" t="s">
        <v>43</v>
      </c>
      <c r="E168" s="1" t="s">
        <v>493</v>
      </c>
      <c r="F168" t="s">
        <v>3093</v>
      </c>
      <c r="G168" t="s">
        <v>3137</v>
      </c>
      <c r="H168" t="s">
        <v>3226</v>
      </c>
      <c r="I168" t="s">
        <v>52</v>
      </c>
      <c r="J168" t="s">
        <v>52</v>
      </c>
      <c r="K168" t="s">
        <v>52</v>
      </c>
      <c r="L168" s="2">
        <v>0.5</v>
      </c>
      <c r="M168" s="2">
        <v>1</v>
      </c>
      <c r="N168" s="2">
        <v>1</v>
      </c>
      <c r="O168" s="2">
        <v>1</v>
      </c>
      <c r="P168" s="2">
        <v>0.5</v>
      </c>
      <c r="Q168" s="2">
        <v>0.25</v>
      </c>
      <c r="R168" s="2">
        <v>2</v>
      </c>
      <c r="S168" s="2">
        <v>2</v>
      </c>
      <c r="T168" s="2">
        <v>1</v>
      </c>
      <c r="U168" s="2">
        <v>0.25</v>
      </c>
      <c r="V168" s="2">
        <v>1</v>
      </c>
      <c r="W168" s="2">
        <v>1</v>
      </c>
      <c r="X168" s="2">
        <v>1</v>
      </c>
      <c r="Y168" s="2">
        <v>0.5</v>
      </c>
      <c r="Z168" s="2">
        <v>2</v>
      </c>
      <c r="AA168" s="2">
        <v>2</v>
      </c>
      <c r="AB168" s="2">
        <v>1</v>
      </c>
      <c r="AC168" s="2">
        <v>1</v>
      </c>
      <c r="AD168" s="2">
        <v>60</v>
      </c>
      <c r="AE168" s="2">
        <v>3840</v>
      </c>
      <c r="AF168" s="2">
        <v>70</v>
      </c>
      <c r="AG168" s="2">
        <v>250</v>
      </c>
      <c r="AH168" s="2">
        <v>255</v>
      </c>
      <c r="AI168" s="2">
        <v>40</v>
      </c>
      <c r="AJ168" s="1">
        <v>800000</v>
      </c>
      <c r="AK168" s="1">
        <v>0.5</v>
      </c>
      <c r="AL168" s="1">
        <v>40</v>
      </c>
      <c r="AM168" s="2">
        <v>50</v>
      </c>
      <c r="AN168" s="2">
        <f t="shared" si="2"/>
        <v>50</v>
      </c>
      <c r="AO168" s="3">
        <v>167</v>
      </c>
      <c r="AP168" s="3">
        <v>40</v>
      </c>
      <c r="AQ168" s="3">
        <v>40</v>
      </c>
      <c r="AR168" s="3">
        <v>30</v>
      </c>
      <c r="AS168" s="1">
        <v>8.5</v>
      </c>
      <c r="AT168" s="3">
        <v>2</v>
      </c>
      <c r="AU168" s="3" t="s">
        <v>3051</v>
      </c>
    </row>
    <row r="169" spans="1:47" x14ac:dyDescent="0.3">
      <c r="A169" s="1" t="s">
        <v>498</v>
      </c>
      <c r="B169" s="1" t="s">
        <v>497</v>
      </c>
      <c r="C169" s="1" t="s">
        <v>72</v>
      </c>
      <c r="D169" s="1" t="s">
        <v>43</v>
      </c>
      <c r="E169" s="1" t="s">
        <v>496</v>
      </c>
      <c r="F169" t="s">
        <v>3093</v>
      </c>
      <c r="G169" t="s">
        <v>3137</v>
      </c>
      <c r="H169" t="s">
        <v>3226</v>
      </c>
      <c r="I169" t="s">
        <v>52</v>
      </c>
      <c r="J169" t="s">
        <v>52</v>
      </c>
      <c r="K169" t="s">
        <v>52</v>
      </c>
      <c r="L169" s="2">
        <v>0.5</v>
      </c>
      <c r="M169" s="2">
        <v>1</v>
      </c>
      <c r="N169" s="2">
        <v>1</v>
      </c>
      <c r="O169" s="2">
        <v>1</v>
      </c>
      <c r="P169" s="2">
        <v>0.5</v>
      </c>
      <c r="Q169" s="2">
        <v>0.25</v>
      </c>
      <c r="R169" s="2">
        <v>2</v>
      </c>
      <c r="S169" s="2">
        <v>2</v>
      </c>
      <c r="T169" s="2">
        <v>1</v>
      </c>
      <c r="U169" s="2">
        <v>0.25</v>
      </c>
      <c r="V169" s="2">
        <v>1</v>
      </c>
      <c r="W169" s="2">
        <v>1</v>
      </c>
      <c r="X169" s="2">
        <v>1</v>
      </c>
      <c r="Y169" s="2">
        <v>0.5</v>
      </c>
      <c r="Z169" s="2">
        <v>2</v>
      </c>
      <c r="AA169" s="2">
        <v>2</v>
      </c>
      <c r="AB169" s="2">
        <v>1</v>
      </c>
      <c r="AC169" s="2">
        <v>1</v>
      </c>
      <c r="AD169" s="2">
        <v>90</v>
      </c>
      <c r="AE169" s="2">
        <v>3840</v>
      </c>
      <c r="AF169" s="2">
        <v>70</v>
      </c>
      <c r="AG169" s="2">
        <v>400</v>
      </c>
      <c r="AH169" s="2">
        <v>90</v>
      </c>
      <c r="AI169" s="2">
        <v>70</v>
      </c>
      <c r="AJ169" s="1">
        <v>800000</v>
      </c>
      <c r="AK169" s="1">
        <v>1.1000000000000001</v>
      </c>
      <c r="AL169" s="1">
        <v>70</v>
      </c>
      <c r="AM169" s="2">
        <v>50</v>
      </c>
      <c r="AN169" s="2">
        <f t="shared" si="2"/>
        <v>50</v>
      </c>
      <c r="AO169" s="3">
        <v>168</v>
      </c>
      <c r="AP169" s="3">
        <v>60</v>
      </c>
      <c r="AQ169" s="3">
        <v>70</v>
      </c>
      <c r="AR169" s="3">
        <v>40</v>
      </c>
      <c r="AS169" s="1">
        <v>33.5</v>
      </c>
      <c r="AT169" s="3">
        <v>2</v>
      </c>
      <c r="AU169" s="3" t="s">
        <v>3051</v>
      </c>
    </row>
    <row r="170" spans="1:47" x14ac:dyDescent="0.3">
      <c r="A170" s="1" t="s">
        <v>500</v>
      </c>
      <c r="B170" s="1" t="s">
        <v>499</v>
      </c>
      <c r="C170" s="1" t="s">
        <v>43</v>
      </c>
      <c r="D170" s="1" t="s">
        <v>58</v>
      </c>
      <c r="E170" s="1" t="s">
        <v>154</v>
      </c>
      <c r="F170" t="s">
        <v>3126</v>
      </c>
      <c r="G170" t="s">
        <v>3234</v>
      </c>
      <c r="H170" t="s">
        <v>52</v>
      </c>
      <c r="I170" t="s">
        <v>52</v>
      </c>
      <c r="J170" t="s">
        <v>52</v>
      </c>
      <c r="K170" t="s">
        <v>52</v>
      </c>
      <c r="L170" s="2">
        <v>0.25</v>
      </c>
      <c r="M170" s="2">
        <v>1</v>
      </c>
      <c r="N170" s="2">
        <v>1</v>
      </c>
      <c r="O170" s="2">
        <v>2</v>
      </c>
      <c r="P170" s="2">
        <v>0.5</v>
      </c>
      <c r="Q170" s="2">
        <v>0.25</v>
      </c>
      <c r="R170" s="2">
        <v>1</v>
      </c>
      <c r="S170" s="2">
        <v>1</v>
      </c>
      <c r="T170" s="2">
        <v>1</v>
      </c>
      <c r="U170" s="2">
        <v>0.25</v>
      </c>
      <c r="V170" s="2">
        <v>0</v>
      </c>
      <c r="W170" s="2">
        <v>2</v>
      </c>
      <c r="X170" s="2">
        <v>1</v>
      </c>
      <c r="Y170" s="2">
        <v>0.5</v>
      </c>
      <c r="Z170" s="2">
        <v>2</v>
      </c>
      <c r="AA170" s="2">
        <v>2</v>
      </c>
      <c r="AB170" s="2">
        <v>1</v>
      </c>
      <c r="AC170" s="2">
        <v>1</v>
      </c>
      <c r="AD170" s="2">
        <v>90</v>
      </c>
      <c r="AE170" s="2">
        <v>3840</v>
      </c>
      <c r="AF170" s="2">
        <v>70</v>
      </c>
      <c r="AG170" s="2">
        <v>535</v>
      </c>
      <c r="AH170" s="2">
        <v>90</v>
      </c>
      <c r="AI170" s="2">
        <v>80</v>
      </c>
      <c r="AJ170" s="1">
        <v>1000000</v>
      </c>
      <c r="AK170" s="1">
        <v>1.8</v>
      </c>
      <c r="AL170" s="1">
        <v>85</v>
      </c>
      <c r="AM170" s="2">
        <v>50</v>
      </c>
      <c r="AN170" s="2">
        <f t="shared" si="2"/>
        <v>50</v>
      </c>
      <c r="AO170" s="3">
        <v>169</v>
      </c>
      <c r="AP170" s="3">
        <v>70</v>
      </c>
      <c r="AQ170" s="3">
        <v>80</v>
      </c>
      <c r="AR170" s="3">
        <v>130</v>
      </c>
      <c r="AS170" s="1">
        <v>75</v>
      </c>
      <c r="AT170" s="3">
        <v>2</v>
      </c>
      <c r="AU170" s="3" t="s">
        <v>3051</v>
      </c>
    </row>
    <row r="171" spans="1:47" x14ac:dyDescent="0.3">
      <c r="A171" s="1" t="s">
        <v>503</v>
      </c>
      <c r="B171" s="1" t="s">
        <v>502</v>
      </c>
      <c r="C171" s="1" t="s">
        <v>62</v>
      </c>
      <c r="D171" s="1" t="s">
        <v>115</v>
      </c>
      <c r="E171" s="1" t="s">
        <v>501</v>
      </c>
      <c r="F171" t="s">
        <v>3146</v>
      </c>
      <c r="G171" t="s">
        <v>3144</v>
      </c>
      <c r="H171" t="s">
        <v>3092</v>
      </c>
      <c r="I171" t="s">
        <v>52</v>
      </c>
      <c r="J171" t="s">
        <v>52</v>
      </c>
      <c r="K171" t="s">
        <v>52</v>
      </c>
      <c r="L171" s="2">
        <v>1</v>
      </c>
      <c r="M171" s="2">
        <v>1</v>
      </c>
      <c r="N171" s="2">
        <v>1</v>
      </c>
      <c r="O171" s="2">
        <v>1</v>
      </c>
      <c r="P171" s="2">
        <v>1</v>
      </c>
      <c r="Q171" s="2">
        <v>1</v>
      </c>
      <c r="R171" s="2">
        <v>0.5</v>
      </c>
      <c r="S171" s="2">
        <v>0.5</v>
      </c>
      <c r="T171" s="2">
        <v>1</v>
      </c>
      <c r="U171" s="2">
        <v>2</v>
      </c>
      <c r="V171" s="2">
        <v>2</v>
      </c>
      <c r="W171" s="2">
        <v>0.5</v>
      </c>
      <c r="X171" s="2">
        <v>1</v>
      </c>
      <c r="Y171" s="2">
        <v>1</v>
      </c>
      <c r="Z171" s="2">
        <v>1</v>
      </c>
      <c r="AA171" s="2">
        <v>1</v>
      </c>
      <c r="AB171" s="2">
        <v>0.25</v>
      </c>
      <c r="AC171" s="2">
        <v>0.5</v>
      </c>
      <c r="AD171" s="2">
        <v>38</v>
      </c>
      <c r="AE171" s="2">
        <v>5120</v>
      </c>
      <c r="AF171" s="2">
        <v>70</v>
      </c>
      <c r="AG171" s="2">
        <v>330</v>
      </c>
      <c r="AH171" s="2">
        <v>190</v>
      </c>
      <c r="AI171" s="2">
        <v>38</v>
      </c>
      <c r="AJ171" s="1">
        <v>1250000</v>
      </c>
      <c r="AK171" s="1">
        <v>0.5</v>
      </c>
      <c r="AL171" s="1">
        <v>75</v>
      </c>
      <c r="AM171" s="2">
        <v>50</v>
      </c>
      <c r="AN171" s="2">
        <f t="shared" si="2"/>
        <v>50</v>
      </c>
      <c r="AO171" s="3">
        <v>170</v>
      </c>
      <c r="AP171" s="3">
        <v>56</v>
      </c>
      <c r="AQ171" s="3">
        <v>56</v>
      </c>
      <c r="AR171" s="3">
        <v>67</v>
      </c>
      <c r="AS171" s="1">
        <v>12</v>
      </c>
      <c r="AT171" s="3">
        <v>2</v>
      </c>
      <c r="AU171" s="3" t="s">
        <v>3051</v>
      </c>
    </row>
    <row r="172" spans="1:47" x14ac:dyDescent="0.3">
      <c r="A172" s="1" t="s">
        <v>506</v>
      </c>
      <c r="B172" s="1" t="s">
        <v>505</v>
      </c>
      <c r="C172" s="1" t="s">
        <v>62</v>
      </c>
      <c r="D172" s="1" t="s">
        <v>115</v>
      </c>
      <c r="E172" s="1" t="s">
        <v>504</v>
      </c>
      <c r="F172" t="s">
        <v>3146</v>
      </c>
      <c r="G172" t="s">
        <v>3144</v>
      </c>
      <c r="H172" t="s">
        <v>3092</v>
      </c>
      <c r="I172" t="s">
        <v>52</v>
      </c>
      <c r="J172" t="s">
        <v>52</v>
      </c>
      <c r="K172" t="s">
        <v>52</v>
      </c>
      <c r="L172" s="2">
        <v>1</v>
      </c>
      <c r="M172" s="2">
        <v>1</v>
      </c>
      <c r="N172" s="2">
        <v>1</v>
      </c>
      <c r="O172" s="2">
        <v>1</v>
      </c>
      <c r="P172" s="2">
        <v>1</v>
      </c>
      <c r="Q172" s="2">
        <v>1</v>
      </c>
      <c r="R172" s="2">
        <v>0.5</v>
      </c>
      <c r="S172" s="2">
        <v>0.5</v>
      </c>
      <c r="T172" s="2">
        <v>1</v>
      </c>
      <c r="U172" s="2">
        <v>2</v>
      </c>
      <c r="V172" s="2">
        <v>2</v>
      </c>
      <c r="W172" s="2">
        <v>0.5</v>
      </c>
      <c r="X172" s="2">
        <v>1</v>
      </c>
      <c r="Y172" s="2">
        <v>1</v>
      </c>
      <c r="Z172" s="2">
        <v>1</v>
      </c>
      <c r="AA172" s="2">
        <v>1</v>
      </c>
      <c r="AB172" s="2">
        <v>0.25</v>
      </c>
      <c r="AC172" s="2">
        <v>0.5</v>
      </c>
      <c r="AD172" s="2">
        <v>58</v>
      </c>
      <c r="AE172" s="2">
        <v>5120</v>
      </c>
      <c r="AF172" s="2">
        <v>70</v>
      </c>
      <c r="AG172" s="2">
        <v>460</v>
      </c>
      <c r="AH172" s="2">
        <v>75</v>
      </c>
      <c r="AI172" s="2">
        <v>58</v>
      </c>
      <c r="AJ172" s="1">
        <v>1250000</v>
      </c>
      <c r="AK172" s="1">
        <v>1.2</v>
      </c>
      <c r="AL172" s="1">
        <v>125</v>
      </c>
      <c r="AM172" s="2">
        <v>50</v>
      </c>
      <c r="AN172" s="2">
        <f t="shared" si="2"/>
        <v>50</v>
      </c>
      <c r="AO172" s="3">
        <v>171</v>
      </c>
      <c r="AP172" s="3">
        <v>76</v>
      </c>
      <c r="AQ172" s="3">
        <v>76</v>
      </c>
      <c r="AR172" s="3">
        <v>67</v>
      </c>
      <c r="AS172" s="1">
        <v>22.5</v>
      </c>
      <c r="AT172" s="3">
        <v>2</v>
      </c>
      <c r="AU172" s="3" t="s">
        <v>3051</v>
      </c>
    </row>
    <row r="173" spans="1:47" x14ac:dyDescent="0.3">
      <c r="A173" s="1" t="s">
        <v>509</v>
      </c>
      <c r="B173" s="1" t="s">
        <v>508</v>
      </c>
      <c r="C173" s="1" t="s">
        <v>115</v>
      </c>
      <c r="D173" s="1" t="s">
        <v>52</v>
      </c>
      <c r="E173" s="1" t="s">
        <v>507</v>
      </c>
      <c r="F173" t="s">
        <v>3121</v>
      </c>
      <c r="G173" t="s">
        <v>3141</v>
      </c>
      <c r="H173" t="s">
        <v>52</v>
      </c>
      <c r="I173" t="s">
        <v>52</v>
      </c>
      <c r="J173" t="s">
        <v>52</v>
      </c>
      <c r="K173" t="s">
        <v>52</v>
      </c>
      <c r="L173" s="2">
        <v>1</v>
      </c>
      <c r="M173" s="2">
        <v>1</v>
      </c>
      <c r="N173" s="2">
        <v>1</v>
      </c>
      <c r="O173" s="2">
        <v>0.5</v>
      </c>
      <c r="P173" s="2">
        <v>1</v>
      </c>
      <c r="Q173" s="2">
        <v>1</v>
      </c>
      <c r="R173" s="2">
        <v>1</v>
      </c>
      <c r="S173" s="2">
        <v>0.5</v>
      </c>
      <c r="T173" s="2">
        <v>1</v>
      </c>
      <c r="U173" s="2">
        <v>1</v>
      </c>
      <c r="V173" s="2">
        <v>2</v>
      </c>
      <c r="W173" s="2">
        <v>1</v>
      </c>
      <c r="X173" s="2">
        <v>1</v>
      </c>
      <c r="Y173" s="2">
        <v>1</v>
      </c>
      <c r="Z173" s="2">
        <v>1</v>
      </c>
      <c r="AA173" s="2">
        <v>1</v>
      </c>
      <c r="AB173" s="2">
        <v>0.5</v>
      </c>
      <c r="AC173" s="2">
        <v>1</v>
      </c>
      <c r="AD173" s="2">
        <v>40</v>
      </c>
      <c r="AE173" s="2">
        <v>2560</v>
      </c>
      <c r="AF173" s="2">
        <v>70</v>
      </c>
      <c r="AG173" s="2">
        <v>205</v>
      </c>
      <c r="AH173" s="2">
        <v>190</v>
      </c>
      <c r="AI173" s="2">
        <v>15</v>
      </c>
      <c r="AJ173" s="1">
        <v>1000000</v>
      </c>
      <c r="AK173" s="1">
        <v>0.3</v>
      </c>
      <c r="AL173" s="1">
        <v>20</v>
      </c>
      <c r="AM173" s="2">
        <v>50</v>
      </c>
      <c r="AN173" s="2">
        <f t="shared" si="2"/>
        <v>50</v>
      </c>
      <c r="AO173" s="3">
        <v>172</v>
      </c>
      <c r="AP173" s="3">
        <v>35</v>
      </c>
      <c r="AQ173" s="3">
        <v>35</v>
      </c>
      <c r="AR173" s="3">
        <v>60</v>
      </c>
      <c r="AS173" s="1">
        <v>2</v>
      </c>
      <c r="AT173" s="3">
        <v>2</v>
      </c>
      <c r="AU173" s="3" t="s">
        <v>3051</v>
      </c>
    </row>
    <row r="174" spans="1:47" x14ac:dyDescent="0.3">
      <c r="A174" s="1" t="s">
        <v>512</v>
      </c>
      <c r="B174" s="1" t="s">
        <v>511</v>
      </c>
      <c r="C174" s="1" t="s">
        <v>141</v>
      </c>
      <c r="D174" s="1" t="s">
        <v>52</v>
      </c>
      <c r="E174" s="1" t="s">
        <v>510</v>
      </c>
      <c r="F174" t="s">
        <v>3124</v>
      </c>
      <c r="G174" t="s">
        <v>3231</v>
      </c>
      <c r="H174" t="s">
        <v>3232</v>
      </c>
      <c r="I174" t="s">
        <v>52</v>
      </c>
      <c r="J174" t="s">
        <v>52</v>
      </c>
      <c r="K174" t="s">
        <v>52</v>
      </c>
      <c r="L174" s="2">
        <v>0.5</v>
      </c>
      <c r="M174" s="2">
        <v>0.5</v>
      </c>
      <c r="N174" s="2">
        <v>0</v>
      </c>
      <c r="O174" s="2">
        <v>1</v>
      </c>
      <c r="P174" s="2">
        <v>1</v>
      </c>
      <c r="Q174" s="2">
        <v>0.5</v>
      </c>
      <c r="R174" s="2">
        <v>1</v>
      </c>
      <c r="S174" s="2">
        <v>1</v>
      </c>
      <c r="T174" s="2">
        <v>1</v>
      </c>
      <c r="U174" s="2">
        <v>1</v>
      </c>
      <c r="V174" s="2">
        <v>1</v>
      </c>
      <c r="W174" s="2">
        <v>1</v>
      </c>
      <c r="X174" s="2">
        <v>1</v>
      </c>
      <c r="Y174" s="2">
        <v>2</v>
      </c>
      <c r="Z174" s="2">
        <v>1</v>
      </c>
      <c r="AA174" s="2">
        <v>1</v>
      </c>
      <c r="AB174" s="2">
        <v>2</v>
      </c>
      <c r="AC174" s="2">
        <v>1</v>
      </c>
      <c r="AD174" s="2">
        <v>25</v>
      </c>
      <c r="AE174" s="2">
        <v>2560</v>
      </c>
      <c r="AF174" s="2">
        <v>140</v>
      </c>
      <c r="AG174" s="2">
        <v>218</v>
      </c>
      <c r="AH174" s="2">
        <v>150</v>
      </c>
      <c r="AI174" s="2">
        <v>28</v>
      </c>
      <c r="AJ174" s="1">
        <v>800000</v>
      </c>
      <c r="AK174" s="1">
        <v>0.3</v>
      </c>
      <c r="AL174" s="1">
        <v>50</v>
      </c>
      <c r="AM174" s="2">
        <v>24.6</v>
      </c>
      <c r="AN174" s="2">
        <f t="shared" si="2"/>
        <v>75.400000000000006</v>
      </c>
      <c r="AO174" s="3">
        <v>173</v>
      </c>
      <c r="AP174" s="3">
        <v>45</v>
      </c>
      <c r="AQ174" s="3">
        <v>55</v>
      </c>
      <c r="AR174" s="3">
        <v>15</v>
      </c>
      <c r="AS174" s="1">
        <v>3</v>
      </c>
      <c r="AT174" s="3">
        <v>2</v>
      </c>
      <c r="AU174" s="3" t="s">
        <v>3051</v>
      </c>
    </row>
    <row r="175" spans="1:47" x14ac:dyDescent="0.3">
      <c r="A175" s="1" t="s">
        <v>514</v>
      </c>
      <c r="B175" s="1" t="s">
        <v>513</v>
      </c>
      <c r="C175" s="1" t="s">
        <v>90</v>
      </c>
      <c r="D175" s="1" t="s">
        <v>141</v>
      </c>
      <c r="E175" s="1" t="s">
        <v>149</v>
      </c>
      <c r="F175" t="s">
        <v>3124</v>
      </c>
      <c r="G175" t="s">
        <v>3233</v>
      </c>
      <c r="H175" t="s">
        <v>3232</v>
      </c>
      <c r="I175" t="s">
        <v>52</v>
      </c>
      <c r="J175" t="s">
        <v>52</v>
      </c>
      <c r="K175" t="s">
        <v>52</v>
      </c>
      <c r="L175" s="2">
        <v>0.5</v>
      </c>
      <c r="M175" s="2">
        <v>0.5</v>
      </c>
      <c r="N175" s="2">
        <v>0</v>
      </c>
      <c r="O175" s="2">
        <v>1</v>
      </c>
      <c r="P175" s="2">
        <v>1</v>
      </c>
      <c r="Q175" s="2">
        <v>1</v>
      </c>
      <c r="R175" s="2">
        <v>1</v>
      </c>
      <c r="S175" s="2">
        <v>1</v>
      </c>
      <c r="T175" s="2">
        <v>0</v>
      </c>
      <c r="U175" s="2">
        <v>1</v>
      </c>
      <c r="V175" s="2">
        <v>1</v>
      </c>
      <c r="W175" s="2">
        <v>1</v>
      </c>
      <c r="X175" s="2">
        <v>1</v>
      </c>
      <c r="Y175" s="2">
        <v>2</v>
      </c>
      <c r="Z175" s="2">
        <v>1</v>
      </c>
      <c r="AA175" s="2">
        <v>1</v>
      </c>
      <c r="AB175" s="2">
        <v>2</v>
      </c>
      <c r="AC175" s="2">
        <v>1</v>
      </c>
      <c r="AD175" s="2">
        <v>30</v>
      </c>
      <c r="AE175" s="2">
        <v>2560</v>
      </c>
      <c r="AF175" s="2">
        <v>70</v>
      </c>
      <c r="AG175" s="2">
        <v>210</v>
      </c>
      <c r="AH175" s="2">
        <v>170</v>
      </c>
      <c r="AI175" s="2">
        <v>15</v>
      </c>
      <c r="AJ175" s="1">
        <v>800000</v>
      </c>
      <c r="AK175" s="1">
        <v>0.3</v>
      </c>
      <c r="AL175" s="1">
        <v>90</v>
      </c>
      <c r="AM175" s="2">
        <v>24.6</v>
      </c>
      <c r="AN175" s="2">
        <f t="shared" si="2"/>
        <v>75.400000000000006</v>
      </c>
      <c r="AO175" s="3">
        <v>174</v>
      </c>
      <c r="AP175" s="3">
        <v>40</v>
      </c>
      <c r="AQ175" s="3">
        <v>20</v>
      </c>
      <c r="AR175" s="3">
        <v>15</v>
      </c>
      <c r="AS175" s="1">
        <v>1</v>
      </c>
      <c r="AT175" s="3">
        <v>2</v>
      </c>
      <c r="AU175" s="3" t="s">
        <v>3051</v>
      </c>
    </row>
    <row r="176" spans="1:47" x14ac:dyDescent="0.3">
      <c r="A176" s="1" t="s">
        <v>517</v>
      </c>
      <c r="B176" s="1" t="s">
        <v>516</v>
      </c>
      <c r="C176" s="1" t="s">
        <v>141</v>
      </c>
      <c r="D176" s="1" t="s">
        <v>52</v>
      </c>
      <c r="E176" s="1" t="s">
        <v>515</v>
      </c>
      <c r="F176" t="s">
        <v>3079</v>
      </c>
      <c r="G176" t="s">
        <v>3066</v>
      </c>
      <c r="H176" t="s">
        <v>3256</v>
      </c>
      <c r="I176" t="s">
        <v>52</v>
      </c>
      <c r="J176" t="s">
        <v>52</v>
      </c>
      <c r="K176" t="s">
        <v>52</v>
      </c>
      <c r="L176" s="2">
        <v>0.5</v>
      </c>
      <c r="M176" s="2">
        <v>0.5</v>
      </c>
      <c r="N176" s="2">
        <v>0</v>
      </c>
      <c r="O176" s="2">
        <v>1</v>
      </c>
      <c r="P176" s="2">
        <v>1</v>
      </c>
      <c r="Q176" s="2">
        <v>0.5</v>
      </c>
      <c r="R176" s="2">
        <v>1</v>
      </c>
      <c r="S176" s="2">
        <v>1</v>
      </c>
      <c r="T176" s="2">
        <v>1</v>
      </c>
      <c r="U176" s="2">
        <v>1</v>
      </c>
      <c r="V176" s="2">
        <v>1</v>
      </c>
      <c r="W176" s="2">
        <v>1</v>
      </c>
      <c r="X176" s="2">
        <v>1</v>
      </c>
      <c r="Y176" s="2">
        <v>2</v>
      </c>
      <c r="Z176" s="2">
        <v>1</v>
      </c>
      <c r="AA176" s="2">
        <v>1</v>
      </c>
      <c r="AB176" s="2">
        <v>2</v>
      </c>
      <c r="AC176" s="2">
        <v>1</v>
      </c>
      <c r="AD176" s="2">
        <v>20</v>
      </c>
      <c r="AE176" s="2">
        <v>2560</v>
      </c>
      <c r="AF176" s="2">
        <v>70</v>
      </c>
      <c r="AG176" s="2">
        <v>245</v>
      </c>
      <c r="AH176" s="2">
        <v>190</v>
      </c>
      <c r="AI176" s="2">
        <v>65</v>
      </c>
      <c r="AJ176" s="1">
        <v>800000</v>
      </c>
      <c r="AK176" s="1">
        <v>0.3</v>
      </c>
      <c r="AL176" s="1">
        <v>35</v>
      </c>
      <c r="AM176" s="2">
        <v>88.1</v>
      </c>
      <c r="AN176" s="2">
        <f t="shared" si="2"/>
        <v>11.900000000000006</v>
      </c>
      <c r="AO176" s="3">
        <v>175</v>
      </c>
      <c r="AP176" s="3">
        <v>40</v>
      </c>
      <c r="AQ176" s="3">
        <v>65</v>
      </c>
      <c r="AR176" s="3">
        <v>20</v>
      </c>
      <c r="AS176" s="1">
        <v>1.5</v>
      </c>
      <c r="AT176" s="3">
        <v>2</v>
      </c>
      <c r="AU176" s="3" t="s">
        <v>3051</v>
      </c>
    </row>
    <row r="177" spans="1:47" x14ac:dyDescent="0.3">
      <c r="A177" s="1" t="s">
        <v>520</v>
      </c>
      <c r="B177" s="1" t="s">
        <v>519</v>
      </c>
      <c r="C177" s="1" t="s">
        <v>141</v>
      </c>
      <c r="D177" s="1" t="s">
        <v>58</v>
      </c>
      <c r="E177" s="1" t="s">
        <v>518</v>
      </c>
      <c r="F177" t="s">
        <v>3079</v>
      </c>
      <c r="G177" t="s">
        <v>3066</v>
      </c>
      <c r="H177" t="s">
        <v>3256</v>
      </c>
      <c r="I177" t="s">
        <v>52</v>
      </c>
      <c r="J177" t="s">
        <v>52</v>
      </c>
      <c r="K177" t="s">
        <v>52</v>
      </c>
      <c r="L177" s="2">
        <v>0.25</v>
      </c>
      <c r="M177" s="2">
        <v>0.5</v>
      </c>
      <c r="N177" s="2">
        <v>0</v>
      </c>
      <c r="O177" s="2">
        <v>2</v>
      </c>
      <c r="P177" s="2">
        <v>1</v>
      </c>
      <c r="Q177" s="2">
        <v>0.25</v>
      </c>
      <c r="R177" s="2">
        <v>1</v>
      </c>
      <c r="S177" s="2">
        <v>1</v>
      </c>
      <c r="T177" s="2">
        <v>1</v>
      </c>
      <c r="U177" s="2">
        <v>0.5</v>
      </c>
      <c r="V177" s="2">
        <v>0</v>
      </c>
      <c r="W177" s="2">
        <v>2</v>
      </c>
      <c r="X177" s="2">
        <v>1</v>
      </c>
      <c r="Y177" s="2">
        <v>2</v>
      </c>
      <c r="Z177" s="2">
        <v>1</v>
      </c>
      <c r="AA177" s="2">
        <v>2</v>
      </c>
      <c r="AB177" s="2">
        <v>2</v>
      </c>
      <c r="AC177" s="2">
        <v>1</v>
      </c>
      <c r="AD177" s="2">
        <v>40</v>
      </c>
      <c r="AE177" s="2">
        <v>2560</v>
      </c>
      <c r="AF177" s="2">
        <v>70</v>
      </c>
      <c r="AG177" s="2">
        <v>405</v>
      </c>
      <c r="AH177" s="2">
        <v>75</v>
      </c>
      <c r="AI177" s="2">
        <v>85</v>
      </c>
      <c r="AJ177" s="1">
        <v>800000</v>
      </c>
      <c r="AK177" s="1">
        <v>0.6</v>
      </c>
      <c r="AL177" s="1">
        <v>55</v>
      </c>
      <c r="AM177" s="2">
        <v>88.1</v>
      </c>
      <c r="AN177" s="2">
        <f t="shared" si="2"/>
        <v>11.900000000000006</v>
      </c>
      <c r="AO177" s="3">
        <v>176</v>
      </c>
      <c r="AP177" s="3">
        <v>80</v>
      </c>
      <c r="AQ177" s="3">
        <v>105</v>
      </c>
      <c r="AR177" s="3">
        <v>40</v>
      </c>
      <c r="AS177" s="1">
        <v>3.2</v>
      </c>
      <c r="AT177" s="3">
        <v>2</v>
      </c>
      <c r="AU177" s="3" t="s">
        <v>3051</v>
      </c>
    </row>
    <row r="178" spans="1:47" x14ac:dyDescent="0.3">
      <c r="A178" s="1" t="s">
        <v>523</v>
      </c>
      <c r="B178" s="1" t="s">
        <v>522</v>
      </c>
      <c r="C178" s="1" t="s">
        <v>216</v>
      </c>
      <c r="D178" s="1" t="s">
        <v>58</v>
      </c>
      <c r="E178" s="1" t="s">
        <v>521</v>
      </c>
      <c r="F178" t="s">
        <v>3057</v>
      </c>
      <c r="G178" t="s">
        <v>3142</v>
      </c>
      <c r="H178" t="s">
        <v>3257</v>
      </c>
      <c r="I178" t="s">
        <v>52</v>
      </c>
      <c r="J178" t="s">
        <v>52</v>
      </c>
      <c r="K178" t="s">
        <v>52</v>
      </c>
      <c r="L178" s="2">
        <v>1</v>
      </c>
      <c r="M178" s="2">
        <v>2</v>
      </c>
      <c r="N178" s="2">
        <v>1</v>
      </c>
      <c r="O178" s="2">
        <v>2</v>
      </c>
      <c r="P178" s="2">
        <v>1</v>
      </c>
      <c r="Q178" s="2">
        <v>0.25</v>
      </c>
      <c r="R178" s="2">
        <v>1</v>
      </c>
      <c r="S178" s="2">
        <v>1</v>
      </c>
      <c r="T178" s="2">
        <v>2</v>
      </c>
      <c r="U178" s="2">
        <v>0.5</v>
      </c>
      <c r="V178" s="2">
        <v>0</v>
      </c>
      <c r="W178" s="2">
        <v>2</v>
      </c>
      <c r="X178" s="2">
        <v>1</v>
      </c>
      <c r="Y178" s="2">
        <v>1</v>
      </c>
      <c r="Z178" s="2">
        <v>0.5</v>
      </c>
      <c r="AA178" s="2">
        <v>2</v>
      </c>
      <c r="AB178" s="2">
        <v>1</v>
      </c>
      <c r="AC178" s="2">
        <v>1</v>
      </c>
      <c r="AD178" s="2">
        <v>50</v>
      </c>
      <c r="AE178" s="2">
        <v>5120</v>
      </c>
      <c r="AF178" s="2">
        <v>70</v>
      </c>
      <c r="AG178" s="2">
        <v>320</v>
      </c>
      <c r="AH178" s="2">
        <v>190</v>
      </c>
      <c r="AI178" s="2">
        <v>45</v>
      </c>
      <c r="AJ178" s="1">
        <v>1000000</v>
      </c>
      <c r="AK178" s="1">
        <v>0.2</v>
      </c>
      <c r="AL178" s="1">
        <v>40</v>
      </c>
      <c r="AM178" s="2">
        <v>50</v>
      </c>
      <c r="AN178" s="2">
        <f t="shared" si="2"/>
        <v>50</v>
      </c>
      <c r="AO178" s="3">
        <v>177</v>
      </c>
      <c r="AP178" s="3">
        <v>70</v>
      </c>
      <c r="AQ178" s="3">
        <v>45</v>
      </c>
      <c r="AR178" s="3">
        <v>70</v>
      </c>
      <c r="AS178" s="1">
        <v>2</v>
      </c>
      <c r="AT178" s="3">
        <v>2</v>
      </c>
      <c r="AU178" s="3" t="s">
        <v>3051</v>
      </c>
    </row>
    <row r="179" spans="1:47" x14ac:dyDescent="0.3">
      <c r="A179" s="1" t="s">
        <v>526</v>
      </c>
      <c r="B179" s="1" t="s">
        <v>525</v>
      </c>
      <c r="C179" s="1" t="s">
        <v>216</v>
      </c>
      <c r="D179" s="1" t="s">
        <v>58</v>
      </c>
      <c r="E179" s="1" t="s">
        <v>524</v>
      </c>
      <c r="F179" t="s">
        <v>3057</v>
      </c>
      <c r="G179" t="s">
        <v>3142</v>
      </c>
      <c r="H179" t="s">
        <v>3257</v>
      </c>
      <c r="I179" t="s">
        <v>52</v>
      </c>
      <c r="J179" t="s">
        <v>52</v>
      </c>
      <c r="K179" t="s">
        <v>52</v>
      </c>
      <c r="L179" s="2">
        <v>1</v>
      </c>
      <c r="M179" s="2">
        <v>2</v>
      </c>
      <c r="N179" s="2">
        <v>1</v>
      </c>
      <c r="O179" s="2">
        <v>2</v>
      </c>
      <c r="P179" s="2">
        <v>1</v>
      </c>
      <c r="Q179" s="2">
        <v>0.25</v>
      </c>
      <c r="R179" s="2">
        <v>1</v>
      </c>
      <c r="S179" s="2">
        <v>1</v>
      </c>
      <c r="T179" s="2">
        <v>2</v>
      </c>
      <c r="U179" s="2">
        <v>0.5</v>
      </c>
      <c r="V179" s="2">
        <v>0</v>
      </c>
      <c r="W179" s="2">
        <v>2</v>
      </c>
      <c r="X179" s="2">
        <v>1</v>
      </c>
      <c r="Y179" s="2">
        <v>1</v>
      </c>
      <c r="Z179" s="2">
        <v>0.5</v>
      </c>
      <c r="AA179" s="2">
        <v>2</v>
      </c>
      <c r="AB179" s="2">
        <v>1</v>
      </c>
      <c r="AC179" s="2">
        <v>1</v>
      </c>
      <c r="AD179" s="2">
        <v>75</v>
      </c>
      <c r="AE179" s="2">
        <v>5120</v>
      </c>
      <c r="AF179" s="2">
        <v>70</v>
      </c>
      <c r="AG179" s="2">
        <v>470</v>
      </c>
      <c r="AH179" s="2">
        <v>75</v>
      </c>
      <c r="AI179" s="2">
        <v>70</v>
      </c>
      <c r="AJ179" s="1">
        <v>1000000</v>
      </c>
      <c r="AK179" s="1">
        <v>1.5</v>
      </c>
      <c r="AL179" s="1">
        <v>65</v>
      </c>
      <c r="AM179" s="2">
        <v>50</v>
      </c>
      <c r="AN179" s="2">
        <f t="shared" si="2"/>
        <v>50</v>
      </c>
      <c r="AO179" s="3">
        <v>178</v>
      </c>
      <c r="AP179" s="3">
        <v>95</v>
      </c>
      <c r="AQ179" s="3">
        <v>70</v>
      </c>
      <c r="AR179" s="3">
        <v>95</v>
      </c>
      <c r="AS179" s="1">
        <v>15</v>
      </c>
      <c r="AT179" s="3">
        <v>2</v>
      </c>
      <c r="AU179" s="3" t="s">
        <v>3051</v>
      </c>
    </row>
    <row r="180" spans="1:47" x14ac:dyDescent="0.3">
      <c r="A180" s="1" t="s">
        <v>529</v>
      </c>
      <c r="B180" s="1" t="s">
        <v>528</v>
      </c>
      <c r="C180" s="1" t="s">
        <v>115</v>
      </c>
      <c r="D180" s="1" t="s">
        <v>52</v>
      </c>
      <c r="E180" s="1" t="s">
        <v>527</v>
      </c>
      <c r="F180" t="s">
        <v>3121</v>
      </c>
      <c r="G180" t="s">
        <v>3155</v>
      </c>
      <c r="H180" t="s">
        <v>52</v>
      </c>
      <c r="I180" t="s">
        <v>52</v>
      </c>
      <c r="J180" t="s">
        <v>52</v>
      </c>
      <c r="K180" t="s">
        <v>52</v>
      </c>
      <c r="L180" s="2">
        <v>1</v>
      </c>
      <c r="M180" s="2">
        <v>1</v>
      </c>
      <c r="N180" s="2">
        <v>1</v>
      </c>
      <c r="O180" s="2">
        <v>0.5</v>
      </c>
      <c r="P180" s="2">
        <v>1</v>
      </c>
      <c r="Q180" s="2">
        <v>1</v>
      </c>
      <c r="R180" s="2">
        <v>1</v>
      </c>
      <c r="S180" s="2">
        <v>0.5</v>
      </c>
      <c r="T180" s="2">
        <v>1</v>
      </c>
      <c r="U180" s="2">
        <v>1</v>
      </c>
      <c r="V180" s="2">
        <v>2</v>
      </c>
      <c r="W180" s="2">
        <v>1</v>
      </c>
      <c r="X180" s="2">
        <v>1</v>
      </c>
      <c r="Y180" s="2">
        <v>1</v>
      </c>
      <c r="Z180" s="2">
        <v>1</v>
      </c>
      <c r="AA180" s="2">
        <v>1</v>
      </c>
      <c r="AB180" s="2">
        <v>0.5</v>
      </c>
      <c r="AC180" s="2">
        <v>1</v>
      </c>
      <c r="AD180" s="2">
        <v>40</v>
      </c>
      <c r="AE180" s="2">
        <v>5120</v>
      </c>
      <c r="AF180" s="2">
        <v>70</v>
      </c>
      <c r="AG180" s="2">
        <v>280</v>
      </c>
      <c r="AH180" s="2">
        <v>235</v>
      </c>
      <c r="AI180" s="2">
        <v>40</v>
      </c>
      <c r="AJ180" s="1">
        <v>1059860</v>
      </c>
      <c r="AK180" s="1">
        <v>0.6</v>
      </c>
      <c r="AL180" s="1">
        <v>55</v>
      </c>
      <c r="AM180" s="2">
        <v>50</v>
      </c>
      <c r="AN180" s="2">
        <f t="shared" si="2"/>
        <v>50</v>
      </c>
      <c r="AO180" s="3">
        <v>179</v>
      </c>
      <c r="AP180" s="3">
        <v>65</v>
      </c>
      <c r="AQ180" s="3">
        <v>45</v>
      </c>
      <c r="AR180" s="3">
        <v>35</v>
      </c>
      <c r="AS180" s="1">
        <v>7.8</v>
      </c>
      <c r="AT180" s="3">
        <v>2</v>
      </c>
      <c r="AU180" s="3" t="s">
        <v>3051</v>
      </c>
    </row>
    <row r="181" spans="1:47" x14ac:dyDescent="0.3">
      <c r="A181" s="1" t="s">
        <v>531</v>
      </c>
      <c r="B181" s="1" t="s">
        <v>530</v>
      </c>
      <c r="C181" s="1" t="s">
        <v>115</v>
      </c>
      <c r="D181" s="1" t="s">
        <v>52</v>
      </c>
      <c r="E181" s="1" t="s">
        <v>527</v>
      </c>
      <c r="F181" t="s">
        <v>3121</v>
      </c>
      <c r="G181" t="s">
        <v>3155</v>
      </c>
      <c r="H181" t="s">
        <v>52</v>
      </c>
      <c r="I181" t="s">
        <v>52</v>
      </c>
      <c r="J181" t="s">
        <v>52</v>
      </c>
      <c r="K181" t="s">
        <v>52</v>
      </c>
      <c r="L181" s="2">
        <v>1</v>
      </c>
      <c r="M181" s="2">
        <v>1</v>
      </c>
      <c r="N181" s="2">
        <v>1</v>
      </c>
      <c r="O181" s="2">
        <v>0.5</v>
      </c>
      <c r="P181" s="2">
        <v>1</v>
      </c>
      <c r="Q181" s="2">
        <v>1</v>
      </c>
      <c r="R181" s="2">
        <v>1</v>
      </c>
      <c r="S181" s="2">
        <v>0.5</v>
      </c>
      <c r="T181" s="2">
        <v>1</v>
      </c>
      <c r="U181" s="2">
        <v>1</v>
      </c>
      <c r="V181" s="2">
        <v>2</v>
      </c>
      <c r="W181" s="2">
        <v>1</v>
      </c>
      <c r="X181" s="2">
        <v>1</v>
      </c>
      <c r="Y181" s="2">
        <v>1</v>
      </c>
      <c r="Z181" s="2">
        <v>1</v>
      </c>
      <c r="AA181" s="2">
        <v>1</v>
      </c>
      <c r="AB181" s="2">
        <v>0.5</v>
      </c>
      <c r="AC181" s="2">
        <v>1</v>
      </c>
      <c r="AD181" s="2">
        <v>55</v>
      </c>
      <c r="AE181" s="2">
        <v>5120</v>
      </c>
      <c r="AF181" s="2">
        <v>70</v>
      </c>
      <c r="AG181" s="2">
        <v>365</v>
      </c>
      <c r="AH181" s="2">
        <v>120</v>
      </c>
      <c r="AI181" s="2">
        <v>55</v>
      </c>
      <c r="AJ181" s="1">
        <v>1059860</v>
      </c>
      <c r="AK181" s="1">
        <v>0.8</v>
      </c>
      <c r="AL181" s="1">
        <v>70</v>
      </c>
      <c r="AM181" s="2">
        <v>50</v>
      </c>
      <c r="AN181" s="2">
        <f t="shared" si="2"/>
        <v>50</v>
      </c>
      <c r="AO181" s="3">
        <v>180</v>
      </c>
      <c r="AP181" s="3">
        <v>80</v>
      </c>
      <c r="AQ181" s="3">
        <v>60</v>
      </c>
      <c r="AR181" s="3">
        <v>45</v>
      </c>
      <c r="AS181" s="1">
        <v>13.3</v>
      </c>
      <c r="AT181" s="3">
        <v>2</v>
      </c>
      <c r="AU181" s="3" t="s">
        <v>3051</v>
      </c>
    </row>
    <row r="182" spans="1:47" x14ac:dyDescent="0.3">
      <c r="A182" s="1" t="s">
        <v>533</v>
      </c>
      <c r="B182" s="1" t="s">
        <v>532</v>
      </c>
      <c r="C182" s="1" t="s">
        <v>115</v>
      </c>
      <c r="D182" s="1" t="s">
        <v>52</v>
      </c>
      <c r="E182" s="1" t="s">
        <v>504</v>
      </c>
      <c r="F182" t="s">
        <v>3121</v>
      </c>
      <c r="G182" t="s">
        <v>3155</v>
      </c>
      <c r="H182" t="s">
        <v>52</v>
      </c>
      <c r="I182" t="s">
        <v>52</v>
      </c>
      <c r="J182" t="s">
        <v>52</v>
      </c>
      <c r="K182" t="s">
        <v>52</v>
      </c>
      <c r="L182" s="2">
        <v>1</v>
      </c>
      <c r="M182" s="2">
        <v>1</v>
      </c>
      <c r="N182" s="2">
        <v>1</v>
      </c>
      <c r="O182" s="2">
        <v>0.5</v>
      </c>
      <c r="P182" s="2">
        <v>1</v>
      </c>
      <c r="Q182" s="2">
        <v>1</v>
      </c>
      <c r="R182" s="2">
        <v>1</v>
      </c>
      <c r="S182" s="2">
        <v>0.5</v>
      </c>
      <c r="T182" s="2">
        <v>1</v>
      </c>
      <c r="U182" s="2">
        <v>1</v>
      </c>
      <c r="V182" s="2">
        <v>2</v>
      </c>
      <c r="W182" s="2">
        <v>1</v>
      </c>
      <c r="X182" s="2">
        <v>1</v>
      </c>
      <c r="Y182" s="2">
        <v>1</v>
      </c>
      <c r="Z182" s="2">
        <v>1</v>
      </c>
      <c r="AA182" s="2">
        <v>1</v>
      </c>
      <c r="AB182" s="2">
        <v>0.5</v>
      </c>
      <c r="AC182" s="2">
        <v>1</v>
      </c>
      <c r="AD182" s="2">
        <v>95</v>
      </c>
      <c r="AE182" s="2">
        <v>5120</v>
      </c>
      <c r="AF182" s="2">
        <v>70</v>
      </c>
      <c r="AG182" s="2">
        <v>610</v>
      </c>
      <c r="AH182" s="2">
        <v>45</v>
      </c>
      <c r="AI182" s="2">
        <v>105</v>
      </c>
      <c r="AJ182" s="1">
        <v>1059860</v>
      </c>
      <c r="AK182" s="1">
        <v>1.4</v>
      </c>
      <c r="AL182" s="1">
        <v>90</v>
      </c>
      <c r="AM182" s="2">
        <v>50</v>
      </c>
      <c r="AN182" s="2">
        <f t="shared" si="2"/>
        <v>50</v>
      </c>
      <c r="AO182" s="3">
        <v>181</v>
      </c>
      <c r="AP182" s="3">
        <v>165</v>
      </c>
      <c r="AQ182" s="3">
        <v>110</v>
      </c>
      <c r="AR182" s="3">
        <v>45</v>
      </c>
      <c r="AS182" s="1">
        <v>61.5</v>
      </c>
      <c r="AT182" s="3">
        <v>2</v>
      </c>
      <c r="AU182" s="3" t="s">
        <v>3051</v>
      </c>
    </row>
    <row r="183" spans="1:47" x14ac:dyDescent="0.3">
      <c r="A183" s="1" t="s">
        <v>535</v>
      </c>
      <c r="B183" s="1" t="s">
        <v>534</v>
      </c>
      <c r="C183" s="1" t="s">
        <v>42</v>
      </c>
      <c r="D183" s="1" t="s">
        <v>52</v>
      </c>
      <c r="E183" s="1" t="s">
        <v>164</v>
      </c>
      <c r="F183" t="s">
        <v>3068</v>
      </c>
      <c r="G183" t="s">
        <v>3181</v>
      </c>
      <c r="H183" t="s">
        <v>52</v>
      </c>
      <c r="I183" t="s">
        <v>52</v>
      </c>
      <c r="J183" t="s">
        <v>52</v>
      </c>
      <c r="K183" t="s">
        <v>52</v>
      </c>
      <c r="L183" s="2">
        <v>2</v>
      </c>
      <c r="M183" s="2">
        <v>1</v>
      </c>
      <c r="N183" s="2">
        <v>1</v>
      </c>
      <c r="O183" s="2">
        <v>0.5</v>
      </c>
      <c r="P183" s="2">
        <v>1</v>
      </c>
      <c r="Q183" s="2">
        <v>1</v>
      </c>
      <c r="R183" s="2">
        <v>2</v>
      </c>
      <c r="S183" s="2">
        <v>2</v>
      </c>
      <c r="T183" s="2">
        <v>1</v>
      </c>
      <c r="U183" s="2">
        <v>0.5</v>
      </c>
      <c r="V183" s="2">
        <v>0.5</v>
      </c>
      <c r="W183" s="2">
        <v>2</v>
      </c>
      <c r="X183" s="2">
        <v>1</v>
      </c>
      <c r="Y183" s="2">
        <v>2</v>
      </c>
      <c r="Z183" s="2">
        <v>1</v>
      </c>
      <c r="AA183" s="2">
        <v>1</v>
      </c>
      <c r="AB183" s="2">
        <v>1</v>
      </c>
      <c r="AC183" s="2">
        <v>0.5</v>
      </c>
      <c r="AD183" s="2">
        <v>80</v>
      </c>
      <c r="AE183" s="2">
        <v>5120</v>
      </c>
      <c r="AF183" s="2">
        <v>70</v>
      </c>
      <c r="AG183" s="2">
        <v>490</v>
      </c>
      <c r="AH183" s="2">
        <v>45</v>
      </c>
      <c r="AI183" s="2">
        <v>95</v>
      </c>
      <c r="AJ183" s="1">
        <v>1059860</v>
      </c>
      <c r="AK183" s="1">
        <v>0.4</v>
      </c>
      <c r="AL183" s="1">
        <v>75</v>
      </c>
      <c r="AM183" s="2">
        <v>50</v>
      </c>
      <c r="AN183" s="2">
        <f t="shared" si="2"/>
        <v>50</v>
      </c>
      <c r="AO183" s="3">
        <v>182</v>
      </c>
      <c r="AP183" s="3">
        <v>90</v>
      </c>
      <c r="AQ183" s="3">
        <v>100</v>
      </c>
      <c r="AR183" s="3">
        <v>50</v>
      </c>
      <c r="AS183" s="1">
        <v>5.8</v>
      </c>
      <c r="AT183" s="3">
        <v>2</v>
      </c>
      <c r="AU183" s="3" t="s">
        <v>3051</v>
      </c>
    </row>
    <row r="184" spans="1:47" x14ac:dyDescent="0.3">
      <c r="A184" s="1" t="s">
        <v>538</v>
      </c>
      <c r="B184" s="1" t="s">
        <v>537</v>
      </c>
      <c r="C184" s="1" t="s">
        <v>62</v>
      </c>
      <c r="D184" s="1" t="s">
        <v>141</v>
      </c>
      <c r="E184" s="1" t="s">
        <v>536</v>
      </c>
      <c r="F184" t="s">
        <v>3135</v>
      </c>
      <c r="G184" t="s">
        <v>3258</v>
      </c>
      <c r="H184" t="s">
        <v>3194</v>
      </c>
      <c r="I184" t="s">
        <v>52</v>
      </c>
      <c r="J184" t="s">
        <v>52</v>
      </c>
      <c r="K184" t="s">
        <v>52</v>
      </c>
      <c r="L184" s="2">
        <v>0.5</v>
      </c>
      <c r="M184" s="2">
        <v>0.5</v>
      </c>
      <c r="N184" s="2">
        <v>0</v>
      </c>
      <c r="O184" s="2">
        <v>2</v>
      </c>
      <c r="P184" s="2">
        <v>1</v>
      </c>
      <c r="Q184" s="2">
        <v>0.5</v>
      </c>
      <c r="R184" s="2">
        <v>0.5</v>
      </c>
      <c r="S184" s="2">
        <v>1</v>
      </c>
      <c r="T184" s="2">
        <v>1</v>
      </c>
      <c r="U184" s="2">
        <v>2</v>
      </c>
      <c r="V184" s="2">
        <v>1</v>
      </c>
      <c r="W184" s="2">
        <v>0.5</v>
      </c>
      <c r="X184" s="2">
        <v>1</v>
      </c>
      <c r="Y184" s="2">
        <v>2</v>
      </c>
      <c r="Z184" s="2">
        <v>1</v>
      </c>
      <c r="AA184" s="2">
        <v>1</v>
      </c>
      <c r="AB184" s="2">
        <v>1</v>
      </c>
      <c r="AC184" s="2">
        <v>0.5</v>
      </c>
      <c r="AD184" s="2">
        <v>20</v>
      </c>
      <c r="AE184" s="2">
        <v>2560</v>
      </c>
      <c r="AF184" s="2">
        <v>70</v>
      </c>
      <c r="AG184" s="2">
        <v>250</v>
      </c>
      <c r="AH184" s="2">
        <v>190</v>
      </c>
      <c r="AI184" s="2">
        <v>50</v>
      </c>
      <c r="AJ184" s="1">
        <v>800000</v>
      </c>
      <c r="AK184" s="1">
        <v>0.4</v>
      </c>
      <c r="AL184" s="1">
        <v>70</v>
      </c>
      <c r="AM184" s="2">
        <v>50</v>
      </c>
      <c r="AN184" s="2">
        <f t="shared" si="2"/>
        <v>50</v>
      </c>
      <c r="AO184" s="3">
        <v>183</v>
      </c>
      <c r="AP184" s="3">
        <v>20</v>
      </c>
      <c r="AQ184" s="3">
        <v>50</v>
      </c>
      <c r="AR184" s="3">
        <v>40</v>
      </c>
      <c r="AS184" s="1">
        <v>8.5</v>
      </c>
      <c r="AT184" s="3">
        <v>2</v>
      </c>
      <c r="AU184" s="3" t="s">
        <v>3051</v>
      </c>
    </row>
    <row r="185" spans="1:47" x14ac:dyDescent="0.3">
      <c r="A185" s="1" t="s">
        <v>541</v>
      </c>
      <c r="B185" s="1" t="s">
        <v>540</v>
      </c>
      <c r="C185" s="1" t="s">
        <v>62</v>
      </c>
      <c r="D185" s="1" t="s">
        <v>141</v>
      </c>
      <c r="E185" s="1" t="s">
        <v>539</v>
      </c>
      <c r="F185" t="s">
        <v>3135</v>
      </c>
      <c r="G185" t="s">
        <v>3258</v>
      </c>
      <c r="H185" t="s">
        <v>3194</v>
      </c>
      <c r="I185" t="s">
        <v>52</v>
      </c>
      <c r="J185" t="s">
        <v>52</v>
      </c>
      <c r="K185" t="s">
        <v>52</v>
      </c>
      <c r="L185" s="2">
        <v>0.5</v>
      </c>
      <c r="M185" s="2">
        <v>0.5</v>
      </c>
      <c r="N185" s="2">
        <v>0</v>
      </c>
      <c r="O185" s="2">
        <v>2</v>
      </c>
      <c r="P185" s="2">
        <v>1</v>
      </c>
      <c r="Q185" s="2">
        <v>0.5</v>
      </c>
      <c r="R185" s="2">
        <v>0.5</v>
      </c>
      <c r="S185" s="2">
        <v>1</v>
      </c>
      <c r="T185" s="2">
        <v>1</v>
      </c>
      <c r="U185" s="2">
        <v>2</v>
      </c>
      <c r="V185" s="2">
        <v>1</v>
      </c>
      <c r="W185" s="2">
        <v>0.5</v>
      </c>
      <c r="X185" s="2">
        <v>1</v>
      </c>
      <c r="Y185" s="2">
        <v>2</v>
      </c>
      <c r="Z185" s="2">
        <v>1</v>
      </c>
      <c r="AA185" s="2">
        <v>1</v>
      </c>
      <c r="AB185" s="2">
        <v>1</v>
      </c>
      <c r="AC185" s="2">
        <v>0.5</v>
      </c>
      <c r="AD185" s="2">
        <v>50</v>
      </c>
      <c r="AE185" s="2">
        <v>2560</v>
      </c>
      <c r="AF185" s="2">
        <v>70</v>
      </c>
      <c r="AG185" s="2">
        <v>420</v>
      </c>
      <c r="AH185" s="2">
        <v>75</v>
      </c>
      <c r="AI185" s="2">
        <v>80</v>
      </c>
      <c r="AJ185" s="1">
        <v>800000</v>
      </c>
      <c r="AK185" s="1">
        <v>0.8</v>
      </c>
      <c r="AL185" s="1">
        <v>100</v>
      </c>
      <c r="AM185" s="2">
        <v>50</v>
      </c>
      <c r="AN185" s="2">
        <f t="shared" si="2"/>
        <v>50</v>
      </c>
      <c r="AO185" s="3">
        <v>184</v>
      </c>
      <c r="AP185" s="3">
        <v>60</v>
      </c>
      <c r="AQ185" s="3">
        <v>80</v>
      </c>
      <c r="AR185" s="3">
        <v>50</v>
      </c>
      <c r="AS185" s="1">
        <v>28.5</v>
      </c>
      <c r="AT185" s="3">
        <v>2</v>
      </c>
      <c r="AU185" s="3" t="s">
        <v>3051</v>
      </c>
    </row>
    <row r="186" spans="1:47" x14ac:dyDescent="0.3">
      <c r="A186" s="1" t="s">
        <v>544</v>
      </c>
      <c r="B186" s="1" t="s">
        <v>543</v>
      </c>
      <c r="C186" s="1" t="s">
        <v>243</v>
      </c>
      <c r="D186" s="1" t="s">
        <v>52</v>
      </c>
      <c r="E186" s="1" t="s">
        <v>542</v>
      </c>
      <c r="F186" t="s">
        <v>3107</v>
      </c>
      <c r="G186" t="s">
        <v>3132</v>
      </c>
      <c r="H186" t="s">
        <v>3238</v>
      </c>
      <c r="I186" t="s">
        <v>52</v>
      </c>
      <c r="J186" t="s">
        <v>52</v>
      </c>
      <c r="K186" t="s">
        <v>52</v>
      </c>
      <c r="L186" s="2">
        <v>1</v>
      </c>
      <c r="M186" s="2">
        <v>1</v>
      </c>
      <c r="N186" s="2">
        <v>1</v>
      </c>
      <c r="O186" s="2">
        <v>1</v>
      </c>
      <c r="P186" s="2">
        <v>1</v>
      </c>
      <c r="Q186" s="2">
        <v>2</v>
      </c>
      <c r="R186" s="2">
        <v>0.5</v>
      </c>
      <c r="S186" s="2">
        <v>0.5</v>
      </c>
      <c r="T186" s="2">
        <v>1</v>
      </c>
      <c r="U186" s="2">
        <v>2</v>
      </c>
      <c r="V186" s="2">
        <v>2</v>
      </c>
      <c r="W186" s="2">
        <v>1</v>
      </c>
      <c r="X186" s="2">
        <v>0.5</v>
      </c>
      <c r="Y186" s="2">
        <v>0.5</v>
      </c>
      <c r="Z186" s="2">
        <v>1</v>
      </c>
      <c r="AA186" s="2">
        <v>1</v>
      </c>
      <c r="AB186" s="2">
        <v>2</v>
      </c>
      <c r="AC186" s="2">
        <v>2</v>
      </c>
      <c r="AD186" s="2">
        <v>100</v>
      </c>
      <c r="AE186" s="2">
        <v>5120</v>
      </c>
      <c r="AF186" s="2">
        <v>70</v>
      </c>
      <c r="AG186" s="2">
        <v>410</v>
      </c>
      <c r="AH186" s="2">
        <v>65</v>
      </c>
      <c r="AI186" s="2">
        <v>115</v>
      </c>
      <c r="AJ186" s="1">
        <v>1000000</v>
      </c>
      <c r="AK186" s="1">
        <v>1.2</v>
      </c>
      <c r="AL186" s="1">
        <v>70</v>
      </c>
      <c r="AM186" s="2">
        <v>50</v>
      </c>
      <c r="AN186" s="2">
        <f t="shared" si="2"/>
        <v>50</v>
      </c>
      <c r="AO186" s="3">
        <v>185</v>
      </c>
      <c r="AP186" s="3">
        <v>30</v>
      </c>
      <c r="AQ186" s="3">
        <v>65</v>
      </c>
      <c r="AR186" s="3">
        <v>30</v>
      </c>
      <c r="AS186" s="1">
        <v>38</v>
      </c>
      <c r="AT186" s="3">
        <v>2</v>
      </c>
      <c r="AU186" s="3" t="s">
        <v>3051</v>
      </c>
    </row>
    <row r="187" spans="1:47" x14ac:dyDescent="0.3">
      <c r="A187" s="1" t="s">
        <v>547</v>
      </c>
      <c r="B187" s="1" t="s">
        <v>546</v>
      </c>
      <c r="C187" s="1" t="s">
        <v>62</v>
      </c>
      <c r="D187" s="1" t="s">
        <v>52</v>
      </c>
      <c r="E187" s="1" t="s">
        <v>545</v>
      </c>
      <c r="F187" t="s">
        <v>3092</v>
      </c>
      <c r="G187" t="s">
        <v>3130</v>
      </c>
      <c r="H187" t="s">
        <v>3063</v>
      </c>
      <c r="I187" t="s">
        <v>52</v>
      </c>
      <c r="J187" t="s">
        <v>52</v>
      </c>
      <c r="K187" t="s">
        <v>52</v>
      </c>
      <c r="L187" s="2">
        <v>1</v>
      </c>
      <c r="M187" s="2">
        <v>1</v>
      </c>
      <c r="N187" s="2">
        <v>1</v>
      </c>
      <c r="O187" s="2">
        <v>2</v>
      </c>
      <c r="P187" s="2">
        <v>1</v>
      </c>
      <c r="Q187" s="2">
        <v>1</v>
      </c>
      <c r="R187" s="2">
        <v>0.5</v>
      </c>
      <c r="S187" s="2">
        <v>1</v>
      </c>
      <c r="T187" s="2">
        <v>1</v>
      </c>
      <c r="U187" s="2">
        <v>2</v>
      </c>
      <c r="V187" s="2">
        <v>1</v>
      </c>
      <c r="W187" s="2">
        <v>0.5</v>
      </c>
      <c r="X187" s="2">
        <v>1</v>
      </c>
      <c r="Y187" s="2">
        <v>1</v>
      </c>
      <c r="Z187" s="2">
        <v>1</v>
      </c>
      <c r="AA187" s="2">
        <v>1</v>
      </c>
      <c r="AB187" s="2">
        <v>0.5</v>
      </c>
      <c r="AC187" s="2">
        <v>0.5</v>
      </c>
      <c r="AD187" s="2">
        <v>75</v>
      </c>
      <c r="AE187" s="2">
        <v>5120</v>
      </c>
      <c r="AF187" s="2">
        <v>70</v>
      </c>
      <c r="AG187" s="2">
        <v>500</v>
      </c>
      <c r="AH187" s="2">
        <v>45</v>
      </c>
      <c r="AI187" s="2">
        <v>75</v>
      </c>
      <c r="AJ187" s="1">
        <v>1059860</v>
      </c>
      <c r="AK187" s="1">
        <v>1.1000000000000001</v>
      </c>
      <c r="AL187" s="1">
        <v>90</v>
      </c>
      <c r="AM187" s="2">
        <v>50</v>
      </c>
      <c r="AN187" s="2">
        <f t="shared" si="2"/>
        <v>50</v>
      </c>
      <c r="AO187" s="3">
        <v>186</v>
      </c>
      <c r="AP187" s="3">
        <v>90</v>
      </c>
      <c r="AQ187" s="3">
        <v>100</v>
      </c>
      <c r="AR187" s="3">
        <v>70</v>
      </c>
      <c r="AS187" s="1">
        <v>33.9</v>
      </c>
      <c r="AT187" s="3">
        <v>2</v>
      </c>
      <c r="AU187" s="3" t="s">
        <v>3051</v>
      </c>
    </row>
    <row r="188" spans="1:47" x14ac:dyDescent="0.3">
      <c r="A188" s="1" t="s">
        <v>550</v>
      </c>
      <c r="B188" s="1" t="s">
        <v>549</v>
      </c>
      <c r="C188" s="1" t="s">
        <v>42</v>
      </c>
      <c r="D188" s="1" t="s">
        <v>58</v>
      </c>
      <c r="E188" s="1" t="s">
        <v>548</v>
      </c>
      <c r="F188" t="s">
        <v>3068</v>
      </c>
      <c r="G188" t="s">
        <v>3174</v>
      </c>
      <c r="H188" t="s">
        <v>3234</v>
      </c>
      <c r="I188" t="s">
        <v>52</v>
      </c>
      <c r="J188" t="s">
        <v>52</v>
      </c>
      <c r="K188" t="s">
        <v>52</v>
      </c>
      <c r="L188" s="2">
        <v>1</v>
      </c>
      <c r="M188" s="2">
        <v>1</v>
      </c>
      <c r="N188" s="2">
        <v>1</v>
      </c>
      <c r="O188" s="2">
        <v>1</v>
      </c>
      <c r="P188" s="2">
        <v>1</v>
      </c>
      <c r="Q188" s="2">
        <v>0.5</v>
      </c>
      <c r="R188" s="2">
        <v>2</v>
      </c>
      <c r="S188" s="2">
        <v>2</v>
      </c>
      <c r="T188" s="2">
        <v>1</v>
      </c>
      <c r="U188" s="2">
        <v>0.25</v>
      </c>
      <c r="V188" s="2">
        <v>0</v>
      </c>
      <c r="W188" s="2">
        <v>4</v>
      </c>
      <c r="X188" s="2">
        <v>1</v>
      </c>
      <c r="Y188" s="2">
        <v>2</v>
      </c>
      <c r="Z188" s="2">
        <v>1</v>
      </c>
      <c r="AA188" s="2">
        <v>2</v>
      </c>
      <c r="AB188" s="2">
        <v>1</v>
      </c>
      <c r="AC188" s="2">
        <v>0.5</v>
      </c>
      <c r="AD188" s="2">
        <v>35</v>
      </c>
      <c r="AE188" s="2">
        <v>5120</v>
      </c>
      <c r="AF188" s="2">
        <v>70</v>
      </c>
      <c r="AG188" s="2">
        <v>250</v>
      </c>
      <c r="AH188" s="2">
        <v>255</v>
      </c>
      <c r="AI188" s="2">
        <v>40</v>
      </c>
      <c r="AJ188" s="1">
        <v>1059860</v>
      </c>
      <c r="AK188" s="1">
        <v>0.4</v>
      </c>
      <c r="AL188" s="1">
        <v>35</v>
      </c>
      <c r="AM188" s="2">
        <v>50</v>
      </c>
      <c r="AN188" s="2">
        <f t="shared" si="2"/>
        <v>50</v>
      </c>
      <c r="AO188" s="3">
        <v>187</v>
      </c>
      <c r="AP188" s="3">
        <v>35</v>
      </c>
      <c r="AQ188" s="3">
        <v>55</v>
      </c>
      <c r="AR188" s="3">
        <v>50</v>
      </c>
      <c r="AS188" s="1">
        <v>0.5</v>
      </c>
      <c r="AT188" s="3">
        <v>2</v>
      </c>
      <c r="AU188" s="3" t="s">
        <v>3051</v>
      </c>
    </row>
    <row r="189" spans="1:47" x14ac:dyDescent="0.3">
      <c r="A189" s="1" t="s">
        <v>552</v>
      </c>
      <c r="B189" s="1" t="s">
        <v>551</v>
      </c>
      <c r="C189" s="1" t="s">
        <v>42</v>
      </c>
      <c r="D189" s="1" t="s">
        <v>58</v>
      </c>
      <c r="E189" s="1" t="s">
        <v>548</v>
      </c>
      <c r="F189" t="s">
        <v>3068</v>
      </c>
      <c r="G189" t="s">
        <v>3174</v>
      </c>
      <c r="H189" t="s">
        <v>3234</v>
      </c>
      <c r="I189" t="s">
        <v>52</v>
      </c>
      <c r="J189" t="s">
        <v>52</v>
      </c>
      <c r="K189" t="s">
        <v>52</v>
      </c>
      <c r="L189" s="2">
        <v>1</v>
      </c>
      <c r="M189" s="2">
        <v>1</v>
      </c>
      <c r="N189" s="2">
        <v>1</v>
      </c>
      <c r="O189" s="2">
        <v>1</v>
      </c>
      <c r="P189" s="2">
        <v>1</v>
      </c>
      <c r="Q189" s="2">
        <v>0.5</v>
      </c>
      <c r="R189" s="2">
        <v>2</v>
      </c>
      <c r="S189" s="2">
        <v>2</v>
      </c>
      <c r="T189" s="2">
        <v>1</v>
      </c>
      <c r="U189" s="2">
        <v>0.25</v>
      </c>
      <c r="V189" s="2">
        <v>0</v>
      </c>
      <c r="W189" s="2">
        <v>4</v>
      </c>
      <c r="X189" s="2">
        <v>1</v>
      </c>
      <c r="Y189" s="2">
        <v>2</v>
      </c>
      <c r="Z189" s="2">
        <v>1</v>
      </c>
      <c r="AA189" s="2">
        <v>2</v>
      </c>
      <c r="AB189" s="2">
        <v>1</v>
      </c>
      <c r="AC189" s="2">
        <v>0.5</v>
      </c>
      <c r="AD189" s="2">
        <v>45</v>
      </c>
      <c r="AE189" s="2">
        <v>5120</v>
      </c>
      <c r="AF189" s="2">
        <v>70</v>
      </c>
      <c r="AG189" s="2">
        <v>340</v>
      </c>
      <c r="AH189" s="2">
        <v>120</v>
      </c>
      <c r="AI189" s="2">
        <v>50</v>
      </c>
      <c r="AJ189" s="1">
        <v>1059860</v>
      </c>
      <c r="AK189" s="1">
        <v>0.6</v>
      </c>
      <c r="AL189" s="1">
        <v>55</v>
      </c>
      <c r="AM189" s="2">
        <v>50</v>
      </c>
      <c r="AN189" s="2">
        <f t="shared" si="2"/>
        <v>50</v>
      </c>
      <c r="AO189" s="3">
        <v>188</v>
      </c>
      <c r="AP189" s="3">
        <v>45</v>
      </c>
      <c r="AQ189" s="3">
        <v>65</v>
      </c>
      <c r="AR189" s="3">
        <v>80</v>
      </c>
      <c r="AS189" s="1">
        <v>1</v>
      </c>
      <c r="AT189" s="3">
        <v>2</v>
      </c>
      <c r="AU189" s="3" t="s">
        <v>3051</v>
      </c>
    </row>
    <row r="190" spans="1:47" x14ac:dyDescent="0.3">
      <c r="A190" s="1" t="s">
        <v>554</v>
      </c>
      <c r="B190" s="1" t="s">
        <v>553</v>
      </c>
      <c r="C190" s="1" t="s">
        <v>42</v>
      </c>
      <c r="D190" s="1" t="s">
        <v>58</v>
      </c>
      <c r="E190" s="1" t="s">
        <v>548</v>
      </c>
      <c r="F190" t="s">
        <v>3068</v>
      </c>
      <c r="G190" t="s">
        <v>3174</v>
      </c>
      <c r="H190" t="s">
        <v>3234</v>
      </c>
      <c r="I190" t="s">
        <v>52</v>
      </c>
      <c r="J190" t="s">
        <v>52</v>
      </c>
      <c r="K190" t="s">
        <v>52</v>
      </c>
      <c r="L190" s="2">
        <v>1</v>
      </c>
      <c r="M190" s="2">
        <v>1</v>
      </c>
      <c r="N190" s="2">
        <v>1</v>
      </c>
      <c r="O190" s="2">
        <v>1</v>
      </c>
      <c r="P190" s="2">
        <v>1</v>
      </c>
      <c r="Q190" s="2">
        <v>0.5</v>
      </c>
      <c r="R190" s="2">
        <v>2</v>
      </c>
      <c r="S190" s="2">
        <v>2</v>
      </c>
      <c r="T190" s="2">
        <v>1</v>
      </c>
      <c r="U190" s="2">
        <v>0.25</v>
      </c>
      <c r="V190" s="2">
        <v>0</v>
      </c>
      <c r="W190" s="2">
        <v>4</v>
      </c>
      <c r="X190" s="2">
        <v>1</v>
      </c>
      <c r="Y190" s="2">
        <v>2</v>
      </c>
      <c r="Z190" s="2">
        <v>1</v>
      </c>
      <c r="AA190" s="2">
        <v>2</v>
      </c>
      <c r="AB190" s="2">
        <v>1</v>
      </c>
      <c r="AC190" s="2">
        <v>0.5</v>
      </c>
      <c r="AD190" s="2">
        <v>55</v>
      </c>
      <c r="AE190" s="2">
        <v>5120</v>
      </c>
      <c r="AF190" s="2">
        <v>70</v>
      </c>
      <c r="AG190" s="2">
        <v>460</v>
      </c>
      <c r="AH190" s="2">
        <v>45</v>
      </c>
      <c r="AI190" s="2">
        <v>70</v>
      </c>
      <c r="AJ190" s="1">
        <v>1059860</v>
      </c>
      <c r="AK190" s="1">
        <v>0.8</v>
      </c>
      <c r="AL190" s="1">
        <v>75</v>
      </c>
      <c r="AM190" s="2">
        <v>50</v>
      </c>
      <c r="AN190" s="2">
        <f t="shared" si="2"/>
        <v>50</v>
      </c>
      <c r="AO190" s="3">
        <v>189</v>
      </c>
      <c r="AP190" s="3">
        <v>55</v>
      </c>
      <c r="AQ190" s="3">
        <v>95</v>
      </c>
      <c r="AR190" s="3">
        <v>110</v>
      </c>
      <c r="AS190" s="1">
        <v>3</v>
      </c>
      <c r="AT190" s="3">
        <v>2</v>
      </c>
      <c r="AU190" s="3" t="s">
        <v>3051</v>
      </c>
    </row>
    <row r="191" spans="1:47" x14ac:dyDescent="0.3">
      <c r="A191" s="1" t="s">
        <v>557</v>
      </c>
      <c r="B191" s="1" t="s">
        <v>556</v>
      </c>
      <c r="C191" s="1" t="s">
        <v>90</v>
      </c>
      <c r="D191" s="1" t="s">
        <v>52</v>
      </c>
      <c r="E191" s="1" t="s">
        <v>555</v>
      </c>
      <c r="F191" t="s">
        <v>3119</v>
      </c>
      <c r="G191" t="s">
        <v>3128</v>
      </c>
      <c r="H191" t="s">
        <v>3246</v>
      </c>
      <c r="I191" t="s">
        <v>52</v>
      </c>
      <c r="J191" t="s">
        <v>52</v>
      </c>
      <c r="K191" t="s">
        <v>52</v>
      </c>
      <c r="L191" s="2">
        <v>1</v>
      </c>
      <c r="M191" s="2">
        <v>1</v>
      </c>
      <c r="N191" s="2">
        <v>1</v>
      </c>
      <c r="O191" s="2">
        <v>1</v>
      </c>
      <c r="P191" s="2">
        <v>1</v>
      </c>
      <c r="Q191" s="2">
        <v>2</v>
      </c>
      <c r="R191" s="2">
        <v>1</v>
      </c>
      <c r="S191" s="2">
        <v>1</v>
      </c>
      <c r="T191" s="2">
        <v>0</v>
      </c>
      <c r="U191" s="2">
        <v>1</v>
      </c>
      <c r="V191" s="2">
        <v>1</v>
      </c>
      <c r="W191" s="2">
        <v>1</v>
      </c>
      <c r="X191" s="2">
        <v>1</v>
      </c>
      <c r="Y191" s="2">
        <v>1</v>
      </c>
      <c r="Z191" s="2">
        <v>1</v>
      </c>
      <c r="AA191" s="2">
        <v>1</v>
      </c>
      <c r="AB191" s="2">
        <v>1</v>
      </c>
      <c r="AC191" s="2">
        <v>1</v>
      </c>
      <c r="AD191" s="2">
        <v>70</v>
      </c>
      <c r="AE191" s="2">
        <v>5120</v>
      </c>
      <c r="AF191" s="2">
        <v>70</v>
      </c>
      <c r="AG191" s="2">
        <v>360</v>
      </c>
      <c r="AH191" s="2">
        <v>45</v>
      </c>
      <c r="AI191" s="2">
        <v>55</v>
      </c>
      <c r="AJ191" s="1">
        <v>800000</v>
      </c>
      <c r="AK191" s="1">
        <v>0.8</v>
      </c>
      <c r="AL191" s="1">
        <v>55</v>
      </c>
      <c r="AM191" s="2">
        <v>50</v>
      </c>
      <c r="AN191" s="2">
        <f t="shared" si="2"/>
        <v>50</v>
      </c>
      <c r="AO191" s="3">
        <v>190</v>
      </c>
      <c r="AP191" s="3">
        <v>40</v>
      </c>
      <c r="AQ191" s="3">
        <v>55</v>
      </c>
      <c r="AR191" s="3">
        <v>85</v>
      </c>
      <c r="AS191" s="1">
        <v>11.5</v>
      </c>
      <c r="AT191" s="3">
        <v>2</v>
      </c>
      <c r="AU191" s="3" t="s">
        <v>3051</v>
      </c>
    </row>
    <row r="192" spans="1:47" x14ac:dyDescent="0.3">
      <c r="A192" s="1" t="s">
        <v>559</v>
      </c>
      <c r="B192" s="1" t="s">
        <v>558</v>
      </c>
      <c r="C192" s="1" t="s">
        <v>42</v>
      </c>
      <c r="D192" s="1" t="s">
        <v>52</v>
      </c>
      <c r="E192" s="1" t="s">
        <v>39</v>
      </c>
      <c r="F192" t="s">
        <v>3068</v>
      </c>
      <c r="G192" t="s">
        <v>3223</v>
      </c>
      <c r="H192" t="s">
        <v>3142</v>
      </c>
      <c r="I192" t="s">
        <v>52</v>
      </c>
      <c r="J192" t="s">
        <v>52</v>
      </c>
      <c r="K192" t="s">
        <v>52</v>
      </c>
      <c r="L192" s="2">
        <v>2</v>
      </c>
      <c r="M192" s="2">
        <v>1</v>
      </c>
      <c r="N192" s="2">
        <v>1</v>
      </c>
      <c r="O192" s="2">
        <v>0.5</v>
      </c>
      <c r="P192" s="2">
        <v>1</v>
      </c>
      <c r="Q192" s="2">
        <v>1</v>
      </c>
      <c r="R192" s="2">
        <v>2</v>
      </c>
      <c r="S192" s="2">
        <v>2</v>
      </c>
      <c r="T192" s="2">
        <v>1</v>
      </c>
      <c r="U192" s="2">
        <v>0.5</v>
      </c>
      <c r="V192" s="2">
        <v>0.5</v>
      </c>
      <c r="W192" s="2">
        <v>2</v>
      </c>
      <c r="X192" s="2">
        <v>1</v>
      </c>
      <c r="Y192" s="2">
        <v>2</v>
      </c>
      <c r="Z192" s="2">
        <v>1</v>
      </c>
      <c r="AA192" s="2">
        <v>1</v>
      </c>
      <c r="AB192" s="2">
        <v>1</v>
      </c>
      <c r="AC192" s="2">
        <v>0.5</v>
      </c>
      <c r="AD192" s="2">
        <v>30</v>
      </c>
      <c r="AE192" s="2">
        <v>5120</v>
      </c>
      <c r="AF192" s="2">
        <v>70</v>
      </c>
      <c r="AG192" s="2">
        <v>180</v>
      </c>
      <c r="AH192" s="2">
        <v>235</v>
      </c>
      <c r="AI192" s="2">
        <v>30</v>
      </c>
      <c r="AJ192" s="1">
        <v>1059860</v>
      </c>
      <c r="AK192" s="1">
        <v>0.3</v>
      </c>
      <c r="AL192" s="1">
        <v>30</v>
      </c>
      <c r="AM192" s="2">
        <v>50</v>
      </c>
      <c r="AN192" s="2">
        <f t="shared" si="2"/>
        <v>50</v>
      </c>
      <c r="AO192" s="3">
        <v>191</v>
      </c>
      <c r="AP192" s="3">
        <v>30</v>
      </c>
      <c r="AQ192" s="3">
        <v>30</v>
      </c>
      <c r="AR192" s="3">
        <v>30</v>
      </c>
      <c r="AS192" s="1">
        <v>1.8</v>
      </c>
      <c r="AT192" s="3">
        <v>2</v>
      </c>
      <c r="AU192" s="3" t="s">
        <v>3051</v>
      </c>
    </row>
    <row r="193" spans="1:47" x14ac:dyDescent="0.3">
      <c r="A193" s="1" t="s">
        <v>562</v>
      </c>
      <c r="B193" s="1" t="s">
        <v>561</v>
      </c>
      <c r="C193" s="1" t="s">
        <v>42</v>
      </c>
      <c r="D193" s="1" t="s">
        <v>52</v>
      </c>
      <c r="E193" s="1" t="s">
        <v>560</v>
      </c>
      <c r="F193" t="s">
        <v>3068</v>
      </c>
      <c r="G193" t="s">
        <v>3223</v>
      </c>
      <c r="H193" t="s">
        <v>3142</v>
      </c>
      <c r="I193" t="s">
        <v>52</v>
      </c>
      <c r="J193" t="s">
        <v>52</v>
      </c>
      <c r="K193" t="s">
        <v>52</v>
      </c>
      <c r="L193" s="2">
        <v>2</v>
      </c>
      <c r="M193" s="2">
        <v>1</v>
      </c>
      <c r="N193" s="2">
        <v>1</v>
      </c>
      <c r="O193" s="2">
        <v>0.5</v>
      </c>
      <c r="P193" s="2">
        <v>1</v>
      </c>
      <c r="Q193" s="2">
        <v>1</v>
      </c>
      <c r="R193" s="2">
        <v>2</v>
      </c>
      <c r="S193" s="2">
        <v>2</v>
      </c>
      <c r="T193" s="2">
        <v>1</v>
      </c>
      <c r="U193" s="2">
        <v>0.5</v>
      </c>
      <c r="V193" s="2">
        <v>0.5</v>
      </c>
      <c r="W193" s="2">
        <v>2</v>
      </c>
      <c r="X193" s="2">
        <v>1</v>
      </c>
      <c r="Y193" s="2">
        <v>2</v>
      </c>
      <c r="Z193" s="2">
        <v>1</v>
      </c>
      <c r="AA193" s="2">
        <v>1</v>
      </c>
      <c r="AB193" s="2">
        <v>1</v>
      </c>
      <c r="AC193" s="2">
        <v>0.5</v>
      </c>
      <c r="AD193" s="2">
        <v>75</v>
      </c>
      <c r="AE193" s="2">
        <v>5120</v>
      </c>
      <c r="AF193" s="2">
        <v>70</v>
      </c>
      <c r="AG193" s="2">
        <v>425</v>
      </c>
      <c r="AH193" s="2">
        <v>120</v>
      </c>
      <c r="AI193" s="2">
        <v>55</v>
      </c>
      <c r="AJ193" s="1">
        <v>1059860</v>
      </c>
      <c r="AK193" s="1">
        <v>0.8</v>
      </c>
      <c r="AL193" s="1">
        <v>75</v>
      </c>
      <c r="AM193" s="2">
        <v>50</v>
      </c>
      <c r="AN193" s="2">
        <f t="shared" si="2"/>
        <v>50</v>
      </c>
      <c r="AO193" s="3">
        <v>192</v>
      </c>
      <c r="AP193" s="3">
        <v>105</v>
      </c>
      <c r="AQ193" s="3">
        <v>85</v>
      </c>
      <c r="AR193" s="3">
        <v>30</v>
      </c>
      <c r="AS193" s="1">
        <v>8.5</v>
      </c>
      <c r="AT193" s="3">
        <v>2</v>
      </c>
      <c r="AU193" s="3" t="s">
        <v>3051</v>
      </c>
    </row>
    <row r="194" spans="1:47" x14ac:dyDescent="0.3">
      <c r="A194" s="1" t="s">
        <v>565</v>
      </c>
      <c r="B194" s="1" t="s">
        <v>564</v>
      </c>
      <c r="C194" s="1" t="s">
        <v>72</v>
      </c>
      <c r="D194" s="1" t="s">
        <v>58</v>
      </c>
      <c r="E194" s="1" t="s">
        <v>563</v>
      </c>
      <c r="F194" t="s">
        <v>3149</v>
      </c>
      <c r="G194" t="s">
        <v>3117</v>
      </c>
      <c r="H194" t="s">
        <v>3186</v>
      </c>
      <c r="I194" t="s">
        <v>52</v>
      </c>
      <c r="J194" t="s">
        <v>52</v>
      </c>
      <c r="K194" t="s">
        <v>52</v>
      </c>
      <c r="L194" s="2">
        <v>0.5</v>
      </c>
      <c r="M194" s="2">
        <v>1</v>
      </c>
      <c r="N194" s="2">
        <v>1</v>
      </c>
      <c r="O194" s="2">
        <v>2</v>
      </c>
      <c r="P194" s="2">
        <v>1</v>
      </c>
      <c r="Q194" s="2">
        <v>0.25</v>
      </c>
      <c r="R194" s="2">
        <v>2</v>
      </c>
      <c r="S194" s="2">
        <v>2</v>
      </c>
      <c r="T194" s="2">
        <v>1</v>
      </c>
      <c r="U194" s="2">
        <v>0.25</v>
      </c>
      <c r="V194" s="2">
        <v>0</v>
      </c>
      <c r="W194" s="2">
        <v>2</v>
      </c>
      <c r="X194" s="2">
        <v>1</v>
      </c>
      <c r="Y194" s="2">
        <v>1</v>
      </c>
      <c r="Z194" s="2">
        <v>1</v>
      </c>
      <c r="AA194" s="2">
        <v>4</v>
      </c>
      <c r="AB194" s="2">
        <v>1</v>
      </c>
      <c r="AC194" s="2">
        <v>1</v>
      </c>
      <c r="AD194" s="2">
        <v>65</v>
      </c>
      <c r="AE194" s="2">
        <v>5120</v>
      </c>
      <c r="AF194" s="2">
        <v>70</v>
      </c>
      <c r="AG194" s="2">
        <v>390</v>
      </c>
      <c r="AH194" s="2">
        <v>75</v>
      </c>
      <c r="AI194" s="2">
        <v>45</v>
      </c>
      <c r="AJ194" s="1">
        <v>1000000</v>
      </c>
      <c r="AK194" s="1">
        <v>1.2</v>
      </c>
      <c r="AL194" s="1">
        <v>65</v>
      </c>
      <c r="AM194" s="2">
        <v>50</v>
      </c>
      <c r="AN194" s="2">
        <f t="shared" si="2"/>
        <v>50</v>
      </c>
      <c r="AO194" s="3">
        <v>193</v>
      </c>
      <c r="AP194" s="3">
        <v>75</v>
      </c>
      <c r="AQ194" s="3">
        <v>45</v>
      </c>
      <c r="AR194" s="3">
        <v>95</v>
      </c>
      <c r="AS194" s="1">
        <v>38</v>
      </c>
      <c r="AT194" s="3">
        <v>2</v>
      </c>
      <c r="AU194" s="3" t="s">
        <v>3051</v>
      </c>
    </row>
    <row r="195" spans="1:47" x14ac:dyDescent="0.3">
      <c r="A195" s="1" t="s">
        <v>568</v>
      </c>
      <c r="B195" s="1" t="s">
        <v>567</v>
      </c>
      <c r="C195" s="1" t="s">
        <v>62</v>
      </c>
      <c r="D195" s="1" t="s">
        <v>120</v>
      </c>
      <c r="E195" s="1" t="s">
        <v>566</v>
      </c>
      <c r="F195" t="s">
        <v>3130</v>
      </c>
      <c r="G195" t="s">
        <v>3092</v>
      </c>
      <c r="H195" t="s">
        <v>3106</v>
      </c>
      <c r="I195" t="s">
        <v>52</v>
      </c>
      <c r="J195" t="s">
        <v>52</v>
      </c>
      <c r="K195" t="s">
        <v>52</v>
      </c>
      <c r="L195" s="2">
        <v>1</v>
      </c>
      <c r="M195" s="2">
        <v>1</v>
      </c>
      <c r="N195" s="2">
        <v>1</v>
      </c>
      <c r="O195" s="2">
        <v>0</v>
      </c>
      <c r="P195" s="2">
        <v>1</v>
      </c>
      <c r="Q195" s="2">
        <v>1</v>
      </c>
      <c r="R195" s="2">
        <v>0.5</v>
      </c>
      <c r="S195" s="2">
        <v>1</v>
      </c>
      <c r="T195" s="2">
        <v>1</v>
      </c>
      <c r="U195" s="2">
        <v>4</v>
      </c>
      <c r="V195" s="2">
        <v>1</v>
      </c>
      <c r="W195" s="2">
        <v>1</v>
      </c>
      <c r="X195" s="2">
        <v>1</v>
      </c>
      <c r="Y195" s="2">
        <v>0.5</v>
      </c>
      <c r="Z195" s="2">
        <v>1</v>
      </c>
      <c r="AA195" s="2">
        <v>0.5</v>
      </c>
      <c r="AB195" s="2">
        <v>0.5</v>
      </c>
      <c r="AC195" s="2">
        <v>1</v>
      </c>
      <c r="AD195" s="2">
        <v>45</v>
      </c>
      <c r="AE195" s="2">
        <v>5120</v>
      </c>
      <c r="AF195" s="2">
        <v>70</v>
      </c>
      <c r="AG195" s="2">
        <v>210</v>
      </c>
      <c r="AH195" s="2">
        <v>255</v>
      </c>
      <c r="AI195" s="2">
        <v>45</v>
      </c>
      <c r="AJ195" s="1">
        <v>1000000</v>
      </c>
      <c r="AK195" s="1">
        <v>0.4</v>
      </c>
      <c r="AL195" s="1">
        <v>55</v>
      </c>
      <c r="AM195" s="2">
        <v>50</v>
      </c>
      <c r="AN195" s="2">
        <f t="shared" ref="AN195:AN258" si="3">IF(AM195="","",100-AM195)</f>
        <v>50</v>
      </c>
      <c r="AO195" s="3">
        <v>194</v>
      </c>
      <c r="AP195" s="3">
        <v>25</v>
      </c>
      <c r="AQ195" s="3">
        <v>25</v>
      </c>
      <c r="AR195" s="3">
        <v>15</v>
      </c>
      <c r="AS195" s="1">
        <v>8.5</v>
      </c>
      <c r="AT195" s="3">
        <v>2</v>
      </c>
      <c r="AU195" s="3" t="s">
        <v>3051</v>
      </c>
    </row>
    <row r="196" spans="1:47" x14ac:dyDescent="0.3">
      <c r="A196" s="1" t="s">
        <v>570</v>
      </c>
      <c r="B196" s="1" t="s">
        <v>569</v>
      </c>
      <c r="C196" s="1" t="s">
        <v>62</v>
      </c>
      <c r="D196" s="1" t="s">
        <v>120</v>
      </c>
      <c r="E196" s="1" t="s">
        <v>566</v>
      </c>
      <c r="F196" t="s">
        <v>3130</v>
      </c>
      <c r="G196" t="s">
        <v>3092</v>
      </c>
      <c r="H196" t="s">
        <v>3106</v>
      </c>
      <c r="I196" t="s">
        <v>52</v>
      </c>
      <c r="J196" t="s">
        <v>52</v>
      </c>
      <c r="K196" t="s">
        <v>52</v>
      </c>
      <c r="L196" s="2">
        <v>1</v>
      </c>
      <c r="M196" s="2">
        <v>1</v>
      </c>
      <c r="N196" s="2">
        <v>1</v>
      </c>
      <c r="O196" s="2">
        <v>0</v>
      </c>
      <c r="P196" s="2">
        <v>1</v>
      </c>
      <c r="Q196" s="2">
        <v>1</v>
      </c>
      <c r="R196" s="2">
        <v>0.5</v>
      </c>
      <c r="S196" s="2">
        <v>1</v>
      </c>
      <c r="T196" s="2">
        <v>1</v>
      </c>
      <c r="U196" s="2">
        <v>4</v>
      </c>
      <c r="V196" s="2">
        <v>1</v>
      </c>
      <c r="W196" s="2">
        <v>1</v>
      </c>
      <c r="X196" s="2">
        <v>1</v>
      </c>
      <c r="Y196" s="2">
        <v>0.5</v>
      </c>
      <c r="Z196" s="2">
        <v>1</v>
      </c>
      <c r="AA196" s="2">
        <v>0.5</v>
      </c>
      <c r="AB196" s="2">
        <v>0.5</v>
      </c>
      <c r="AC196" s="2">
        <v>1</v>
      </c>
      <c r="AD196" s="2">
        <v>85</v>
      </c>
      <c r="AE196" s="2">
        <v>5120</v>
      </c>
      <c r="AF196" s="2">
        <v>70</v>
      </c>
      <c r="AG196" s="2">
        <v>430</v>
      </c>
      <c r="AH196" s="2">
        <v>90</v>
      </c>
      <c r="AI196" s="2">
        <v>85</v>
      </c>
      <c r="AJ196" s="1">
        <v>1000000</v>
      </c>
      <c r="AK196" s="1">
        <v>1.4</v>
      </c>
      <c r="AL196" s="1">
        <v>95</v>
      </c>
      <c r="AM196" s="2">
        <v>50</v>
      </c>
      <c r="AN196" s="2">
        <f t="shared" si="3"/>
        <v>50</v>
      </c>
      <c r="AO196" s="3">
        <v>195</v>
      </c>
      <c r="AP196" s="3">
        <v>65</v>
      </c>
      <c r="AQ196" s="3">
        <v>65</v>
      </c>
      <c r="AR196" s="3">
        <v>35</v>
      </c>
      <c r="AS196" s="1">
        <v>75</v>
      </c>
      <c r="AT196" s="3">
        <v>2</v>
      </c>
      <c r="AU196" s="3" t="s">
        <v>3051</v>
      </c>
    </row>
    <row r="197" spans="1:47" x14ac:dyDescent="0.3">
      <c r="A197" s="1" t="s">
        <v>572</v>
      </c>
      <c r="B197" s="1" t="s">
        <v>571</v>
      </c>
      <c r="C197" s="1" t="s">
        <v>216</v>
      </c>
      <c r="D197" s="1" t="s">
        <v>52</v>
      </c>
      <c r="E197" s="1" t="s">
        <v>560</v>
      </c>
      <c r="F197" t="s">
        <v>3057</v>
      </c>
      <c r="G197" t="s">
        <v>3257</v>
      </c>
      <c r="H197" t="s">
        <v>52</v>
      </c>
      <c r="I197" t="s">
        <v>52</v>
      </c>
      <c r="J197" t="s">
        <v>52</v>
      </c>
      <c r="K197" t="s">
        <v>52</v>
      </c>
      <c r="L197" s="2">
        <v>2</v>
      </c>
      <c r="M197" s="2">
        <v>2</v>
      </c>
      <c r="N197" s="2">
        <v>1</v>
      </c>
      <c r="O197" s="2">
        <v>1</v>
      </c>
      <c r="P197" s="2">
        <v>1</v>
      </c>
      <c r="Q197" s="2">
        <v>0.5</v>
      </c>
      <c r="R197" s="2">
        <v>1</v>
      </c>
      <c r="S197" s="2">
        <v>1</v>
      </c>
      <c r="T197" s="2">
        <v>2</v>
      </c>
      <c r="U197" s="2">
        <v>1</v>
      </c>
      <c r="V197" s="2">
        <v>1</v>
      </c>
      <c r="W197" s="2">
        <v>1</v>
      </c>
      <c r="X197" s="2">
        <v>1</v>
      </c>
      <c r="Y197" s="2">
        <v>1</v>
      </c>
      <c r="Z197" s="2">
        <v>0.5</v>
      </c>
      <c r="AA197" s="2">
        <v>1</v>
      </c>
      <c r="AB197" s="2">
        <v>1</v>
      </c>
      <c r="AC197" s="2">
        <v>1</v>
      </c>
      <c r="AD197" s="2">
        <v>65</v>
      </c>
      <c r="AE197" s="2">
        <v>8960</v>
      </c>
      <c r="AF197" s="2">
        <v>70</v>
      </c>
      <c r="AG197" s="2">
        <v>525</v>
      </c>
      <c r="AH197" s="2">
        <v>45</v>
      </c>
      <c r="AI197" s="2">
        <v>60</v>
      </c>
      <c r="AJ197" s="1">
        <v>1000000</v>
      </c>
      <c r="AK197" s="1">
        <v>0.9</v>
      </c>
      <c r="AL197" s="1">
        <v>65</v>
      </c>
      <c r="AM197" s="2">
        <v>88.1</v>
      </c>
      <c r="AN197" s="2">
        <f t="shared" si="3"/>
        <v>11.900000000000006</v>
      </c>
      <c r="AO197" s="3">
        <v>196</v>
      </c>
      <c r="AP197" s="3">
        <v>130</v>
      </c>
      <c r="AQ197" s="3">
        <v>95</v>
      </c>
      <c r="AR197" s="3">
        <v>110</v>
      </c>
      <c r="AS197" s="1">
        <v>26.5</v>
      </c>
      <c r="AT197" s="3">
        <v>2</v>
      </c>
      <c r="AU197" s="3" t="s">
        <v>3051</v>
      </c>
    </row>
    <row r="198" spans="1:47" x14ac:dyDescent="0.3">
      <c r="A198" s="1" t="s">
        <v>575</v>
      </c>
      <c r="B198" s="1" t="s">
        <v>574</v>
      </c>
      <c r="C198" s="1" t="s">
        <v>99</v>
      </c>
      <c r="D198" s="1" t="s">
        <v>52</v>
      </c>
      <c r="E198" s="1" t="s">
        <v>573</v>
      </c>
      <c r="F198" t="s">
        <v>3057</v>
      </c>
      <c r="G198" t="s">
        <v>3126</v>
      </c>
      <c r="H198" t="s">
        <v>52</v>
      </c>
      <c r="I198" t="s">
        <v>52</v>
      </c>
      <c r="J198" t="s">
        <v>52</v>
      </c>
      <c r="K198" t="s">
        <v>52</v>
      </c>
      <c r="L198" s="2">
        <v>2</v>
      </c>
      <c r="M198" s="2">
        <v>0.5</v>
      </c>
      <c r="N198" s="2">
        <v>1</v>
      </c>
      <c r="O198" s="2">
        <v>1</v>
      </c>
      <c r="P198" s="2">
        <v>2</v>
      </c>
      <c r="Q198" s="2">
        <v>2</v>
      </c>
      <c r="R198" s="2">
        <v>1</v>
      </c>
      <c r="S198" s="2">
        <v>1</v>
      </c>
      <c r="T198" s="2">
        <v>0.5</v>
      </c>
      <c r="U198" s="2">
        <v>1</v>
      </c>
      <c r="V198" s="2">
        <v>1</v>
      </c>
      <c r="W198" s="2">
        <v>1</v>
      </c>
      <c r="X198" s="2">
        <v>1</v>
      </c>
      <c r="Y198" s="2">
        <v>1</v>
      </c>
      <c r="Z198" s="2">
        <v>0</v>
      </c>
      <c r="AA198" s="2">
        <v>1</v>
      </c>
      <c r="AB198" s="2">
        <v>1</v>
      </c>
      <c r="AC198" s="2">
        <v>1</v>
      </c>
      <c r="AD198" s="2">
        <v>65</v>
      </c>
      <c r="AE198" s="2">
        <v>8960</v>
      </c>
      <c r="AF198" s="2">
        <v>35</v>
      </c>
      <c r="AG198" s="2">
        <v>525</v>
      </c>
      <c r="AH198" s="2">
        <v>45</v>
      </c>
      <c r="AI198" s="2">
        <v>110</v>
      </c>
      <c r="AJ198" s="1">
        <v>1000000</v>
      </c>
      <c r="AK198" s="1">
        <v>1</v>
      </c>
      <c r="AL198" s="1">
        <v>95</v>
      </c>
      <c r="AM198" s="2">
        <v>88.1</v>
      </c>
      <c r="AN198" s="2">
        <f t="shared" si="3"/>
        <v>11.900000000000006</v>
      </c>
      <c r="AO198" s="3">
        <v>197</v>
      </c>
      <c r="AP198" s="3">
        <v>60</v>
      </c>
      <c r="AQ198" s="3">
        <v>130</v>
      </c>
      <c r="AR198" s="3">
        <v>65</v>
      </c>
      <c r="AS198" s="1">
        <v>27</v>
      </c>
      <c r="AT198" s="3">
        <v>2</v>
      </c>
      <c r="AU198" s="3" t="s">
        <v>3051</v>
      </c>
    </row>
    <row r="199" spans="1:47" x14ac:dyDescent="0.3">
      <c r="A199" s="1" t="s">
        <v>578</v>
      </c>
      <c r="B199" s="1" t="s">
        <v>577</v>
      </c>
      <c r="C199" s="1" t="s">
        <v>99</v>
      </c>
      <c r="D199" s="1" t="s">
        <v>58</v>
      </c>
      <c r="E199" s="1" t="s">
        <v>576</v>
      </c>
      <c r="F199" t="s">
        <v>3137</v>
      </c>
      <c r="G199" t="s">
        <v>3256</v>
      </c>
      <c r="H199" t="s">
        <v>3182</v>
      </c>
      <c r="I199" t="s">
        <v>52</v>
      </c>
      <c r="J199" t="s">
        <v>52</v>
      </c>
      <c r="K199" t="s">
        <v>52</v>
      </c>
      <c r="L199" s="2">
        <v>1</v>
      </c>
      <c r="M199" s="2">
        <v>0.5</v>
      </c>
      <c r="N199" s="2">
        <v>1</v>
      </c>
      <c r="O199" s="2">
        <v>2</v>
      </c>
      <c r="P199" s="2">
        <v>2</v>
      </c>
      <c r="Q199" s="2">
        <v>1</v>
      </c>
      <c r="R199" s="2">
        <v>1</v>
      </c>
      <c r="S199" s="2">
        <v>1</v>
      </c>
      <c r="T199" s="2">
        <v>0.5</v>
      </c>
      <c r="U199" s="2">
        <v>0.5</v>
      </c>
      <c r="V199" s="2">
        <v>0</v>
      </c>
      <c r="W199" s="2">
        <v>2</v>
      </c>
      <c r="X199" s="2">
        <v>1</v>
      </c>
      <c r="Y199" s="2">
        <v>1</v>
      </c>
      <c r="Z199" s="2">
        <v>0</v>
      </c>
      <c r="AA199" s="2">
        <v>2</v>
      </c>
      <c r="AB199" s="2">
        <v>1</v>
      </c>
      <c r="AC199" s="2">
        <v>1</v>
      </c>
      <c r="AD199" s="2">
        <v>85</v>
      </c>
      <c r="AE199" s="2">
        <v>5120</v>
      </c>
      <c r="AF199" s="2">
        <v>35</v>
      </c>
      <c r="AG199" s="2">
        <v>405</v>
      </c>
      <c r="AH199" s="2">
        <v>30</v>
      </c>
      <c r="AI199" s="2">
        <v>42</v>
      </c>
      <c r="AJ199" s="1">
        <v>1059860</v>
      </c>
      <c r="AK199" s="1">
        <v>0.5</v>
      </c>
      <c r="AL199" s="1">
        <v>60</v>
      </c>
      <c r="AM199" s="2">
        <v>50</v>
      </c>
      <c r="AN199" s="2">
        <f t="shared" si="3"/>
        <v>50</v>
      </c>
      <c r="AO199" s="3">
        <v>198</v>
      </c>
      <c r="AP199" s="3">
        <v>85</v>
      </c>
      <c r="AQ199" s="3">
        <v>42</v>
      </c>
      <c r="AR199" s="3">
        <v>91</v>
      </c>
      <c r="AS199" s="1">
        <v>2.1</v>
      </c>
      <c r="AT199" s="3">
        <v>2</v>
      </c>
      <c r="AU199" s="3" t="s">
        <v>3051</v>
      </c>
    </row>
    <row r="200" spans="1:47" x14ac:dyDescent="0.3">
      <c r="A200" s="1" t="s">
        <v>581</v>
      </c>
      <c r="B200" s="1" t="s">
        <v>580</v>
      </c>
      <c r="C200" s="1" t="s">
        <v>62</v>
      </c>
      <c r="D200" s="1" t="s">
        <v>216</v>
      </c>
      <c r="E200" s="1" t="s">
        <v>579</v>
      </c>
      <c r="F200" t="s">
        <v>3133</v>
      </c>
      <c r="G200" t="s">
        <v>3140</v>
      </c>
      <c r="H200" t="s">
        <v>3242</v>
      </c>
      <c r="I200" t="s">
        <v>52</v>
      </c>
      <c r="J200" t="s">
        <v>52</v>
      </c>
      <c r="K200" t="s">
        <v>52</v>
      </c>
      <c r="L200" s="2">
        <v>2</v>
      </c>
      <c r="M200" s="2">
        <v>2</v>
      </c>
      <c r="N200" s="2">
        <v>1</v>
      </c>
      <c r="O200" s="2">
        <v>2</v>
      </c>
      <c r="P200" s="2">
        <v>1</v>
      </c>
      <c r="Q200" s="2">
        <v>0.5</v>
      </c>
      <c r="R200" s="2">
        <v>0.5</v>
      </c>
      <c r="S200" s="2">
        <v>1</v>
      </c>
      <c r="T200" s="2">
        <v>2</v>
      </c>
      <c r="U200" s="2">
        <v>2</v>
      </c>
      <c r="V200" s="2">
        <v>1</v>
      </c>
      <c r="W200" s="2">
        <v>0.5</v>
      </c>
      <c r="X200" s="2">
        <v>1</v>
      </c>
      <c r="Y200" s="2">
        <v>1</v>
      </c>
      <c r="Z200" s="2">
        <v>0.5</v>
      </c>
      <c r="AA200" s="2">
        <v>1</v>
      </c>
      <c r="AB200" s="2">
        <v>0.5</v>
      </c>
      <c r="AC200" s="2">
        <v>0.5</v>
      </c>
      <c r="AD200" s="2">
        <v>75</v>
      </c>
      <c r="AE200" s="2">
        <v>5120</v>
      </c>
      <c r="AF200" s="2">
        <v>70</v>
      </c>
      <c r="AG200" s="2">
        <v>490</v>
      </c>
      <c r="AH200" s="2">
        <v>70</v>
      </c>
      <c r="AI200" s="2">
        <v>80</v>
      </c>
      <c r="AJ200" s="1">
        <v>1000000</v>
      </c>
      <c r="AK200" s="1">
        <v>2</v>
      </c>
      <c r="AL200" s="1">
        <v>95</v>
      </c>
      <c r="AM200" s="2">
        <v>50</v>
      </c>
      <c r="AN200" s="2">
        <f t="shared" si="3"/>
        <v>50</v>
      </c>
      <c r="AO200" s="3">
        <v>199</v>
      </c>
      <c r="AP200" s="3">
        <v>100</v>
      </c>
      <c r="AQ200" s="3">
        <v>110</v>
      </c>
      <c r="AR200" s="3">
        <v>30</v>
      </c>
      <c r="AS200" s="1">
        <v>79.5</v>
      </c>
      <c r="AT200" s="3">
        <v>2</v>
      </c>
      <c r="AU200" s="3" t="s">
        <v>3051</v>
      </c>
    </row>
    <row r="201" spans="1:47" x14ac:dyDescent="0.3">
      <c r="A201" s="1" t="s">
        <v>584</v>
      </c>
      <c r="B201" s="1" t="s">
        <v>583</v>
      </c>
      <c r="C201" s="1" t="s">
        <v>293</v>
      </c>
      <c r="D201" s="1" t="s">
        <v>52</v>
      </c>
      <c r="E201" s="1" t="s">
        <v>582</v>
      </c>
      <c r="F201" t="s">
        <v>3055</v>
      </c>
      <c r="G201" t="s">
        <v>52</v>
      </c>
      <c r="H201" t="s">
        <v>52</v>
      </c>
      <c r="I201" t="s">
        <v>52</v>
      </c>
      <c r="J201" t="s">
        <v>52</v>
      </c>
      <c r="K201" t="s">
        <v>52</v>
      </c>
      <c r="L201" s="2">
        <v>0.5</v>
      </c>
      <c r="M201" s="2">
        <v>2</v>
      </c>
      <c r="N201" s="2">
        <v>1</v>
      </c>
      <c r="O201" s="2">
        <v>1</v>
      </c>
      <c r="P201" s="2">
        <v>1</v>
      </c>
      <c r="Q201" s="2">
        <v>0</v>
      </c>
      <c r="R201" s="2">
        <v>1</v>
      </c>
      <c r="S201" s="2">
        <v>1</v>
      </c>
      <c r="T201" s="2">
        <v>2</v>
      </c>
      <c r="U201" s="2">
        <v>1</v>
      </c>
      <c r="V201" s="2">
        <v>1</v>
      </c>
      <c r="W201" s="2">
        <v>1</v>
      </c>
      <c r="X201" s="2">
        <v>0</v>
      </c>
      <c r="Y201" s="2">
        <v>0.5</v>
      </c>
      <c r="Z201" s="2">
        <v>1</v>
      </c>
      <c r="AA201" s="2">
        <v>1</v>
      </c>
      <c r="AB201" s="2">
        <v>1</v>
      </c>
      <c r="AC201" s="2">
        <v>1</v>
      </c>
      <c r="AD201" s="2">
        <v>60</v>
      </c>
      <c r="AE201" s="2">
        <v>6400</v>
      </c>
      <c r="AF201" s="2">
        <v>35</v>
      </c>
      <c r="AG201" s="2">
        <v>435</v>
      </c>
      <c r="AH201" s="2">
        <v>45</v>
      </c>
      <c r="AI201" s="2">
        <v>60</v>
      </c>
      <c r="AJ201" s="1">
        <v>800000</v>
      </c>
      <c r="AK201" s="1">
        <v>0.7</v>
      </c>
      <c r="AL201" s="1">
        <v>60</v>
      </c>
      <c r="AM201" s="2">
        <v>50</v>
      </c>
      <c r="AN201" s="2">
        <f t="shared" si="3"/>
        <v>50</v>
      </c>
      <c r="AO201" s="3">
        <v>200</v>
      </c>
      <c r="AP201" s="3">
        <v>85</v>
      </c>
      <c r="AQ201" s="3">
        <v>85</v>
      </c>
      <c r="AR201" s="3">
        <v>85</v>
      </c>
      <c r="AS201" s="1">
        <v>1</v>
      </c>
      <c r="AT201" s="3">
        <v>2</v>
      </c>
      <c r="AU201" s="3" t="s">
        <v>3051</v>
      </c>
    </row>
    <row r="202" spans="1:47" x14ac:dyDescent="0.3">
      <c r="A202" s="1" t="s">
        <v>587</v>
      </c>
      <c r="B202" s="1" t="s">
        <v>586</v>
      </c>
      <c r="C202" s="1" t="s">
        <v>216</v>
      </c>
      <c r="D202" s="1" t="s">
        <v>52</v>
      </c>
      <c r="E202" s="1" t="s">
        <v>585</v>
      </c>
      <c r="F202" t="s">
        <v>3055</v>
      </c>
      <c r="G202" t="s">
        <v>52</v>
      </c>
      <c r="H202" t="s">
        <v>52</v>
      </c>
      <c r="I202" t="s">
        <v>52</v>
      </c>
      <c r="J202" t="s">
        <v>52</v>
      </c>
      <c r="K202" t="s">
        <v>52</v>
      </c>
      <c r="L202" s="2">
        <v>2</v>
      </c>
      <c r="M202" s="2">
        <v>2</v>
      </c>
      <c r="N202" s="2">
        <v>1</v>
      </c>
      <c r="O202" s="2">
        <v>1</v>
      </c>
      <c r="P202" s="2">
        <v>1</v>
      </c>
      <c r="Q202" s="2">
        <v>0.5</v>
      </c>
      <c r="R202" s="2">
        <v>1</v>
      </c>
      <c r="S202" s="2">
        <v>1</v>
      </c>
      <c r="T202" s="2">
        <v>2</v>
      </c>
      <c r="U202" s="2">
        <v>1</v>
      </c>
      <c r="V202" s="2">
        <v>1</v>
      </c>
      <c r="W202" s="2">
        <v>1</v>
      </c>
      <c r="X202" s="2">
        <v>1</v>
      </c>
      <c r="Y202" s="2">
        <v>1</v>
      </c>
      <c r="Z202" s="2">
        <v>0.5</v>
      </c>
      <c r="AA202" s="2">
        <v>1</v>
      </c>
      <c r="AB202" s="2">
        <v>1</v>
      </c>
      <c r="AC202" s="2">
        <v>1</v>
      </c>
      <c r="AD202" s="2">
        <v>72</v>
      </c>
      <c r="AE202" s="2">
        <v>10240</v>
      </c>
      <c r="AF202" s="2">
        <v>70</v>
      </c>
      <c r="AG202" s="2">
        <v>336</v>
      </c>
      <c r="AH202" s="2">
        <v>225</v>
      </c>
      <c r="AI202" s="2">
        <v>48</v>
      </c>
      <c r="AJ202" s="1">
        <v>1000000</v>
      </c>
      <c r="AK202" s="1">
        <v>0.5</v>
      </c>
      <c r="AL202" s="1">
        <v>48</v>
      </c>
      <c r="AM202" s="2" t="s">
        <v>52</v>
      </c>
      <c r="AN202" s="2" t="str">
        <f t="shared" si="3"/>
        <v/>
      </c>
      <c r="AO202" s="3">
        <v>201</v>
      </c>
      <c r="AP202" s="3">
        <v>72</v>
      </c>
      <c r="AQ202" s="3">
        <v>48</v>
      </c>
      <c r="AR202" s="3">
        <v>48</v>
      </c>
      <c r="AS202" s="1">
        <v>5</v>
      </c>
      <c r="AT202" s="3">
        <v>2</v>
      </c>
      <c r="AU202" s="3" t="s">
        <v>3051</v>
      </c>
    </row>
    <row r="203" spans="1:47" x14ac:dyDescent="0.3">
      <c r="A203" s="1" t="s">
        <v>590</v>
      </c>
      <c r="B203" s="1" t="s">
        <v>589</v>
      </c>
      <c r="C203" s="1" t="s">
        <v>216</v>
      </c>
      <c r="D203" s="1" t="s">
        <v>52</v>
      </c>
      <c r="E203" s="1" t="s">
        <v>588</v>
      </c>
      <c r="F203" t="s">
        <v>3150</v>
      </c>
      <c r="G203" t="s">
        <v>3189</v>
      </c>
      <c r="H203" t="s">
        <v>52</v>
      </c>
      <c r="I203" t="s">
        <v>52</v>
      </c>
      <c r="J203" t="s">
        <v>52</v>
      </c>
      <c r="K203" t="s">
        <v>52</v>
      </c>
      <c r="L203" s="2">
        <v>2</v>
      </c>
      <c r="M203" s="2">
        <v>2</v>
      </c>
      <c r="N203" s="2">
        <v>1</v>
      </c>
      <c r="O203" s="2">
        <v>1</v>
      </c>
      <c r="P203" s="2">
        <v>1</v>
      </c>
      <c r="Q203" s="2">
        <v>0.5</v>
      </c>
      <c r="R203" s="2">
        <v>1</v>
      </c>
      <c r="S203" s="2">
        <v>1</v>
      </c>
      <c r="T203" s="2">
        <v>2</v>
      </c>
      <c r="U203" s="2">
        <v>1</v>
      </c>
      <c r="V203" s="2">
        <v>1</v>
      </c>
      <c r="W203" s="2">
        <v>1</v>
      </c>
      <c r="X203" s="2">
        <v>1</v>
      </c>
      <c r="Y203" s="2">
        <v>1</v>
      </c>
      <c r="Z203" s="2">
        <v>0.5</v>
      </c>
      <c r="AA203" s="2">
        <v>1</v>
      </c>
      <c r="AB203" s="2">
        <v>1</v>
      </c>
      <c r="AC203" s="2">
        <v>1</v>
      </c>
      <c r="AD203" s="2">
        <v>33</v>
      </c>
      <c r="AE203" s="2">
        <v>5120</v>
      </c>
      <c r="AF203" s="2">
        <v>70</v>
      </c>
      <c r="AG203" s="2">
        <v>405</v>
      </c>
      <c r="AH203" s="2">
        <v>45</v>
      </c>
      <c r="AI203" s="2">
        <v>58</v>
      </c>
      <c r="AJ203" s="1">
        <v>1000000</v>
      </c>
      <c r="AK203" s="1">
        <v>1.3</v>
      </c>
      <c r="AL203" s="1">
        <v>190</v>
      </c>
      <c r="AM203" s="2">
        <v>50</v>
      </c>
      <c r="AN203" s="2">
        <f t="shared" si="3"/>
        <v>50</v>
      </c>
      <c r="AO203" s="3">
        <v>202</v>
      </c>
      <c r="AP203" s="3">
        <v>33</v>
      </c>
      <c r="AQ203" s="3">
        <v>58</v>
      </c>
      <c r="AR203" s="3">
        <v>33</v>
      </c>
      <c r="AS203" s="1">
        <v>28.5</v>
      </c>
      <c r="AT203" s="3">
        <v>2</v>
      </c>
      <c r="AU203" s="3" t="s">
        <v>3051</v>
      </c>
    </row>
    <row r="204" spans="1:47" x14ac:dyDescent="0.3">
      <c r="A204" s="1" t="s">
        <v>593</v>
      </c>
      <c r="B204" s="1" t="s">
        <v>592</v>
      </c>
      <c r="C204" s="1" t="s">
        <v>90</v>
      </c>
      <c r="D204" s="1" t="s">
        <v>216</v>
      </c>
      <c r="E204" s="1" t="s">
        <v>591</v>
      </c>
      <c r="F204" t="s">
        <v>3126</v>
      </c>
      <c r="G204" t="s">
        <v>3142</v>
      </c>
      <c r="H204" t="s">
        <v>3194</v>
      </c>
      <c r="I204" t="s">
        <v>52</v>
      </c>
      <c r="J204" t="s">
        <v>52</v>
      </c>
      <c r="K204" t="s">
        <v>52</v>
      </c>
      <c r="L204" s="2">
        <v>2</v>
      </c>
      <c r="M204" s="2">
        <v>2</v>
      </c>
      <c r="N204" s="2">
        <v>1</v>
      </c>
      <c r="O204" s="2">
        <v>1</v>
      </c>
      <c r="P204" s="2">
        <v>1</v>
      </c>
      <c r="Q204" s="2">
        <v>1</v>
      </c>
      <c r="R204" s="2">
        <v>1</v>
      </c>
      <c r="S204" s="2">
        <v>1</v>
      </c>
      <c r="T204" s="2">
        <v>0</v>
      </c>
      <c r="U204" s="2">
        <v>1</v>
      </c>
      <c r="V204" s="2">
        <v>1</v>
      </c>
      <c r="W204" s="2">
        <v>1</v>
      </c>
      <c r="X204" s="2">
        <v>1</v>
      </c>
      <c r="Y204" s="2">
        <v>1</v>
      </c>
      <c r="Z204" s="2">
        <v>0.5</v>
      </c>
      <c r="AA204" s="2">
        <v>1</v>
      </c>
      <c r="AB204" s="2">
        <v>1</v>
      </c>
      <c r="AC204" s="2">
        <v>1</v>
      </c>
      <c r="AD204" s="2">
        <v>80</v>
      </c>
      <c r="AE204" s="2">
        <v>5120</v>
      </c>
      <c r="AF204" s="2">
        <v>70</v>
      </c>
      <c r="AG204" s="2">
        <v>455</v>
      </c>
      <c r="AH204" s="2">
        <v>60</v>
      </c>
      <c r="AI204" s="2">
        <v>65</v>
      </c>
      <c r="AJ204" s="1">
        <v>1000000</v>
      </c>
      <c r="AK204" s="1">
        <v>1.5</v>
      </c>
      <c r="AL204" s="1">
        <v>70</v>
      </c>
      <c r="AM204" s="2">
        <v>50</v>
      </c>
      <c r="AN204" s="2">
        <f t="shared" si="3"/>
        <v>50</v>
      </c>
      <c r="AO204" s="3">
        <v>203</v>
      </c>
      <c r="AP204" s="3">
        <v>90</v>
      </c>
      <c r="AQ204" s="3">
        <v>65</v>
      </c>
      <c r="AR204" s="3">
        <v>85</v>
      </c>
      <c r="AS204" s="1">
        <v>41.5</v>
      </c>
      <c r="AT204" s="3">
        <v>2</v>
      </c>
      <c r="AU204" s="3" t="s">
        <v>3051</v>
      </c>
    </row>
    <row r="205" spans="1:47" x14ac:dyDescent="0.3">
      <c r="A205" s="1" t="s">
        <v>596</v>
      </c>
      <c r="B205" s="1" t="s">
        <v>595</v>
      </c>
      <c r="C205" s="1" t="s">
        <v>72</v>
      </c>
      <c r="D205" s="1" t="s">
        <v>52</v>
      </c>
      <c r="E205" s="1" t="s">
        <v>594</v>
      </c>
      <c r="F205" t="s">
        <v>3107</v>
      </c>
      <c r="G205" t="s">
        <v>3187</v>
      </c>
      <c r="H205" t="s">
        <v>52</v>
      </c>
      <c r="I205" t="s">
        <v>52</v>
      </c>
      <c r="J205" t="s">
        <v>52</v>
      </c>
      <c r="K205" t="s">
        <v>52</v>
      </c>
      <c r="L205" s="2">
        <v>1</v>
      </c>
      <c r="M205" s="2">
        <v>1</v>
      </c>
      <c r="N205" s="2">
        <v>1</v>
      </c>
      <c r="O205" s="2">
        <v>1</v>
      </c>
      <c r="P205" s="2">
        <v>1</v>
      </c>
      <c r="Q205" s="2">
        <v>0.5</v>
      </c>
      <c r="R205" s="2">
        <v>2</v>
      </c>
      <c r="S205" s="2">
        <v>2</v>
      </c>
      <c r="T205" s="2">
        <v>1</v>
      </c>
      <c r="U205" s="2">
        <v>0.5</v>
      </c>
      <c r="V205" s="2">
        <v>0.5</v>
      </c>
      <c r="W205" s="2">
        <v>1</v>
      </c>
      <c r="X205" s="2">
        <v>1</v>
      </c>
      <c r="Y205" s="2">
        <v>1</v>
      </c>
      <c r="Z205" s="2">
        <v>1</v>
      </c>
      <c r="AA205" s="2">
        <v>2</v>
      </c>
      <c r="AB205" s="2">
        <v>1</v>
      </c>
      <c r="AC205" s="2">
        <v>1</v>
      </c>
      <c r="AD205" s="2">
        <v>65</v>
      </c>
      <c r="AE205" s="2">
        <v>5120</v>
      </c>
      <c r="AF205" s="2">
        <v>70</v>
      </c>
      <c r="AG205" s="2">
        <v>290</v>
      </c>
      <c r="AH205" s="2">
        <v>190</v>
      </c>
      <c r="AI205" s="2">
        <v>90</v>
      </c>
      <c r="AJ205" s="1">
        <v>1000000</v>
      </c>
      <c r="AK205" s="1">
        <v>0.6</v>
      </c>
      <c r="AL205" s="1">
        <v>50</v>
      </c>
      <c r="AM205" s="2">
        <v>50</v>
      </c>
      <c r="AN205" s="2">
        <f t="shared" si="3"/>
        <v>50</v>
      </c>
      <c r="AO205" s="3">
        <v>204</v>
      </c>
      <c r="AP205" s="3">
        <v>35</v>
      </c>
      <c r="AQ205" s="3">
        <v>35</v>
      </c>
      <c r="AR205" s="3">
        <v>15</v>
      </c>
      <c r="AS205" s="1">
        <v>7.2</v>
      </c>
      <c r="AT205" s="3">
        <v>2</v>
      </c>
      <c r="AU205" s="3" t="s">
        <v>3051</v>
      </c>
    </row>
    <row r="206" spans="1:47" x14ac:dyDescent="0.3">
      <c r="A206" s="1" t="s">
        <v>598</v>
      </c>
      <c r="B206" s="1" t="s">
        <v>597</v>
      </c>
      <c r="C206" s="1" t="s">
        <v>72</v>
      </c>
      <c r="D206" s="1" t="s">
        <v>263</v>
      </c>
      <c r="E206" s="1" t="s">
        <v>594</v>
      </c>
      <c r="F206" t="s">
        <v>3107</v>
      </c>
      <c r="G206" t="s">
        <v>3187</v>
      </c>
      <c r="H206" t="s">
        <v>52</v>
      </c>
      <c r="I206" t="s">
        <v>52</v>
      </c>
      <c r="J206" t="s">
        <v>52</v>
      </c>
      <c r="K206" t="s">
        <v>52</v>
      </c>
      <c r="L206" s="2">
        <v>0.5</v>
      </c>
      <c r="M206" s="2">
        <v>1</v>
      </c>
      <c r="N206" s="2">
        <v>0.5</v>
      </c>
      <c r="O206" s="2">
        <v>1</v>
      </c>
      <c r="P206" s="2">
        <v>0.5</v>
      </c>
      <c r="Q206" s="2">
        <v>1</v>
      </c>
      <c r="R206" s="2">
        <v>4</v>
      </c>
      <c r="S206" s="2">
        <v>1</v>
      </c>
      <c r="T206" s="2">
        <v>1</v>
      </c>
      <c r="U206" s="2">
        <v>0.25</v>
      </c>
      <c r="V206" s="2">
        <v>1</v>
      </c>
      <c r="W206" s="2">
        <v>0.5</v>
      </c>
      <c r="X206" s="2">
        <v>0.5</v>
      </c>
      <c r="Y206" s="2">
        <v>0</v>
      </c>
      <c r="Z206" s="2">
        <v>0.5</v>
      </c>
      <c r="AA206" s="2">
        <v>1</v>
      </c>
      <c r="AB206" s="2">
        <v>0.5</v>
      </c>
      <c r="AC206" s="2">
        <v>1</v>
      </c>
      <c r="AD206" s="2">
        <v>90</v>
      </c>
      <c r="AE206" s="2">
        <v>5120</v>
      </c>
      <c r="AF206" s="2">
        <v>70</v>
      </c>
      <c r="AG206" s="2">
        <v>465</v>
      </c>
      <c r="AH206" s="2">
        <v>75</v>
      </c>
      <c r="AI206" s="2">
        <v>140</v>
      </c>
      <c r="AJ206" s="1">
        <v>1000000</v>
      </c>
      <c r="AK206" s="1">
        <v>1.2</v>
      </c>
      <c r="AL206" s="1">
        <v>75</v>
      </c>
      <c r="AM206" s="2">
        <v>50</v>
      </c>
      <c r="AN206" s="2">
        <f t="shared" si="3"/>
        <v>50</v>
      </c>
      <c r="AO206" s="3">
        <v>205</v>
      </c>
      <c r="AP206" s="3">
        <v>60</v>
      </c>
      <c r="AQ206" s="3">
        <v>60</v>
      </c>
      <c r="AR206" s="3">
        <v>40</v>
      </c>
      <c r="AS206" s="1">
        <v>125.8</v>
      </c>
      <c r="AT206" s="3">
        <v>2</v>
      </c>
      <c r="AU206" s="3" t="s">
        <v>3051</v>
      </c>
    </row>
    <row r="207" spans="1:47" x14ac:dyDescent="0.3">
      <c r="A207" s="1" t="s">
        <v>601</v>
      </c>
      <c r="B207" s="1" t="s">
        <v>600</v>
      </c>
      <c r="C207" s="1" t="s">
        <v>90</v>
      </c>
      <c r="D207" s="1" t="s">
        <v>52</v>
      </c>
      <c r="E207" s="1" t="s">
        <v>599</v>
      </c>
      <c r="F207" t="s">
        <v>3066</v>
      </c>
      <c r="G207" t="s">
        <v>3119</v>
      </c>
      <c r="H207" t="s">
        <v>3238</v>
      </c>
      <c r="I207" t="s">
        <v>52</v>
      </c>
      <c r="J207" t="s">
        <v>52</v>
      </c>
      <c r="K207" t="s">
        <v>52</v>
      </c>
      <c r="L207" s="2">
        <v>1</v>
      </c>
      <c r="M207" s="2">
        <v>1</v>
      </c>
      <c r="N207" s="2">
        <v>1</v>
      </c>
      <c r="O207" s="2">
        <v>1</v>
      </c>
      <c r="P207" s="2">
        <v>1</v>
      </c>
      <c r="Q207" s="2">
        <v>2</v>
      </c>
      <c r="R207" s="2">
        <v>1</v>
      </c>
      <c r="S207" s="2">
        <v>1</v>
      </c>
      <c r="T207" s="2">
        <v>0</v>
      </c>
      <c r="U207" s="2">
        <v>1</v>
      </c>
      <c r="V207" s="2">
        <v>1</v>
      </c>
      <c r="W207" s="2">
        <v>1</v>
      </c>
      <c r="X207" s="2">
        <v>1</v>
      </c>
      <c r="Y207" s="2">
        <v>1</v>
      </c>
      <c r="Z207" s="2">
        <v>1</v>
      </c>
      <c r="AA207" s="2">
        <v>1</v>
      </c>
      <c r="AB207" s="2">
        <v>1</v>
      </c>
      <c r="AC207" s="2">
        <v>1</v>
      </c>
      <c r="AD207" s="2">
        <v>70</v>
      </c>
      <c r="AE207" s="2">
        <v>5120</v>
      </c>
      <c r="AF207" s="2">
        <v>70</v>
      </c>
      <c r="AG207" s="2">
        <v>415</v>
      </c>
      <c r="AH207" s="2">
        <v>190</v>
      </c>
      <c r="AI207" s="2">
        <v>70</v>
      </c>
      <c r="AJ207" s="1">
        <v>1000000</v>
      </c>
      <c r="AK207" s="1">
        <v>1.5</v>
      </c>
      <c r="AL207" s="1">
        <v>100</v>
      </c>
      <c r="AM207" s="2">
        <v>50</v>
      </c>
      <c r="AN207" s="2">
        <f t="shared" si="3"/>
        <v>50</v>
      </c>
      <c r="AO207" s="3">
        <v>206</v>
      </c>
      <c r="AP207" s="3">
        <v>65</v>
      </c>
      <c r="AQ207" s="3">
        <v>65</v>
      </c>
      <c r="AR207" s="3">
        <v>45</v>
      </c>
      <c r="AS207" s="1">
        <v>14</v>
      </c>
      <c r="AT207" s="3">
        <v>2</v>
      </c>
      <c r="AU207" s="3" t="s">
        <v>3051</v>
      </c>
    </row>
    <row r="208" spans="1:47" x14ac:dyDescent="0.3">
      <c r="A208" s="1" t="s">
        <v>604</v>
      </c>
      <c r="B208" s="1" t="s">
        <v>603</v>
      </c>
      <c r="C208" s="1" t="s">
        <v>120</v>
      </c>
      <c r="D208" s="1" t="s">
        <v>58</v>
      </c>
      <c r="E208" s="1" t="s">
        <v>602</v>
      </c>
      <c r="F208" t="s">
        <v>3138</v>
      </c>
      <c r="G208" t="s">
        <v>3122</v>
      </c>
      <c r="H208" t="s">
        <v>3148</v>
      </c>
      <c r="I208" t="s">
        <v>52</v>
      </c>
      <c r="J208" t="s">
        <v>52</v>
      </c>
      <c r="K208" t="s">
        <v>52</v>
      </c>
      <c r="L208" s="2">
        <v>0.5</v>
      </c>
      <c r="M208" s="2">
        <v>1</v>
      </c>
      <c r="N208" s="2">
        <v>1</v>
      </c>
      <c r="O208" s="2">
        <v>0</v>
      </c>
      <c r="P208" s="2">
        <v>1</v>
      </c>
      <c r="Q208" s="2">
        <v>0.5</v>
      </c>
      <c r="R208" s="2">
        <v>1</v>
      </c>
      <c r="S208" s="2">
        <v>1</v>
      </c>
      <c r="T208" s="2">
        <v>1</v>
      </c>
      <c r="U208" s="2">
        <v>1</v>
      </c>
      <c r="V208" s="2">
        <v>0</v>
      </c>
      <c r="W208" s="2">
        <v>4</v>
      </c>
      <c r="X208" s="2">
        <v>1</v>
      </c>
      <c r="Y208" s="2">
        <v>0.5</v>
      </c>
      <c r="Z208" s="2">
        <v>1</v>
      </c>
      <c r="AA208" s="2">
        <v>1</v>
      </c>
      <c r="AB208" s="2">
        <v>1</v>
      </c>
      <c r="AC208" s="2">
        <v>2</v>
      </c>
      <c r="AD208" s="2">
        <v>75</v>
      </c>
      <c r="AE208" s="2">
        <v>5120</v>
      </c>
      <c r="AF208" s="2">
        <v>70</v>
      </c>
      <c r="AG208" s="2">
        <v>430</v>
      </c>
      <c r="AH208" s="2">
        <v>60</v>
      </c>
      <c r="AI208" s="2">
        <v>105</v>
      </c>
      <c r="AJ208" s="1">
        <v>1059860</v>
      </c>
      <c r="AK208" s="1">
        <v>1.1000000000000001</v>
      </c>
      <c r="AL208" s="1">
        <v>65</v>
      </c>
      <c r="AM208" s="2">
        <v>50</v>
      </c>
      <c r="AN208" s="2">
        <f t="shared" si="3"/>
        <v>50</v>
      </c>
      <c r="AO208" s="3">
        <v>207</v>
      </c>
      <c r="AP208" s="3">
        <v>35</v>
      </c>
      <c r="AQ208" s="3">
        <v>65</v>
      </c>
      <c r="AR208" s="3">
        <v>85</v>
      </c>
      <c r="AS208" s="1">
        <v>64.8</v>
      </c>
      <c r="AT208" s="3">
        <v>2</v>
      </c>
      <c r="AU208" s="3" t="s">
        <v>3051</v>
      </c>
    </row>
    <row r="209" spans="1:47" x14ac:dyDescent="0.3">
      <c r="A209" s="1" t="s">
        <v>607</v>
      </c>
      <c r="B209" s="1" t="s">
        <v>606</v>
      </c>
      <c r="C209" s="1" t="s">
        <v>263</v>
      </c>
      <c r="D209" s="1" t="s">
        <v>120</v>
      </c>
      <c r="E209" s="1" t="s">
        <v>605</v>
      </c>
      <c r="F209" t="s">
        <v>3132</v>
      </c>
      <c r="G209" t="s">
        <v>3107</v>
      </c>
      <c r="H209" t="s">
        <v>3184</v>
      </c>
      <c r="I209" t="s">
        <v>52</v>
      </c>
      <c r="J209" t="s">
        <v>52</v>
      </c>
      <c r="K209" t="s">
        <v>52</v>
      </c>
      <c r="L209" s="2">
        <v>0.5</v>
      </c>
      <c r="M209" s="2">
        <v>1</v>
      </c>
      <c r="N209" s="2">
        <v>0.5</v>
      </c>
      <c r="O209" s="2">
        <v>0</v>
      </c>
      <c r="P209" s="2">
        <v>0.5</v>
      </c>
      <c r="Q209" s="2">
        <v>2</v>
      </c>
      <c r="R209" s="2">
        <v>2</v>
      </c>
      <c r="S209" s="2">
        <v>0.5</v>
      </c>
      <c r="T209" s="2">
        <v>1</v>
      </c>
      <c r="U209" s="2">
        <v>1</v>
      </c>
      <c r="V209" s="2">
        <v>2</v>
      </c>
      <c r="W209" s="2">
        <v>1</v>
      </c>
      <c r="X209" s="2">
        <v>0.5</v>
      </c>
      <c r="Y209" s="2">
        <v>0</v>
      </c>
      <c r="Z209" s="2">
        <v>0.5</v>
      </c>
      <c r="AA209" s="2">
        <v>0.25</v>
      </c>
      <c r="AB209" s="2">
        <v>0.5</v>
      </c>
      <c r="AC209" s="2">
        <v>2</v>
      </c>
      <c r="AD209" s="2">
        <v>125</v>
      </c>
      <c r="AE209" s="2">
        <v>6400</v>
      </c>
      <c r="AF209" s="2">
        <v>70</v>
      </c>
      <c r="AG209" s="2">
        <v>610</v>
      </c>
      <c r="AH209" s="2">
        <v>25</v>
      </c>
      <c r="AI209" s="2">
        <v>230</v>
      </c>
      <c r="AJ209" s="1">
        <v>1000000</v>
      </c>
      <c r="AK209" s="1">
        <v>9.1999999999999993</v>
      </c>
      <c r="AL209" s="1">
        <v>75</v>
      </c>
      <c r="AM209" s="2">
        <v>50</v>
      </c>
      <c r="AN209" s="2">
        <f t="shared" si="3"/>
        <v>50</v>
      </c>
      <c r="AO209" s="3">
        <v>208</v>
      </c>
      <c r="AP209" s="3">
        <v>55</v>
      </c>
      <c r="AQ209" s="3">
        <v>95</v>
      </c>
      <c r="AR209" s="3">
        <v>30</v>
      </c>
      <c r="AS209" s="1">
        <v>400</v>
      </c>
      <c r="AT209" s="3">
        <v>2</v>
      </c>
      <c r="AU209" s="3" t="s">
        <v>3051</v>
      </c>
    </row>
    <row r="210" spans="1:47" x14ac:dyDescent="0.3">
      <c r="A210" s="1" t="s">
        <v>609</v>
      </c>
      <c r="B210" s="1" t="s">
        <v>608</v>
      </c>
      <c r="C210" s="1" t="s">
        <v>141</v>
      </c>
      <c r="D210" s="1" t="s">
        <v>52</v>
      </c>
      <c r="E210" s="1" t="s">
        <v>138</v>
      </c>
      <c r="F210" t="s">
        <v>3120</v>
      </c>
      <c r="G210" t="s">
        <v>3119</v>
      </c>
      <c r="H210" t="s">
        <v>3238</v>
      </c>
      <c r="I210" t="s">
        <v>52</v>
      </c>
      <c r="J210" t="s">
        <v>52</v>
      </c>
      <c r="K210" t="s">
        <v>52</v>
      </c>
      <c r="L210" s="2">
        <v>0.5</v>
      </c>
      <c r="M210" s="2">
        <v>0.5</v>
      </c>
      <c r="N210" s="2">
        <v>0</v>
      </c>
      <c r="O210" s="2">
        <v>1</v>
      </c>
      <c r="P210" s="2">
        <v>1</v>
      </c>
      <c r="Q210" s="2">
        <v>0.5</v>
      </c>
      <c r="R210" s="2">
        <v>1</v>
      </c>
      <c r="S210" s="2">
        <v>1</v>
      </c>
      <c r="T210" s="2">
        <v>1</v>
      </c>
      <c r="U210" s="2">
        <v>1</v>
      </c>
      <c r="V210" s="2">
        <v>1</v>
      </c>
      <c r="W210" s="2">
        <v>1</v>
      </c>
      <c r="X210" s="2">
        <v>1</v>
      </c>
      <c r="Y210" s="2">
        <v>2</v>
      </c>
      <c r="Z210" s="2">
        <v>1</v>
      </c>
      <c r="AA210" s="2">
        <v>1</v>
      </c>
      <c r="AB210" s="2">
        <v>2</v>
      </c>
      <c r="AC210" s="2">
        <v>1</v>
      </c>
      <c r="AD210" s="2">
        <v>80</v>
      </c>
      <c r="AE210" s="2">
        <v>5120</v>
      </c>
      <c r="AF210" s="2">
        <v>70</v>
      </c>
      <c r="AG210" s="2">
        <v>300</v>
      </c>
      <c r="AH210" s="2">
        <v>190</v>
      </c>
      <c r="AI210" s="2">
        <v>50</v>
      </c>
      <c r="AJ210" s="1">
        <v>800000</v>
      </c>
      <c r="AK210" s="1">
        <v>0.6</v>
      </c>
      <c r="AL210" s="1">
        <v>60</v>
      </c>
      <c r="AM210" s="2">
        <v>24.6</v>
      </c>
      <c r="AN210" s="2">
        <f t="shared" si="3"/>
        <v>75.400000000000006</v>
      </c>
      <c r="AO210" s="3">
        <v>209</v>
      </c>
      <c r="AP210" s="3">
        <v>40</v>
      </c>
      <c r="AQ210" s="3">
        <v>40</v>
      </c>
      <c r="AR210" s="3">
        <v>30</v>
      </c>
      <c r="AS210" s="1">
        <v>7.8</v>
      </c>
      <c r="AT210" s="3">
        <v>2</v>
      </c>
      <c r="AU210" s="3" t="s">
        <v>3051</v>
      </c>
    </row>
    <row r="211" spans="1:47" x14ac:dyDescent="0.3">
      <c r="A211" s="1" t="s">
        <v>611</v>
      </c>
      <c r="B211" s="1" t="s">
        <v>610</v>
      </c>
      <c r="C211" s="1" t="s">
        <v>141</v>
      </c>
      <c r="D211" s="1" t="s">
        <v>52</v>
      </c>
      <c r="E211" s="1" t="s">
        <v>138</v>
      </c>
      <c r="F211" t="s">
        <v>3120</v>
      </c>
      <c r="G211" t="s">
        <v>3254</v>
      </c>
      <c r="H211" t="s">
        <v>3238</v>
      </c>
      <c r="I211" t="s">
        <v>52</v>
      </c>
      <c r="J211" t="s">
        <v>52</v>
      </c>
      <c r="K211" t="s">
        <v>52</v>
      </c>
      <c r="L211" s="2">
        <v>0.5</v>
      </c>
      <c r="M211" s="2">
        <v>0.5</v>
      </c>
      <c r="N211" s="2">
        <v>0</v>
      </c>
      <c r="O211" s="2">
        <v>1</v>
      </c>
      <c r="P211" s="2">
        <v>1</v>
      </c>
      <c r="Q211" s="2">
        <v>0.5</v>
      </c>
      <c r="R211" s="2">
        <v>1</v>
      </c>
      <c r="S211" s="2">
        <v>1</v>
      </c>
      <c r="T211" s="2">
        <v>1</v>
      </c>
      <c r="U211" s="2">
        <v>1</v>
      </c>
      <c r="V211" s="2">
        <v>1</v>
      </c>
      <c r="W211" s="2">
        <v>1</v>
      </c>
      <c r="X211" s="2">
        <v>1</v>
      </c>
      <c r="Y211" s="2">
        <v>2</v>
      </c>
      <c r="Z211" s="2">
        <v>1</v>
      </c>
      <c r="AA211" s="2">
        <v>1</v>
      </c>
      <c r="AB211" s="2">
        <v>2</v>
      </c>
      <c r="AC211" s="2">
        <v>1</v>
      </c>
      <c r="AD211" s="2">
        <v>120</v>
      </c>
      <c r="AE211" s="2">
        <v>5120</v>
      </c>
      <c r="AF211" s="2">
        <v>70</v>
      </c>
      <c r="AG211" s="2">
        <v>450</v>
      </c>
      <c r="AH211" s="2">
        <v>75</v>
      </c>
      <c r="AI211" s="2">
        <v>75</v>
      </c>
      <c r="AJ211" s="1">
        <v>800000</v>
      </c>
      <c r="AK211" s="1">
        <v>1.4</v>
      </c>
      <c r="AL211" s="1">
        <v>90</v>
      </c>
      <c r="AM211" s="2">
        <v>24.6</v>
      </c>
      <c r="AN211" s="2">
        <f t="shared" si="3"/>
        <v>75.400000000000006</v>
      </c>
      <c r="AO211" s="3">
        <v>210</v>
      </c>
      <c r="AP211" s="3">
        <v>60</v>
      </c>
      <c r="AQ211" s="3">
        <v>60</v>
      </c>
      <c r="AR211" s="3">
        <v>45</v>
      </c>
      <c r="AS211" s="1">
        <v>48.7</v>
      </c>
      <c r="AT211" s="3">
        <v>2</v>
      </c>
      <c r="AU211" s="3" t="s">
        <v>3051</v>
      </c>
    </row>
    <row r="212" spans="1:47" x14ac:dyDescent="0.3">
      <c r="A212" s="1" t="s">
        <v>613</v>
      </c>
      <c r="B212" s="1" t="s">
        <v>612</v>
      </c>
      <c r="C212" s="1" t="s">
        <v>62</v>
      </c>
      <c r="D212" s="1" t="s">
        <v>43</v>
      </c>
      <c r="E212" s="1" t="s">
        <v>149</v>
      </c>
      <c r="F212" t="s">
        <v>3123</v>
      </c>
      <c r="G212" t="s">
        <v>3143</v>
      </c>
      <c r="H212" t="s">
        <v>3120</v>
      </c>
      <c r="I212" t="s">
        <v>52</v>
      </c>
      <c r="J212" t="s">
        <v>52</v>
      </c>
      <c r="K212" t="s">
        <v>52</v>
      </c>
      <c r="L212" s="2">
        <v>0.5</v>
      </c>
      <c r="M212" s="2">
        <v>1</v>
      </c>
      <c r="N212" s="2">
        <v>1</v>
      </c>
      <c r="O212" s="2">
        <v>2</v>
      </c>
      <c r="P212" s="2">
        <v>0.5</v>
      </c>
      <c r="Q212" s="2">
        <v>0.5</v>
      </c>
      <c r="R212" s="2">
        <v>0.5</v>
      </c>
      <c r="S212" s="2">
        <v>1</v>
      </c>
      <c r="T212" s="2">
        <v>1</v>
      </c>
      <c r="U212" s="2">
        <v>1</v>
      </c>
      <c r="V212" s="2">
        <v>2</v>
      </c>
      <c r="W212" s="2">
        <v>0.5</v>
      </c>
      <c r="X212" s="2">
        <v>1</v>
      </c>
      <c r="Y212" s="2">
        <v>0.5</v>
      </c>
      <c r="Z212" s="2">
        <v>2</v>
      </c>
      <c r="AA212" s="2">
        <v>1</v>
      </c>
      <c r="AB212" s="2">
        <v>0.5</v>
      </c>
      <c r="AC212" s="2">
        <v>0.5</v>
      </c>
      <c r="AD212" s="2">
        <v>95</v>
      </c>
      <c r="AE212" s="2">
        <v>5120</v>
      </c>
      <c r="AF212" s="2">
        <v>70</v>
      </c>
      <c r="AG212" s="2">
        <v>440</v>
      </c>
      <c r="AH212" s="2">
        <v>45</v>
      </c>
      <c r="AI212" s="2">
        <v>85</v>
      </c>
      <c r="AJ212" s="1">
        <v>1000000</v>
      </c>
      <c r="AK212" s="1">
        <v>0.5</v>
      </c>
      <c r="AL212" s="1">
        <v>65</v>
      </c>
      <c r="AM212" s="2">
        <v>50</v>
      </c>
      <c r="AN212" s="2">
        <f t="shared" si="3"/>
        <v>50</v>
      </c>
      <c r="AO212" s="3">
        <v>211</v>
      </c>
      <c r="AP212" s="3">
        <v>55</v>
      </c>
      <c r="AQ212" s="3">
        <v>55</v>
      </c>
      <c r="AR212" s="3">
        <v>85</v>
      </c>
      <c r="AS212" s="1">
        <v>3.9</v>
      </c>
      <c r="AT212" s="3">
        <v>2</v>
      </c>
      <c r="AU212" s="3" t="s">
        <v>3051</v>
      </c>
    </row>
    <row r="213" spans="1:47" x14ac:dyDescent="0.3">
      <c r="A213" s="1" t="s">
        <v>615</v>
      </c>
      <c r="B213" s="1" t="s">
        <v>614</v>
      </c>
      <c r="C213" s="1" t="s">
        <v>72</v>
      </c>
      <c r="D213" s="1" t="s">
        <v>263</v>
      </c>
      <c r="E213" s="1" t="s">
        <v>310</v>
      </c>
      <c r="F213" t="s">
        <v>3093</v>
      </c>
      <c r="G213" t="s">
        <v>3169</v>
      </c>
      <c r="H213" t="s">
        <v>3259</v>
      </c>
      <c r="I213" t="s">
        <v>52</v>
      </c>
      <c r="J213" t="s">
        <v>52</v>
      </c>
      <c r="K213" t="s">
        <v>52</v>
      </c>
      <c r="L213" s="2">
        <v>0.5</v>
      </c>
      <c r="M213" s="2">
        <v>1</v>
      </c>
      <c r="N213" s="2">
        <v>0.5</v>
      </c>
      <c r="O213" s="2">
        <v>1</v>
      </c>
      <c r="P213" s="2">
        <v>0.5</v>
      </c>
      <c r="Q213" s="2">
        <v>1</v>
      </c>
      <c r="R213" s="2">
        <v>4</v>
      </c>
      <c r="S213" s="2">
        <v>1</v>
      </c>
      <c r="T213" s="2">
        <v>1</v>
      </c>
      <c r="U213" s="2">
        <v>0.25</v>
      </c>
      <c r="V213" s="2">
        <v>1</v>
      </c>
      <c r="W213" s="2">
        <v>0.5</v>
      </c>
      <c r="X213" s="2">
        <v>0.5</v>
      </c>
      <c r="Y213" s="2">
        <v>0</v>
      </c>
      <c r="Z213" s="2">
        <v>0.5</v>
      </c>
      <c r="AA213" s="2">
        <v>1</v>
      </c>
      <c r="AB213" s="2">
        <v>0.5</v>
      </c>
      <c r="AC213" s="2">
        <v>1</v>
      </c>
      <c r="AD213" s="2">
        <v>150</v>
      </c>
      <c r="AE213" s="2">
        <v>6400</v>
      </c>
      <c r="AF213" s="2">
        <v>70</v>
      </c>
      <c r="AG213" s="2">
        <v>600</v>
      </c>
      <c r="AH213" s="2">
        <v>25</v>
      </c>
      <c r="AI213" s="2">
        <v>140</v>
      </c>
      <c r="AJ213" s="1">
        <v>1000000</v>
      </c>
      <c r="AK213" s="1">
        <v>1.8</v>
      </c>
      <c r="AL213" s="1">
        <v>70</v>
      </c>
      <c r="AM213" s="2">
        <v>50</v>
      </c>
      <c r="AN213" s="2">
        <f t="shared" si="3"/>
        <v>50</v>
      </c>
      <c r="AO213" s="3">
        <v>212</v>
      </c>
      <c r="AP213" s="3">
        <v>65</v>
      </c>
      <c r="AQ213" s="3">
        <v>100</v>
      </c>
      <c r="AR213" s="3">
        <v>75</v>
      </c>
      <c r="AS213" s="1">
        <v>118</v>
      </c>
      <c r="AT213" s="3">
        <v>2</v>
      </c>
      <c r="AU213" s="3" t="s">
        <v>3051</v>
      </c>
    </row>
    <row r="214" spans="1:47" x14ac:dyDescent="0.3">
      <c r="A214" s="1" t="s">
        <v>618</v>
      </c>
      <c r="B214" s="1" t="s">
        <v>617</v>
      </c>
      <c r="C214" s="1" t="s">
        <v>72</v>
      </c>
      <c r="D214" s="1" t="s">
        <v>243</v>
      </c>
      <c r="E214" s="1" t="s">
        <v>616</v>
      </c>
      <c r="F214" t="s">
        <v>3107</v>
      </c>
      <c r="G214" t="s">
        <v>3177</v>
      </c>
      <c r="H214" t="s">
        <v>3196</v>
      </c>
      <c r="I214" t="s">
        <v>52</v>
      </c>
      <c r="J214" t="s">
        <v>52</v>
      </c>
      <c r="K214" t="s">
        <v>52</v>
      </c>
      <c r="L214" s="2">
        <v>1</v>
      </c>
      <c r="M214" s="2">
        <v>1</v>
      </c>
      <c r="N214" s="2">
        <v>1</v>
      </c>
      <c r="O214" s="2">
        <v>1</v>
      </c>
      <c r="P214" s="2">
        <v>1</v>
      </c>
      <c r="Q214" s="2">
        <v>1</v>
      </c>
      <c r="R214" s="2">
        <v>1</v>
      </c>
      <c r="S214" s="2">
        <v>1</v>
      </c>
      <c r="T214" s="2">
        <v>1</v>
      </c>
      <c r="U214" s="2">
        <v>1</v>
      </c>
      <c r="V214" s="2">
        <v>1</v>
      </c>
      <c r="W214" s="2">
        <v>1</v>
      </c>
      <c r="X214" s="2">
        <v>0.5</v>
      </c>
      <c r="Y214" s="2">
        <v>0.5</v>
      </c>
      <c r="Z214" s="2">
        <v>1</v>
      </c>
      <c r="AA214" s="2">
        <v>2</v>
      </c>
      <c r="AB214" s="2">
        <v>2</v>
      </c>
      <c r="AC214" s="2">
        <v>2</v>
      </c>
      <c r="AD214" s="2">
        <v>10</v>
      </c>
      <c r="AE214" s="2">
        <v>5120</v>
      </c>
      <c r="AF214" s="2">
        <v>70</v>
      </c>
      <c r="AG214" s="2">
        <v>505</v>
      </c>
      <c r="AH214" s="2">
        <v>190</v>
      </c>
      <c r="AI214" s="2">
        <v>230</v>
      </c>
      <c r="AJ214" s="1">
        <v>1059860</v>
      </c>
      <c r="AK214" s="1">
        <v>0.6</v>
      </c>
      <c r="AL214" s="1">
        <v>20</v>
      </c>
      <c r="AM214" s="2">
        <v>50</v>
      </c>
      <c r="AN214" s="2">
        <f t="shared" si="3"/>
        <v>50</v>
      </c>
      <c r="AO214" s="3">
        <v>213</v>
      </c>
      <c r="AP214" s="3">
        <v>10</v>
      </c>
      <c r="AQ214" s="3">
        <v>230</v>
      </c>
      <c r="AR214" s="3">
        <v>5</v>
      </c>
      <c r="AS214" s="1">
        <v>20.5</v>
      </c>
      <c r="AT214" s="3">
        <v>2</v>
      </c>
      <c r="AU214" s="3" t="s">
        <v>3051</v>
      </c>
    </row>
    <row r="215" spans="1:47" x14ac:dyDescent="0.3">
      <c r="A215" s="1" t="s">
        <v>621</v>
      </c>
      <c r="B215" s="1" t="s">
        <v>620</v>
      </c>
      <c r="C215" s="1" t="s">
        <v>72</v>
      </c>
      <c r="D215" s="1" t="s">
        <v>197</v>
      </c>
      <c r="E215" s="1" t="s">
        <v>619</v>
      </c>
      <c r="F215" t="s">
        <v>3093</v>
      </c>
      <c r="G215" t="s">
        <v>3131</v>
      </c>
      <c r="H215" t="s">
        <v>3252</v>
      </c>
      <c r="I215" t="s">
        <v>52</v>
      </c>
      <c r="J215" t="s">
        <v>52</v>
      </c>
      <c r="K215" t="s">
        <v>52</v>
      </c>
      <c r="L215" s="2">
        <v>0.5</v>
      </c>
      <c r="M215" s="2">
        <v>0.5</v>
      </c>
      <c r="N215" s="2">
        <v>1</v>
      </c>
      <c r="O215" s="2">
        <v>1</v>
      </c>
      <c r="P215" s="2">
        <v>2</v>
      </c>
      <c r="Q215" s="2">
        <v>0.5</v>
      </c>
      <c r="R215" s="2">
        <v>2</v>
      </c>
      <c r="S215" s="2">
        <v>4</v>
      </c>
      <c r="T215" s="2">
        <v>1</v>
      </c>
      <c r="U215" s="2">
        <v>0.5</v>
      </c>
      <c r="V215" s="2">
        <v>0.5</v>
      </c>
      <c r="W215" s="2">
        <v>1</v>
      </c>
      <c r="X215" s="2">
        <v>1</v>
      </c>
      <c r="Y215" s="2">
        <v>1</v>
      </c>
      <c r="Z215" s="2">
        <v>2</v>
      </c>
      <c r="AA215" s="2">
        <v>1</v>
      </c>
      <c r="AB215" s="2">
        <v>1</v>
      </c>
      <c r="AC215" s="2">
        <v>1</v>
      </c>
      <c r="AD215" s="2">
        <v>185</v>
      </c>
      <c r="AE215" s="2">
        <v>6400</v>
      </c>
      <c r="AF215" s="2">
        <v>70</v>
      </c>
      <c r="AG215" s="2">
        <v>600</v>
      </c>
      <c r="AH215" s="2">
        <v>45</v>
      </c>
      <c r="AI215" s="2">
        <v>115</v>
      </c>
      <c r="AJ215" s="1">
        <v>1250000</v>
      </c>
      <c r="AK215" s="1">
        <v>1.5</v>
      </c>
      <c r="AL215" s="1">
        <v>80</v>
      </c>
      <c r="AM215" s="2">
        <v>50</v>
      </c>
      <c r="AN215" s="2">
        <f t="shared" si="3"/>
        <v>50</v>
      </c>
      <c r="AO215" s="3">
        <v>214</v>
      </c>
      <c r="AP215" s="3">
        <v>40</v>
      </c>
      <c r="AQ215" s="3">
        <v>105</v>
      </c>
      <c r="AR215" s="3">
        <v>75</v>
      </c>
      <c r="AS215" s="1">
        <v>54</v>
      </c>
      <c r="AT215" s="3">
        <v>2</v>
      </c>
      <c r="AU215" s="3" t="s">
        <v>3051</v>
      </c>
    </row>
    <row r="216" spans="1:47" x14ac:dyDescent="0.3">
      <c r="A216" s="1" t="s">
        <v>624</v>
      </c>
      <c r="B216" s="1" t="s">
        <v>623</v>
      </c>
      <c r="C216" s="1" t="s">
        <v>99</v>
      </c>
      <c r="D216" s="1" t="s">
        <v>121</v>
      </c>
      <c r="E216" s="1" t="s">
        <v>622</v>
      </c>
      <c r="F216" t="s">
        <v>3126</v>
      </c>
      <c r="G216" t="s">
        <v>3118</v>
      </c>
      <c r="H216" t="s">
        <v>3260</v>
      </c>
      <c r="I216" t="s">
        <v>52</v>
      </c>
      <c r="J216" t="s">
        <v>52</v>
      </c>
      <c r="K216" t="s">
        <v>52</v>
      </c>
      <c r="L216" s="2">
        <v>2</v>
      </c>
      <c r="M216" s="2">
        <v>0.5</v>
      </c>
      <c r="N216" s="2">
        <v>1</v>
      </c>
      <c r="O216" s="2">
        <v>1</v>
      </c>
      <c r="P216" s="2">
        <v>2</v>
      </c>
      <c r="Q216" s="2">
        <v>4</v>
      </c>
      <c r="R216" s="2">
        <v>2</v>
      </c>
      <c r="S216" s="2">
        <v>1</v>
      </c>
      <c r="T216" s="2">
        <v>0.5</v>
      </c>
      <c r="U216" s="2">
        <v>1</v>
      </c>
      <c r="V216" s="2">
        <v>1</v>
      </c>
      <c r="W216" s="2">
        <v>0.5</v>
      </c>
      <c r="X216" s="2">
        <v>1</v>
      </c>
      <c r="Y216" s="2">
        <v>1</v>
      </c>
      <c r="Z216" s="2">
        <v>0</v>
      </c>
      <c r="AA216" s="2">
        <v>2</v>
      </c>
      <c r="AB216" s="2">
        <v>2</v>
      </c>
      <c r="AC216" s="2">
        <v>1</v>
      </c>
      <c r="AD216" s="2">
        <v>95</v>
      </c>
      <c r="AE216" s="2">
        <v>5120</v>
      </c>
      <c r="AF216" s="2">
        <v>35</v>
      </c>
      <c r="AG216" s="2">
        <v>430</v>
      </c>
      <c r="AH216" s="2">
        <v>60</v>
      </c>
      <c r="AI216" s="2">
        <v>55</v>
      </c>
      <c r="AJ216" s="1">
        <v>1059860</v>
      </c>
      <c r="AK216" s="1">
        <v>0.9</v>
      </c>
      <c r="AL216" s="1">
        <v>55</v>
      </c>
      <c r="AM216" s="2">
        <v>50</v>
      </c>
      <c r="AN216" s="2">
        <f t="shared" si="3"/>
        <v>50</v>
      </c>
      <c r="AO216" s="3">
        <v>215</v>
      </c>
      <c r="AP216" s="3">
        <v>35</v>
      </c>
      <c r="AQ216" s="3">
        <v>75</v>
      </c>
      <c r="AR216" s="3">
        <v>115</v>
      </c>
      <c r="AS216" s="1">
        <v>28</v>
      </c>
      <c r="AT216" s="3">
        <v>2</v>
      </c>
      <c r="AU216" s="3" t="s">
        <v>3051</v>
      </c>
    </row>
    <row r="217" spans="1:47" x14ac:dyDescent="0.3">
      <c r="A217" s="1" t="s">
        <v>627</v>
      </c>
      <c r="B217" s="1" t="s">
        <v>626</v>
      </c>
      <c r="C217" s="1" t="s">
        <v>90</v>
      </c>
      <c r="D217" s="1" t="s">
        <v>52</v>
      </c>
      <c r="E217" s="1" t="s">
        <v>625</v>
      </c>
      <c r="F217" t="s">
        <v>3128</v>
      </c>
      <c r="G217" t="s">
        <v>3254</v>
      </c>
      <c r="H217" t="s">
        <v>3167</v>
      </c>
      <c r="I217" t="s">
        <v>52</v>
      </c>
      <c r="J217" t="s">
        <v>52</v>
      </c>
      <c r="K217" t="s">
        <v>52</v>
      </c>
      <c r="L217" s="2">
        <v>1</v>
      </c>
      <c r="M217" s="2">
        <v>1</v>
      </c>
      <c r="N217" s="2">
        <v>1</v>
      </c>
      <c r="O217" s="2">
        <v>1</v>
      </c>
      <c r="P217" s="2">
        <v>1</v>
      </c>
      <c r="Q217" s="2">
        <v>2</v>
      </c>
      <c r="R217" s="2">
        <v>1</v>
      </c>
      <c r="S217" s="2">
        <v>1</v>
      </c>
      <c r="T217" s="2">
        <v>0</v>
      </c>
      <c r="U217" s="2">
        <v>1</v>
      </c>
      <c r="V217" s="2">
        <v>1</v>
      </c>
      <c r="W217" s="2">
        <v>1</v>
      </c>
      <c r="X217" s="2">
        <v>1</v>
      </c>
      <c r="Y217" s="2">
        <v>1</v>
      </c>
      <c r="Z217" s="2">
        <v>1</v>
      </c>
      <c r="AA217" s="2">
        <v>1</v>
      </c>
      <c r="AB217" s="2">
        <v>1</v>
      </c>
      <c r="AC217" s="2">
        <v>1</v>
      </c>
      <c r="AD217" s="2">
        <v>80</v>
      </c>
      <c r="AE217" s="2">
        <v>5120</v>
      </c>
      <c r="AF217" s="2">
        <v>70</v>
      </c>
      <c r="AG217" s="2">
        <v>330</v>
      </c>
      <c r="AH217" s="2">
        <v>120</v>
      </c>
      <c r="AI217" s="2">
        <v>50</v>
      </c>
      <c r="AJ217" s="1">
        <v>1000000</v>
      </c>
      <c r="AK217" s="1">
        <v>0.6</v>
      </c>
      <c r="AL217" s="1">
        <v>60</v>
      </c>
      <c r="AM217" s="2">
        <v>50</v>
      </c>
      <c r="AN217" s="2">
        <f t="shared" si="3"/>
        <v>50</v>
      </c>
      <c r="AO217" s="3">
        <v>216</v>
      </c>
      <c r="AP217" s="3">
        <v>50</v>
      </c>
      <c r="AQ217" s="3">
        <v>50</v>
      </c>
      <c r="AR217" s="3">
        <v>40</v>
      </c>
      <c r="AS217" s="1">
        <v>8.8000000000000007</v>
      </c>
      <c r="AT217" s="3">
        <v>2</v>
      </c>
      <c r="AU217" s="3" t="s">
        <v>3051</v>
      </c>
    </row>
    <row r="218" spans="1:47" x14ac:dyDescent="0.3">
      <c r="A218" s="1" t="s">
        <v>630</v>
      </c>
      <c r="B218" s="1" t="s">
        <v>629</v>
      </c>
      <c r="C218" s="1" t="s">
        <v>90</v>
      </c>
      <c r="D218" s="1" t="s">
        <v>52</v>
      </c>
      <c r="E218" s="1" t="s">
        <v>628</v>
      </c>
      <c r="F218" t="s">
        <v>3131</v>
      </c>
      <c r="G218" t="s">
        <v>3254</v>
      </c>
      <c r="H218" t="s">
        <v>3228</v>
      </c>
      <c r="I218" t="s">
        <v>52</v>
      </c>
      <c r="J218" t="s">
        <v>52</v>
      </c>
      <c r="K218" t="s">
        <v>52</v>
      </c>
      <c r="L218" s="2">
        <v>1</v>
      </c>
      <c r="M218" s="2">
        <v>1</v>
      </c>
      <c r="N218" s="2">
        <v>1</v>
      </c>
      <c r="O218" s="2">
        <v>1</v>
      </c>
      <c r="P218" s="2">
        <v>1</v>
      </c>
      <c r="Q218" s="2">
        <v>2</v>
      </c>
      <c r="R218" s="2">
        <v>1</v>
      </c>
      <c r="S218" s="2">
        <v>1</v>
      </c>
      <c r="T218" s="2">
        <v>0</v>
      </c>
      <c r="U218" s="2">
        <v>1</v>
      </c>
      <c r="V218" s="2">
        <v>1</v>
      </c>
      <c r="W218" s="2">
        <v>1</v>
      </c>
      <c r="X218" s="2">
        <v>1</v>
      </c>
      <c r="Y218" s="2">
        <v>1</v>
      </c>
      <c r="Z218" s="2">
        <v>1</v>
      </c>
      <c r="AA218" s="2">
        <v>1</v>
      </c>
      <c r="AB218" s="2">
        <v>1</v>
      </c>
      <c r="AC218" s="2">
        <v>1</v>
      </c>
      <c r="AD218" s="2">
        <v>130</v>
      </c>
      <c r="AE218" s="2">
        <v>5120</v>
      </c>
      <c r="AF218" s="2">
        <v>70</v>
      </c>
      <c r="AG218" s="2">
        <v>500</v>
      </c>
      <c r="AH218" s="2">
        <v>60</v>
      </c>
      <c r="AI218" s="2">
        <v>75</v>
      </c>
      <c r="AJ218" s="1">
        <v>1000000</v>
      </c>
      <c r="AK218" s="1">
        <v>1.8</v>
      </c>
      <c r="AL218" s="1">
        <v>90</v>
      </c>
      <c r="AM218" s="2">
        <v>50</v>
      </c>
      <c r="AN218" s="2">
        <f t="shared" si="3"/>
        <v>50</v>
      </c>
      <c r="AO218" s="3">
        <v>217</v>
      </c>
      <c r="AP218" s="3">
        <v>75</v>
      </c>
      <c r="AQ218" s="3">
        <v>75</v>
      </c>
      <c r="AR218" s="3">
        <v>55</v>
      </c>
      <c r="AS218" s="1">
        <v>125.8</v>
      </c>
      <c r="AT218" s="3">
        <v>2</v>
      </c>
      <c r="AU218" s="3" t="s">
        <v>3051</v>
      </c>
    </row>
    <row r="219" spans="1:47" x14ac:dyDescent="0.3">
      <c r="A219" s="1" t="s">
        <v>633</v>
      </c>
      <c r="B219" s="1" t="s">
        <v>632</v>
      </c>
      <c r="C219" s="1" t="s">
        <v>51</v>
      </c>
      <c r="D219" s="1" t="s">
        <v>52</v>
      </c>
      <c r="E219" s="1" t="s">
        <v>631</v>
      </c>
      <c r="F219" t="s">
        <v>3151</v>
      </c>
      <c r="G219" t="s">
        <v>3145</v>
      </c>
      <c r="H219" t="s">
        <v>3247</v>
      </c>
      <c r="I219" t="s">
        <v>52</v>
      </c>
      <c r="J219" t="s">
        <v>52</v>
      </c>
      <c r="K219" t="s">
        <v>52</v>
      </c>
      <c r="L219" s="2">
        <v>0.5</v>
      </c>
      <c r="M219" s="2">
        <v>1</v>
      </c>
      <c r="N219" s="2">
        <v>1</v>
      </c>
      <c r="O219" s="2">
        <v>1</v>
      </c>
      <c r="P219" s="2">
        <v>0.5</v>
      </c>
      <c r="Q219" s="2">
        <v>1</v>
      </c>
      <c r="R219" s="2">
        <v>0.5</v>
      </c>
      <c r="S219" s="2">
        <v>1</v>
      </c>
      <c r="T219" s="2">
        <v>1</v>
      </c>
      <c r="U219" s="2">
        <v>0.5</v>
      </c>
      <c r="V219" s="2">
        <v>2</v>
      </c>
      <c r="W219" s="2">
        <v>0.5</v>
      </c>
      <c r="X219" s="2">
        <v>1</v>
      </c>
      <c r="Y219" s="2">
        <v>1</v>
      </c>
      <c r="Z219" s="2">
        <v>1</v>
      </c>
      <c r="AA219" s="2">
        <v>2</v>
      </c>
      <c r="AB219" s="2">
        <v>0.5</v>
      </c>
      <c r="AC219" s="2">
        <v>2</v>
      </c>
      <c r="AD219" s="2">
        <v>40</v>
      </c>
      <c r="AE219" s="2">
        <v>5120</v>
      </c>
      <c r="AF219" s="2">
        <v>70</v>
      </c>
      <c r="AG219" s="2">
        <v>250</v>
      </c>
      <c r="AH219" s="2">
        <v>190</v>
      </c>
      <c r="AI219" s="2">
        <v>40</v>
      </c>
      <c r="AJ219" s="1">
        <v>1000000</v>
      </c>
      <c r="AK219" s="1">
        <v>0.7</v>
      </c>
      <c r="AL219" s="1">
        <v>40</v>
      </c>
      <c r="AM219" s="2">
        <v>50</v>
      </c>
      <c r="AN219" s="2">
        <f t="shared" si="3"/>
        <v>50</v>
      </c>
      <c r="AO219" s="3">
        <v>218</v>
      </c>
      <c r="AP219" s="3">
        <v>70</v>
      </c>
      <c r="AQ219" s="3">
        <v>40</v>
      </c>
      <c r="AR219" s="3">
        <v>20</v>
      </c>
      <c r="AS219" s="1">
        <v>35</v>
      </c>
      <c r="AT219" s="3">
        <v>2</v>
      </c>
      <c r="AU219" s="3" t="s">
        <v>3051</v>
      </c>
    </row>
    <row r="220" spans="1:47" x14ac:dyDescent="0.3">
      <c r="A220" s="1" t="s">
        <v>635</v>
      </c>
      <c r="B220" s="1" t="s">
        <v>634</v>
      </c>
      <c r="C220" s="1" t="s">
        <v>51</v>
      </c>
      <c r="D220" s="1" t="s">
        <v>243</v>
      </c>
      <c r="E220" s="1" t="s">
        <v>631</v>
      </c>
      <c r="F220" t="s">
        <v>3151</v>
      </c>
      <c r="G220" t="s">
        <v>3145</v>
      </c>
      <c r="H220" t="s">
        <v>3247</v>
      </c>
      <c r="I220" t="s">
        <v>52</v>
      </c>
      <c r="J220" t="s">
        <v>52</v>
      </c>
      <c r="K220" t="s">
        <v>52</v>
      </c>
      <c r="L220" s="2">
        <v>0.5</v>
      </c>
      <c r="M220" s="2">
        <v>1</v>
      </c>
      <c r="N220" s="2">
        <v>1</v>
      </c>
      <c r="O220" s="2">
        <v>1</v>
      </c>
      <c r="P220" s="2">
        <v>0.5</v>
      </c>
      <c r="Q220" s="2">
        <v>2</v>
      </c>
      <c r="R220" s="2">
        <v>0.25</v>
      </c>
      <c r="S220" s="2">
        <v>0.5</v>
      </c>
      <c r="T220" s="2">
        <v>1</v>
      </c>
      <c r="U220" s="2">
        <v>1</v>
      </c>
      <c r="V220" s="2">
        <v>4</v>
      </c>
      <c r="W220" s="2">
        <v>0.5</v>
      </c>
      <c r="X220" s="2">
        <v>0.5</v>
      </c>
      <c r="Y220" s="2">
        <v>0.5</v>
      </c>
      <c r="Z220" s="2">
        <v>1</v>
      </c>
      <c r="AA220" s="2">
        <v>2</v>
      </c>
      <c r="AB220" s="2">
        <v>1</v>
      </c>
      <c r="AC220" s="2">
        <v>4</v>
      </c>
      <c r="AD220" s="2">
        <v>50</v>
      </c>
      <c r="AE220" s="2">
        <v>5120</v>
      </c>
      <c r="AF220" s="2">
        <v>70</v>
      </c>
      <c r="AG220" s="2">
        <v>430</v>
      </c>
      <c r="AH220" s="2">
        <v>75</v>
      </c>
      <c r="AI220" s="2">
        <v>120</v>
      </c>
      <c r="AJ220" s="1">
        <v>1000000</v>
      </c>
      <c r="AK220" s="1">
        <v>0.8</v>
      </c>
      <c r="AL220" s="1">
        <v>60</v>
      </c>
      <c r="AM220" s="2">
        <v>50</v>
      </c>
      <c r="AN220" s="2">
        <f t="shared" si="3"/>
        <v>50</v>
      </c>
      <c r="AO220" s="3">
        <v>219</v>
      </c>
      <c r="AP220" s="3">
        <v>90</v>
      </c>
      <c r="AQ220" s="3">
        <v>80</v>
      </c>
      <c r="AR220" s="3">
        <v>30</v>
      </c>
      <c r="AS220" s="1">
        <v>55</v>
      </c>
      <c r="AT220" s="3">
        <v>2</v>
      </c>
      <c r="AU220" s="3" t="s">
        <v>3051</v>
      </c>
    </row>
    <row r="221" spans="1:47" x14ac:dyDescent="0.3">
      <c r="A221" s="1" t="s">
        <v>638</v>
      </c>
      <c r="B221" s="1" t="s">
        <v>637</v>
      </c>
      <c r="C221" s="1" t="s">
        <v>121</v>
      </c>
      <c r="D221" s="1" t="s">
        <v>120</v>
      </c>
      <c r="E221" s="1" t="s">
        <v>636</v>
      </c>
      <c r="F221" t="s">
        <v>3133</v>
      </c>
      <c r="G221" t="s">
        <v>3175</v>
      </c>
      <c r="H221" t="s">
        <v>3135</v>
      </c>
      <c r="I221" t="s">
        <v>52</v>
      </c>
      <c r="J221" t="s">
        <v>52</v>
      </c>
      <c r="K221" t="s">
        <v>52</v>
      </c>
      <c r="L221" s="2">
        <v>1</v>
      </c>
      <c r="M221" s="2">
        <v>1</v>
      </c>
      <c r="N221" s="2">
        <v>1</v>
      </c>
      <c r="O221" s="2">
        <v>0</v>
      </c>
      <c r="P221" s="2">
        <v>1</v>
      </c>
      <c r="Q221" s="2">
        <v>2</v>
      </c>
      <c r="R221" s="2">
        <v>2</v>
      </c>
      <c r="S221" s="2">
        <v>1</v>
      </c>
      <c r="T221" s="2">
        <v>1</v>
      </c>
      <c r="U221" s="2">
        <v>2</v>
      </c>
      <c r="V221" s="2">
        <v>1</v>
      </c>
      <c r="W221" s="2">
        <v>1</v>
      </c>
      <c r="X221" s="2">
        <v>1</v>
      </c>
      <c r="Y221" s="2">
        <v>0.5</v>
      </c>
      <c r="Z221" s="2">
        <v>1</v>
      </c>
      <c r="AA221" s="2">
        <v>1</v>
      </c>
      <c r="AB221" s="2">
        <v>2</v>
      </c>
      <c r="AC221" s="2">
        <v>2</v>
      </c>
      <c r="AD221" s="2">
        <v>50</v>
      </c>
      <c r="AE221" s="2">
        <v>5120</v>
      </c>
      <c r="AF221" s="2">
        <v>70</v>
      </c>
      <c r="AG221" s="2">
        <v>250</v>
      </c>
      <c r="AH221" s="2">
        <v>225</v>
      </c>
      <c r="AI221" s="2">
        <v>40</v>
      </c>
      <c r="AJ221" s="1">
        <v>1250000</v>
      </c>
      <c r="AK221" s="1">
        <v>0.4</v>
      </c>
      <c r="AL221" s="1">
        <v>50</v>
      </c>
      <c r="AM221" s="2">
        <v>50</v>
      </c>
      <c r="AN221" s="2">
        <f t="shared" si="3"/>
        <v>50</v>
      </c>
      <c r="AO221" s="3">
        <v>220</v>
      </c>
      <c r="AP221" s="3">
        <v>30</v>
      </c>
      <c r="AQ221" s="3">
        <v>30</v>
      </c>
      <c r="AR221" s="3">
        <v>50</v>
      </c>
      <c r="AS221" s="1">
        <v>6.5</v>
      </c>
      <c r="AT221" s="3">
        <v>2</v>
      </c>
      <c r="AU221" s="3" t="s">
        <v>3051</v>
      </c>
    </row>
    <row r="222" spans="1:47" x14ac:dyDescent="0.3">
      <c r="A222" s="1" t="s">
        <v>641</v>
      </c>
      <c r="B222" s="1" t="s">
        <v>640</v>
      </c>
      <c r="C222" s="1" t="s">
        <v>121</v>
      </c>
      <c r="D222" s="1" t="s">
        <v>120</v>
      </c>
      <c r="E222" s="1" t="s">
        <v>639</v>
      </c>
      <c r="F222" t="s">
        <v>3133</v>
      </c>
      <c r="G222" t="s">
        <v>3175</v>
      </c>
      <c r="H222" t="s">
        <v>3135</v>
      </c>
      <c r="I222" t="s">
        <v>52</v>
      </c>
      <c r="J222" t="s">
        <v>52</v>
      </c>
      <c r="K222" t="s">
        <v>52</v>
      </c>
      <c r="L222" s="2">
        <v>1</v>
      </c>
      <c r="M222" s="2">
        <v>1</v>
      </c>
      <c r="N222" s="2">
        <v>1</v>
      </c>
      <c r="O222" s="2">
        <v>0</v>
      </c>
      <c r="P222" s="2">
        <v>1</v>
      </c>
      <c r="Q222" s="2">
        <v>2</v>
      </c>
      <c r="R222" s="2">
        <v>2</v>
      </c>
      <c r="S222" s="2">
        <v>1</v>
      </c>
      <c r="T222" s="2">
        <v>1</v>
      </c>
      <c r="U222" s="2">
        <v>2</v>
      </c>
      <c r="V222" s="2">
        <v>1</v>
      </c>
      <c r="W222" s="2">
        <v>1</v>
      </c>
      <c r="X222" s="2">
        <v>1</v>
      </c>
      <c r="Y222" s="2">
        <v>0.5</v>
      </c>
      <c r="Z222" s="2">
        <v>1</v>
      </c>
      <c r="AA222" s="2">
        <v>1</v>
      </c>
      <c r="AB222" s="2">
        <v>2</v>
      </c>
      <c r="AC222" s="2">
        <v>2</v>
      </c>
      <c r="AD222" s="2">
        <v>100</v>
      </c>
      <c r="AE222" s="2">
        <v>5120</v>
      </c>
      <c r="AF222" s="2">
        <v>70</v>
      </c>
      <c r="AG222" s="2">
        <v>450</v>
      </c>
      <c r="AH222" s="2">
        <v>75</v>
      </c>
      <c r="AI222" s="2">
        <v>80</v>
      </c>
      <c r="AJ222" s="1">
        <v>1250000</v>
      </c>
      <c r="AK222" s="1">
        <v>1.1000000000000001</v>
      </c>
      <c r="AL222" s="1">
        <v>100</v>
      </c>
      <c r="AM222" s="2">
        <v>50</v>
      </c>
      <c r="AN222" s="2">
        <f t="shared" si="3"/>
        <v>50</v>
      </c>
      <c r="AO222" s="3">
        <v>221</v>
      </c>
      <c r="AP222" s="3">
        <v>60</v>
      </c>
      <c r="AQ222" s="3">
        <v>60</v>
      </c>
      <c r="AR222" s="3">
        <v>50</v>
      </c>
      <c r="AS222" s="1">
        <v>55.8</v>
      </c>
      <c r="AT222" s="3">
        <v>2</v>
      </c>
      <c r="AU222" s="3" t="s">
        <v>3051</v>
      </c>
    </row>
    <row r="223" spans="1:47" x14ac:dyDescent="0.3">
      <c r="A223" s="1" t="s">
        <v>644</v>
      </c>
      <c r="B223" s="1" t="s">
        <v>643</v>
      </c>
      <c r="C223" s="1" t="s">
        <v>62</v>
      </c>
      <c r="D223" s="1" t="s">
        <v>243</v>
      </c>
      <c r="E223" s="1" t="s">
        <v>642</v>
      </c>
      <c r="F223" t="s">
        <v>3079</v>
      </c>
      <c r="G223" t="s">
        <v>3058</v>
      </c>
      <c r="H223" t="s">
        <v>3242</v>
      </c>
      <c r="I223" t="s">
        <v>52</v>
      </c>
      <c r="J223" t="s">
        <v>52</v>
      </c>
      <c r="K223" t="s">
        <v>52</v>
      </c>
      <c r="L223" s="2">
        <v>1</v>
      </c>
      <c r="M223" s="2">
        <v>1</v>
      </c>
      <c r="N223" s="2">
        <v>1</v>
      </c>
      <c r="O223" s="2">
        <v>2</v>
      </c>
      <c r="P223" s="2">
        <v>1</v>
      </c>
      <c r="Q223" s="2">
        <v>2</v>
      </c>
      <c r="R223" s="2">
        <v>0.25</v>
      </c>
      <c r="S223" s="2">
        <v>0.5</v>
      </c>
      <c r="T223" s="2">
        <v>1</v>
      </c>
      <c r="U223" s="2">
        <v>4</v>
      </c>
      <c r="V223" s="2">
        <v>2</v>
      </c>
      <c r="W223" s="2">
        <v>0.5</v>
      </c>
      <c r="X223" s="2">
        <v>0.5</v>
      </c>
      <c r="Y223" s="2">
        <v>0.5</v>
      </c>
      <c r="Z223" s="2">
        <v>1</v>
      </c>
      <c r="AA223" s="2">
        <v>1</v>
      </c>
      <c r="AB223" s="2">
        <v>1</v>
      </c>
      <c r="AC223" s="2">
        <v>1</v>
      </c>
      <c r="AD223" s="2">
        <v>55</v>
      </c>
      <c r="AE223" s="2">
        <v>5120</v>
      </c>
      <c r="AF223" s="2">
        <v>70</v>
      </c>
      <c r="AG223" s="2">
        <v>410</v>
      </c>
      <c r="AH223" s="2">
        <v>60</v>
      </c>
      <c r="AI223" s="2">
        <v>95</v>
      </c>
      <c r="AJ223" s="1">
        <v>800000</v>
      </c>
      <c r="AK223" s="1">
        <v>0.6</v>
      </c>
      <c r="AL223" s="1">
        <v>65</v>
      </c>
      <c r="AM223" s="2">
        <v>24.6</v>
      </c>
      <c r="AN223" s="2">
        <f t="shared" si="3"/>
        <v>75.400000000000006</v>
      </c>
      <c r="AO223" s="3">
        <v>222</v>
      </c>
      <c r="AP223" s="3">
        <v>65</v>
      </c>
      <c r="AQ223" s="3">
        <v>95</v>
      </c>
      <c r="AR223" s="3">
        <v>35</v>
      </c>
      <c r="AS223" s="1">
        <v>5</v>
      </c>
      <c r="AT223" s="3">
        <v>2</v>
      </c>
      <c r="AU223" s="3" t="s">
        <v>3051</v>
      </c>
    </row>
    <row r="224" spans="1:47" x14ac:dyDescent="0.3">
      <c r="A224" s="1" t="s">
        <v>647</v>
      </c>
      <c r="B224" s="1" t="s">
        <v>646</v>
      </c>
      <c r="C224" s="1" t="s">
        <v>62</v>
      </c>
      <c r="D224" s="1" t="s">
        <v>52</v>
      </c>
      <c r="E224" s="1" t="s">
        <v>645</v>
      </c>
      <c r="F224" t="s">
        <v>3079</v>
      </c>
      <c r="G224" t="s">
        <v>3226</v>
      </c>
      <c r="H224" t="s">
        <v>3261</v>
      </c>
      <c r="I224" t="s">
        <v>52</v>
      </c>
      <c r="J224" t="s">
        <v>52</v>
      </c>
      <c r="K224" t="s">
        <v>52</v>
      </c>
      <c r="L224" s="2">
        <v>1</v>
      </c>
      <c r="M224" s="2">
        <v>1</v>
      </c>
      <c r="N224" s="2">
        <v>1</v>
      </c>
      <c r="O224" s="2">
        <v>2</v>
      </c>
      <c r="P224" s="2">
        <v>1</v>
      </c>
      <c r="Q224" s="2">
        <v>1</v>
      </c>
      <c r="R224" s="2">
        <v>0.5</v>
      </c>
      <c r="S224" s="2">
        <v>1</v>
      </c>
      <c r="T224" s="2">
        <v>1</v>
      </c>
      <c r="U224" s="2">
        <v>2</v>
      </c>
      <c r="V224" s="2">
        <v>1</v>
      </c>
      <c r="W224" s="2">
        <v>0.5</v>
      </c>
      <c r="X224" s="2">
        <v>1</v>
      </c>
      <c r="Y224" s="2">
        <v>1</v>
      </c>
      <c r="Z224" s="2">
        <v>1</v>
      </c>
      <c r="AA224" s="2">
        <v>1</v>
      </c>
      <c r="AB224" s="2">
        <v>0.5</v>
      </c>
      <c r="AC224" s="2">
        <v>0.5</v>
      </c>
      <c r="AD224" s="2">
        <v>65</v>
      </c>
      <c r="AE224" s="2">
        <v>5120</v>
      </c>
      <c r="AF224" s="2">
        <v>70</v>
      </c>
      <c r="AG224" s="2">
        <v>300</v>
      </c>
      <c r="AH224" s="2">
        <v>190</v>
      </c>
      <c r="AI224" s="2">
        <v>35</v>
      </c>
      <c r="AJ224" s="1">
        <v>1000000</v>
      </c>
      <c r="AK224" s="1">
        <v>0.6</v>
      </c>
      <c r="AL224" s="1">
        <v>35</v>
      </c>
      <c r="AM224" s="2">
        <v>50</v>
      </c>
      <c r="AN224" s="2">
        <f t="shared" si="3"/>
        <v>50</v>
      </c>
      <c r="AO224" s="3">
        <v>223</v>
      </c>
      <c r="AP224" s="3">
        <v>65</v>
      </c>
      <c r="AQ224" s="3">
        <v>35</v>
      </c>
      <c r="AR224" s="3">
        <v>65</v>
      </c>
      <c r="AS224" s="1">
        <v>12</v>
      </c>
      <c r="AT224" s="3">
        <v>2</v>
      </c>
      <c r="AU224" s="3" t="s">
        <v>3051</v>
      </c>
    </row>
    <row r="225" spans="1:47" x14ac:dyDescent="0.3">
      <c r="A225" s="1" t="s">
        <v>649</v>
      </c>
      <c r="B225" s="1" t="s">
        <v>648</v>
      </c>
      <c r="C225" s="1" t="s">
        <v>62</v>
      </c>
      <c r="D225" s="1" t="s">
        <v>52</v>
      </c>
      <c r="E225" s="1" t="s">
        <v>645</v>
      </c>
      <c r="F225" t="s">
        <v>3152</v>
      </c>
      <c r="G225" t="s">
        <v>3226</v>
      </c>
      <c r="H225" t="s">
        <v>3261</v>
      </c>
      <c r="I225" t="s">
        <v>52</v>
      </c>
      <c r="J225" t="s">
        <v>52</v>
      </c>
      <c r="K225" t="s">
        <v>52</v>
      </c>
      <c r="L225" s="2">
        <v>1</v>
      </c>
      <c r="M225" s="2">
        <v>1</v>
      </c>
      <c r="N225" s="2">
        <v>1</v>
      </c>
      <c r="O225" s="2">
        <v>2</v>
      </c>
      <c r="P225" s="2">
        <v>1</v>
      </c>
      <c r="Q225" s="2">
        <v>1</v>
      </c>
      <c r="R225" s="2">
        <v>0.5</v>
      </c>
      <c r="S225" s="2">
        <v>1</v>
      </c>
      <c r="T225" s="2">
        <v>1</v>
      </c>
      <c r="U225" s="2">
        <v>2</v>
      </c>
      <c r="V225" s="2">
        <v>1</v>
      </c>
      <c r="W225" s="2">
        <v>0.5</v>
      </c>
      <c r="X225" s="2">
        <v>1</v>
      </c>
      <c r="Y225" s="2">
        <v>1</v>
      </c>
      <c r="Z225" s="2">
        <v>1</v>
      </c>
      <c r="AA225" s="2">
        <v>1</v>
      </c>
      <c r="AB225" s="2">
        <v>0.5</v>
      </c>
      <c r="AC225" s="2">
        <v>0.5</v>
      </c>
      <c r="AD225" s="2">
        <v>105</v>
      </c>
      <c r="AE225" s="2">
        <v>5120</v>
      </c>
      <c r="AF225" s="2">
        <v>70</v>
      </c>
      <c r="AG225" s="2">
        <v>480</v>
      </c>
      <c r="AH225" s="2">
        <v>75</v>
      </c>
      <c r="AI225" s="2">
        <v>75</v>
      </c>
      <c r="AJ225" s="1">
        <v>1000000</v>
      </c>
      <c r="AK225" s="1">
        <v>0.9</v>
      </c>
      <c r="AL225" s="1">
        <v>75</v>
      </c>
      <c r="AM225" s="2">
        <v>50</v>
      </c>
      <c r="AN225" s="2">
        <f t="shared" si="3"/>
        <v>50</v>
      </c>
      <c r="AO225" s="3">
        <v>224</v>
      </c>
      <c r="AP225" s="3">
        <v>105</v>
      </c>
      <c r="AQ225" s="3">
        <v>75</v>
      </c>
      <c r="AR225" s="3">
        <v>45</v>
      </c>
      <c r="AS225" s="1">
        <v>28.5</v>
      </c>
      <c r="AT225" s="3">
        <v>2</v>
      </c>
      <c r="AU225" s="3" t="s">
        <v>3051</v>
      </c>
    </row>
    <row r="226" spans="1:47" x14ac:dyDescent="0.3">
      <c r="A226" s="1" t="s">
        <v>652</v>
      </c>
      <c r="B226" s="1" t="s">
        <v>651</v>
      </c>
      <c r="C226" s="1" t="s">
        <v>121</v>
      </c>
      <c r="D226" s="1" t="s">
        <v>58</v>
      </c>
      <c r="E226" s="1" t="s">
        <v>650</v>
      </c>
      <c r="F226" t="s">
        <v>3060</v>
      </c>
      <c r="G226" t="s">
        <v>3079</v>
      </c>
      <c r="H226" t="s">
        <v>3137</v>
      </c>
      <c r="I226" t="s">
        <v>52</v>
      </c>
      <c r="J226" t="s">
        <v>52</v>
      </c>
      <c r="K226" t="s">
        <v>52</v>
      </c>
      <c r="L226" s="2">
        <v>0.5</v>
      </c>
      <c r="M226" s="2">
        <v>1</v>
      </c>
      <c r="N226" s="2">
        <v>1</v>
      </c>
      <c r="O226" s="2">
        <v>2</v>
      </c>
      <c r="P226" s="2">
        <v>1</v>
      </c>
      <c r="Q226" s="2">
        <v>1</v>
      </c>
      <c r="R226" s="2">
        <v>2</v>
      </c>
      <c r="S226" s="2">
        <v>1</v>
      </c>
      <c r="T226" s="2">
        <v>1</v>
      </c>
      <c r="U226" s="2">
        <v>0.5</v>
      </c>
      <c r="V226" s="2">
        <v>0</v>
      </c>
      <c r="W226" s="2">
        <v>1</v>
      </c>
      <c r="X226" s="2">
        <v>1</v>
      </c>
      <c r="Y226" s="2">
        <v>1</v>
      </c>
      <c r="Z226" s="2">
        <v>1</v>
      </c>
      <c r="AA226" s="2">
        <v>4</v>
      </c>
      <c r="AB226" s="2">
        <v>2</v>
      </c>
      <c r="AC226" s="2">
        <v>1</v>
      </c>
      <c r="AD226" s="2">
        <v>55</v>
      </c>
      <c r="AE226" s="2">
        <v>5120</v>
      </c>
      <c r="AF226" s="2">
        <v>70</v>
      </c>
      <c r="AG226" s="2">
        <v>330</v>
      </c>
      <c r="AH226" s="2">
        <v>45</v>
      </c>
      <c r="AI226" s="2">
        <v>45</v>
      </c>
      <c r="AJ226" s="1">
        <v>800000</v>
      </c>
      <c r="AK226" s="1">
        <v>0.9</v>
      </c>
      <c r="AL226" s="1">
        <v>45</v>
      </c>
      <c r="AM226" s="2">
        <v>50</v>
      </c>
      <c r="AN226" s="2">
        <f t="shared" si="3"/>
        <v>50</v>
      </c>
      <c r="AO226" s="3">
        <v>225</v>
      </c>
      <c r="AP226" s="3">
        <v>65</v>
      </c>
      <c r="AQ226" s="3">
        <v>45</v>
      </c>
      <c r="AR226" s="3">
        <v>75</v>
      </c>
      <c r="AS226" s="1">
        <v>16</v>
      </c>
      <c r="AT226" s="3">
        <v>2</v>
      </c>
      <c r="AU226" s="3" t="s">
        <v>3051</v>
      </c>
    </row>
    <row r="227" spans="1:47" x14ac:dyDescent="0.3">
      <c r="A227" s="1" t="s">
        <v>655</v>
      </c>
      <c r="B227" s="1" t="s">
        <v>654</v>
      </c>
      <c r="C227" s="1" t="s">
        <v>62</v>
      </c>
      <c r="D227" s="1" t="s">
        <v>58</v>
      </c>
      <c r="E227" s="1" t="s">
        <v>653</v>
      </c>
      <c r="F227" t="s">
        <v>3143</v>
      </c>
      <c r="G227" t="s">
        <v>3092</v>
      </c>
      <c r="H227" t="s">
        <v>3159</v>
      </c>
      <c r="I227" t="s">
        <v>52</v>
      </c>
      <c r="J227" t="s">
        <v>52</v>
      </c>
      <c r="K227" t="s">
        <v>52</v>
      </c>
      <c r="L227" s="2">
        <v>0.5</v>
      </c>
      <c r="M227" s="2">
        <v>1</v>
      </c>
      <c r="N227" s="2">
        <v>1</v>
      </c>
      <c r="O227" s="2">
        <v>4</v>
      </c>
      <c r="P227" s="2">
        <v>1</v>
      </c>
      <c r="Q227" s="2">
        <v>0.5</v>
      </c>
      <c r="R227" s="2">
        <v>0.5</v>
      </c>
      <c r="S227" s="2">
        <v>1</v>
      </c>
      <c r="T227" s="2">
        <v>1</v>
      </c>
      <c r="U227" s="2">
        <v>1</v>
      </c>
      <c r="V227" s="2">
        <v>0</v>
      </c>
      <c r="W227" s="2">
        <v>1</v>
      </c>
      <c r="X227" s="2">
        <v>1</v>
      </c>
      <c r="Y227" s="2">
        <v>1</v>
      </c>
      <c r="Z227" s="2">
        <v>1</v>
      </c>
      <c r="AA227" s="2">
        <v>2</v>
      </c>
      <c r="AB227" s="2">
        <v>0.5</v>
      </c>
      <c r="AC227" s="2">
        <v>0.5</v>
      </c>
      <c r="AD227" s="2">
        <v>40</v>
      </c>
      <c r="AE227" s="2">
        <v>6400</v>
      </c>
      <c r="AF227" s="2">
        <v>70</v>
      </c>
      <c r="AG227" s="2">
        <v>485</v>
      </c>
      <c r="AH227" s="2">
        <v>25</v>
      </c>
      <c r="AI227" s="2">
        <v>70</v>
      </c>
      <c r="AJ227" s="1">
        <v>1250000</v>
      </c>
      <c r="AK227" s="1">
        <v>2.1</v>
      </c>
      <c r="AL227" s="1">
        <v>85</v>
      </c>
      <c r="AM227" s="2">
        <v>50</v>
      </c>
      <c r="AN227" s="2">
        <f t="shared" si="3"/>
        <v>50</v>
      </c>
      <c r="AO227" s="3">
        <v>226</v>
      </c>
      <c r="AP227" s="3">
        <v>80</v>
      </c>
      <c r="AQ227" s="3">
        <v>140</v>
      </c>
      <c r="AR227" s="3">
        <v>70</v>
      </c>
      <c r="AS227" s="1">
        <v>220</v>
      </c>
      <c r="AT227" s="3">
        <v>2</v>
      </c>
      <c r="AU227" s="3" t="s">
        <v>3051</v>
      </c>
    </row>
    <row r="228" spans="1:47" x14ac:dyDescent="0.3">
      <c r="A228" s="1" t="s">
        <v>658</v>
      </c>
      <c r="B228" s="1" t="s">
        <v>657</v>
      </c>
      <c r="C228" s="1" t="s">
        <v>263</v>
      </c>
      <c r="D228" s="1" t="s">
        <v>58</v>
      </c>
      <c r="E228" s="1" t="s">
        <v>656</v>
      </c>
      <c r="F228" t="s">
        <v>3118</v>
      </c>
      <c r="G228" t="s">
        <v>3107</v>
      </c>
      <c r="H228" t="s">
        <v>3247</v>
      </c>
      <c r="I228" t="s">
        <v>52</v>
      </c>
      <c r="J228" t="s">
        <v>52</v>
      </c>
      <c r="K228" t="s">
        <v>52</v>
      </c>
      <c r="L228" s="2">
        <v>0.25</v>
      </c>
      <c r="M228" s="2">
        <v>1</v>
      </c>
      <c r="N228" s="2">
        <v>0.5</v>
      </c>
      <c r="O228" s="2">
        <v>2</v>
      </c>
      <c r="P228" s="2">
        <v>0.5</v>
      </c>
      <c r="Q228" s="2">
        <v>1</v>
      </c>
      <c r="R228" s="2">
        <v>2</v>
      </c>
      <c r="S228" s="2">
        <v>0.5</v>
      </c>
      <c r="T228" s="2">
        <v>1</v>
      </c>
      <c r="U228" s="2">
        <v>0.25</v>
      </c>
      <c r="V228" s="2">
        <v>0</v>
      </c>
      <c r="W228" s="2">
        <v>1</v>
      </c>
      <c r="X228" s="2">
        <v>0.5</v>
      </c>
      <c r="Y228" s="2">
        <v>0</v>
      </c>
      <c r="Z228" s="2">
        <v>0.5</v>
      </c>
      <c r="AA228" s="2">
        <v>1</v>
      </c>
      <c r="AB228" s="2">
        <v>0.5</v>
      </c>
      <c r="AC228" s="2">
        <v>1</v>
      </c>
      <c r="AD228" s="2">
        <v>80</v>
      </c>
      <c r="AE228" s="2">
        <v>6400</v>
      </c>
      <c r="AF228" s="2">
        <v>70</v>
      </c>
      <c r="AG228" s="2">
        <v>465</v>
      </c>
      <c r="AH228" s="2">
        <v>25</v>
      </c>
      <c r="AI228" s="2">
        <v>140</v>
      </c>
      <c r="AJ228" s="1">
        <v>1250000</v>
      </c>
      <c r="AK228" s="1">
        <v>1.7</v>
      </c>
      <c r="AL228" s="1">
        <v>65</v>
      </c>
      <c r="AM228" s="2">
        <v>50</v>
      </c>
      <c r="AN228" s="2">
        <f t="shared" si="3"/>
        <v>50</v>
      </c>
      <c r="AO228" s="3">
        <v>227</v>
      </c>
      <c r="AP228" s="3">
        <v>40</v>
      </c>
      <c r="AQ228" s="3">
        <v>70</v>
      </c>
      <c r="AR228" s="3">
        <v>70</v>
      </c>
      <c r="AS228" s="1">
        <v>50.5</v>
      </c>
      <c r="AT228" s="3">
        <v>2</v>
      </c>
      <c r="AU228" s="3" t="s">
        <v>3051</v>
      </c>
    </row>
    <row r="229" spans="1:47" x14ac:dyDescent="0.3">
      <c r="A229" s="1" t="s">
        <v>661</v>
      </c>
      <c r="B229" s="1" t="s">
        <v>660</v>
      </c>
      <c r="C229" s="1" t="s">
        <v>99</v>
      </c>
      <c r="D229" s="1" t="s">
        <v>51</v>
      </c>
      <c r="E229" s="1" t="s">
        <v>659</v>
      </c>
      <c r="F229" t="s">
        <v>3142</v>
      </c>
      <c r="G229" t="s">
        <v>3125</v>
      </c>
      <c r="H229" t="s">
        <v>3228</v>
      </c>
      <c r="I229" t="s">
        <v>52</v>
      </c>
      <c r="J229" t="s">
        <v>52</v>
      </c>
      <c r="K229" t="s">
        <v>52</v>
      </c>
      <c r="L229" s="2">
        <v>1</v>
      </c>
      <c r="M229" s="2">
        <v>0.5</v>
      </c>
      <c r="N229" s="2">
        <v>1</v>
      </c>
      <c r="O229" s="2">
        <v>1</v>
      </c>
      <c r="P229" s="2">
        <v>1</v>
      </c>
      <c r="Q229" s="2">
        <v>2</v>
      </c>
      <c r="R229" s="2">
        <v>0.5</v>
      </c>
      <c r="S229" s="2">
        <v>1</v>
      </c>
      <c r="T229" s="2">
        <v>0.5</v>
      </c>
      <c r="U229" s="2">
        <v>0.5</v>
      </c>
      <c r="V229" s="2">
        <v>2</v>
      </c>
      <c r="W229" s="2">
        <v>0.5</v>
      </c>
      <c r="X229" s="2">
        <v>1</v>
      </c>
      <c r="Y229" s="2">
        <v>1</v>
      </c>
      <c r="Z229" s="2">
        <v>0</v>
      </c>
      <c r="AA229" s="2">
        <v>2</v>
      </c>
      <c r="AB229" s="2">
        <v>0.5</v>
      </c>
      <c r="AC229" s="2">
        <v>2</v>
      </c>
      <c r="AD229" s="2">
        <v>60</v>
      </c>
      <c r="AE229" s="2">
        <v>5120</v>
      </c>
      <c r="AF229" s="2">
        <v>35</v>
      </c>
      <c r="AG229" s="2">
        <v>330</v>
      </c>
      <c r="AH229" s="2">
        <v>120</v>
      </c>
      <c r="AI229" s="2">
        <v>30</v>
      </c>
      <c r="AJ229" s="1">
        <v>1250000</v>
      </c>
      <c r="AK229" s="1">
        <v>0.6</v>
      </c>
      <c r="AL229" s="1">
        <v>45</v>
      </c>
      <c r="AM229" s="2">
        <v>50</v>
      </c>
      <c r="AN229" s="2">
        <f t="shared" si="3"/>
        <v>50</v>
      </c>
      <c r="AO229" s="3">
        <v>228</v>
      </c>
      <c r="AP229" s="3">
        <v>80</v>
      </c>
      <c r="AQ229" s="3">
        <v>50</v>
      </c>
      <c r="AR229" s="3">
        <v>65</v>
      </c>
      <c r="AS229" s="1">
        <v>10.8</v>
      </c>
      <c r="AT229" s="3">
        <v>2</v>
      </c>
      <c r="AU229" s="3" t="s">
        <v>3051</v>
      </c>
    </row>
    <row r="230" spans="1:47" x14ac:dyDescent="0.3">
      <c r="A230" s="1" t="s">
        <v>663</v>
      </c>
      <c r="B230" s="1" t="s">
        <v>662</v>
      </c>
      <c r="C230" s="1" t="s">
        <v>99</v>
      </c>
      <c r="D230" s="1" t="s">
        <v>51</v>
      </c>
      <c r="E230" s="1" t="s">
        <v>659</v>
      </c>
      <c r="F230" t="s">
        <v>3142</v>
      </c>
      <c r="G230" t="s">
        <v>3125</v>
      </c>
      <c r="H230" t="s">
        <v>3228</v>
      </c>
      <c r="I230" t="s">
        <v>52</v>
      </c>
      <c r="J230" t="s">
        <v>52</v>
      </c>
      <c r="K230" t="s">
        <v>52</v>
      </c>
      <c r="L230" s="2">
        <v>1</v>
      </c>
      <c r="M230" s="2">
        <v>0.5</v>
      </c>
      <c r="N230" s="2">
        <v>1</v>
      </c>
      <c r="O230" s="2">
        <v>1</v>
      </c>
      <c r="P230" s="2">
        <v>1</v>
      </c>
      <c r="Q230" s="2">
        <v>2</v>
      </c>
      <c r="R230" s="2">
        <v>0.5</v>
      </c>
      <c r="S230" s="2">
        <v>1</v>
      </c>
      <c r="T230" s="2">
        <v>0.5</v>
      </c>
      <c r="U230" s="2">
        <v>0.5</v>
      </c>
      <c r="V230" s="2">
        <v>2</v>
      </c>
      <c r="W230" s="2">
        <v>0.5</v>
      </c>
      <c r="X230" s="2">
        <v>1</v>
      </c>
      <c r="Y230" s="2">
        <v>1</v>
      </c>
      <c r="Z230" s="2">
        <v>0</v>
      </c>
      <c r="AA230" s="2">
        <v>2</v>
      </c>
      <c r="AB230" s="2">
        <v>0.5</v>
      </c>
      <c r="AC230" s="2">
        <v>2</v>
      </c>
      <c r="AD230" s="2">
        <v>90</v>
      </c>
      <c r="AE230" s="2">
        <v>5120</v>
      </c>
      <c r="AF230" s="2">
        <v>35</v>
      </c>
      <c r="AG230" s="2">
        <v>600</v>
      </c>
      <c r="AH230" s="2">
        <v>45</v>
      </c>
      <c r="AI230" s="2">
        <v>90</v>
      </c>
      <c r="AJ230" s="1">
        <v>1250000</v>
      </c>
      <c r="AK230" s="1">
        <v>1.4</v>
      </c>
      <c r="AL230" s="1">
        <v>75</v>
      </c>
      <c r="AM230" s="2">
        <v>50</v>
      </c>
      <c r="AN230" s="2">
        <f t="shared" si="3"/>
        <v>50</v>
      </c>
      <c r="AO230" s="3">
        <v>229</v>
      </c>
      <c r="AP230" s="3">
        <v>140</v>
      </c>
      <c r="AQ230" s="3">
        <v>90</v>
      </c>
      <c r="AR230" s="3">
        <v>115</v>
      </c>
      <c r="AS230" s="1">
        <v>35</v>
      </c>
      <c r="AT230" s="3">
        <v>2</v>
      </c>
      <c r="AU230" s="3" t="s">
        <v>3051</v>
      </c>
    </row>
    <row r="231" spans="1:47" x14ac:dyDescent="0.3">
      <c r="A231" s="1" t="s">
        <v>665</v>
      </c>
      <c r="B231" s="1" t="s">
        <v>664</v>
      </c>
      <c r="C231" s="1" t="s">
        <v>62</v>
      </c>
      <c r="D231" s="1" t="s">
        <v>443</v>
      </c>
      <c r="E231" s="1" t="s">
        <v>357</v>
      </c>
      <c r="F231" t="s">
        <v>3143</v>
      </c>
      <c r="G231" t="s">
        <v>3226</v>
      </c>
      <c r="H231" t="s">
        <v>3130</v>
      </c>
      <c r="I231" t="s">
        <v>52</v>
      </c>
      <c r="J231" t="s">
        <v>52</v>
      </c>
      <c r="K231" t="s">
        <v>52</v>
      </c>
      <c r="L231" s="2">
        <v>1</v>
      </c>
      <c r="M231" s="2">
        <v>1</v>
      </c>
      <c r="N231" s="2">
        <v>2</v>
      </c>
      <c r="O231" s="2">
        <v>1</v>
      </c>
      <c r="P231" s="2">
        <v>2</v>
      </c>
      <c r="Q231" s="2">
        <v>1</v>
      </c>
      <c r="R231" s="2">
        <v>0.25</v>
      </c>
      <c r="S231" s="2">
        <v>1</v>
      </c>
      <c r="T231" s="2">
        <v>1</v>
      </c>
      <c r="U231" s="2">
        <v>1</v>
      </c>
      <c r="V231" s="2">
        <v>1</v>
      </c>
      <c r="W231" s="2">
        <v>1</v>
      </c>
      <c r="X231" s="2">
        <v>1</v>
      </c>
      <c r="Y231" s="2">
        <v>1</v>
      </c>
      <c r="Z231" s="2">
        <v>1</v>
      </c>
      <c r="AA231" s="2">
        <v>1</v>
      </c>
      <c r="AB231" s="2">
        <v>0.5</v>
      </c>
      <c r="AC231" s="2">
        <v>0.25</v>
      </c>
      <c r="AD231" s="2">
        <v>95</v>
      </c>
      <c r="AE231" s="2">
        <v>5120</v>
      </c>
      <c r="AF231" s="2">
        <v>70</v>
      </c>
      <c r="AG231" s="2">
        <v>540</v>
      </c>
      <c r="AH231" s="2">
        <v>45</v>
      </c>
      <c r="AI231" s="2">
        <v>95</v>
      </c>
      <c r="AJ231" s="1">
        <v>1000000</v>
      </c>
      <c r="AK231" s="1">
        <v>1.8</v>
      </c>
      <c r="AL231" s="1">
        <v>75</v>
      </c>
      <c r="AM231" s="2">
        <v>50</v>
      </c>
      <c r="AN231" s="2">
        <f t="shared" si="3"/>
        <v>50</v>
      </c>
      <c r="AO231" s="3">
        <v>230</v>
      </c>
      <c r="AP231" s="3">
        <v>95</v>
      </c>
      <c r="AQ231" s="3">
        <v>95</v>
      </c>
      <c r="AR231" s="3">
        <v>85</v>
      </c>
      <c r="AS231" s="1">
        <v>152</v>
      </c>
      <c r="AT231" s="3">
        <v>2</v>
      </c>
      <c r="AU231" s="3" t="s">
        <v>3051</v>
      </c>
    </row>
    <row r="232" spans="1:47" x14ac:dyDescent="0.3">
      <c r="A232" s="1" t="s">
        <v>668</v>
      </c>
      <c r="B232" s="1" t="s">
        <v>667</v>
      </c>
      <c r="C232" s="1" t="s">
        <v>120</v>
      </c>
      <c r="D232" s="1" t="s">
        <v>52</v>
      </c>
      <c r="E232" s="1" t="s">
        <v>666</v>
      </c>
      <c r="F232" t="s">
        <v>3128</v>
      </c>
      <c r="G232" t="s">
        <v>3122</v>
      </c>
      <c r="H232" t="s">
        <v>52</v>
      </c>
      <c r="I232" t="s">
        <v>52</v>
      </c>
      <c r="J232" t="s">
        <v>52</v>
      </c>
      <c r="K232" t="s">
        <v>52</v>
      </c>
      <c r="L232" s="2">
        <v>1</v>
      </c>
      <c r="M232" s="2">
        <v>1</v>
      </c>
      <c r="N232" s="2">
        <v>1</v>
      </c>
      <c r="O232" s="2">
        <v>0</v>
      </c>
      <c r="P232" s="2">
        <v>1</v>
      </c>
      <c r="Q232" s="2">
        <v>1</v>
      </c>
      <c r="R232" s="2">
        <v>1</v>
      </c>
      <c r="S232" s="2">
        <v>1</v>
      </c>
      <c r="T232" s="2">
        <v>1</v>
      </c>
      <c r="U232" s="2">
        <v>2</v>
      </c>
      <c r="V232" s="2">
        <v>1</v>
      </c>
      <c r="W232" s="2">
        <v>2</v>
      </c>
      <c r="X232" s="2">
        <v>1</v>
      </c>
      <c r="Y232" s="2">
        <v>0.5</v>
      </c>
      <c r="Z232" s="2">
        <v>1</v>
      </c>
      <c r="AA232" s="2">
        <v>0.5</v>
      </c>
      <c r="AB232" s="2">
        <v>1</v>
      </c>
      <c r="AC232" s="2">
        <v>2</v>
      </c>
      <c r="AD232" s="2">
        <v>60</v>
      </c>
      <c r="AE232" s="2">
        <v>5120</v>
      </c>
      <c r="AF232" s="2">
        <v>70</v>
      </c>
      <c r="AG232" s="2">
        <v>330</v>
      </c>
      <c r="AH232" s="2">
        <v>120</v>
      </c>
      <c r="AI232" s="2">
        <v>60</v>
      </c>
      <c r="AJ232" s="1">
        <v>1000000</v>
      </c>
      <c r="AK232" s="1">
        <v>0.5</v>
      </c>
      <c r="AL232" s="1">
        <v>90</v>
      </c>
      <c r="AM232" s="2">
        <v>50</v>
      </c>
      <c r="AN232" s="2">
        <f t="shared" si="3"/>
        <v>50</v>
      </c>
      <c r="AO232" s="3">
        <v>231</v>
      </c>
      <c r="AP232" s="3">
        <v>40</v>
      </c>
      <c r="AQ232" s="3">
        <v>40</v>
      </c>
      <c r="AR232" s="3">
        <v>40</v>
      </c>
      <c r="AS232" s="1">
        <v>33.5</v>
      </c>
      <c r="AT232" s="3">
        <v>2</v>
      </c>
      <c r="AU232" s="3" t="s">
        <v>3051</v>
      </c>
    </row>
    <row r="233" spans="1:47" x14ac:dyDescent="0.3">
      <c r="A233" s="1" t="s">
        <v>671</v>
      </c>
      <c r="B233" s="1" t="s">
        <v>670</v>
      </c>
      <c r="C233" s="1" t="s">
        <v>120</v>
      </c>
      <c r="D233" s="1" t="s">
        <v>52</v>
      </c>
      <c r="E233" s="1" t="s">
        <v>669</v>
      </c>
      <c r="F233" t="s">
        <v>3107</v>
      </c>
      <c r="G233" t="s">
        <v>3122</v>
      </c>
      <c r="H233" t="s">
        <v>52</v>
      </c>
      <c r="I233" t="s">
        <v>52</v>
      </c>
      <c r="J233" t="s">
        <v>52</v>
      </c>
      <c r="K233" t="s">
        <v>52</v>
      </c>
      <c r="L233" s="2">
        <v>1</v>
      </c>
      <c r="M233" s="2">
        <v>1</v>
      </c>
      <c r="N233" s="2">
        <v>1</v>
      </c>
      <c r="O233" s="2">
        <v>0</v>
      </c>
      <c r="P233" s="2">
        <v>1</v>
      </c>
      <c r="Q233" s="2">
        <v>1</v>
      </c>
      <c r="R233" s="2">
        <v>1</v>
      </c>
      <c r="S233" s="2">
        <v>1</v>
      </c>
      <c r="T233" s="2">
        <v>1</v>
      </c>
      <c r="U233" s="2">
        <v>2</v>
      </c>
      <c r="V233" s="2">
        <v>1</v>
      </c>
      <c r="W233" s="2">
        <v>2</v>
      </c>
      <c r="X233" s="2">
        <v>1</v>
      </c>
      <c r="Y233" s="2">
        <v>0.5</v>
      </c>
      <c r="Z233" s="2">
        <v>1</v>
      </c>
      <c r="AA233" s="2">
        <v>0.5</v>
      </c>
      <c r="AB233" s="2">
        <v>1</v>
      </c>
      <c r="AC233" s="2">
        <v>2</v>
      </c>
      <c r="AD233" s="2">
        <v>120</v>
      </c>
      <c r="AE233" s="2">
        <v>5120</v>
      </c>
      <c r="AF233" s="2">
        <v>70</v>
      </c>
      <c r="AG233" s="2">
        <v>500</v>
      </c>
      <c r="AH233" s="2">
        <v>60</v>
      </c>
      <c r="AI233" s="2">
        <v>120</v>
      </c>
      <c r="AJ233" s="1">
        <v>1000000</v>
      </c>
      <c r="AK233" s="1">
        <v>1.1000000000000001</v>
      </c>
      <c r="AL233" s="1">
        <v>90</v>
      </c>
      <c r="AM233" s="2">
        <v>50</v>
      </c>
      <c r="AN233" s="2">
        <f t="shared" si="3"/>
        <v>50</v>
      </c>
      <c r="AO233" s="3">
        <v>232</v>
      </c>
      <c r="AP233" s="3">
        <v>60</v>
      </c>
      <c r="AQ233" s="3">
        <v>60</v>
      </c>
      <c r="AR233" s="3">
        <v>50</v>
      </c>
      <c r="AS233" s="1">
        <v>120</v>
      </c>
      <c r="AT233" s="3">
        <v>2</v>
      </c>
      <c r="AU233" s="3" t="s">
        <v>3051</v>
      </c>
    </row>
    <row r="234" spans="1:47" x14ac:dyDescent="0.3">
      <c r="A234" s="1" t="s">
        <v>673</v>
      </c>
      <c r="B234" s="1" t="s">
        <v>672</v>
      </c>
      <c r="C234" s="1" t="s">
        <v>90</v>
      </c>
      <c r="D234" s="1" t="s">
        <v>52</v>
      </c>
      <c r="E234" s="1" t="s">
        <v>416</v>
      </c>
      <c r="F234" t="s">
        <v>3147</v>
      </c>
      <c r="G234" t="s">
        <v>3083</v>
      </c>
      <c r="H234" t="s">
        <v>3243</v>
      </c>
      <c r="I234" t="s">
        <v>52</v>
      </c>
      <c r="J234" t="s">
        <v>52</v>
      </c>
      <c r="K234" t="s">
        <v>52</v>
      </c>
      <c r="L234" s="2">
        <v>1</v>
      </c>
      <c r="M234" s="2">
        <v>1</v>
      </c>
      <c r="N234" s="2">
        <v>1</v>
      </c>
      <c r="O234" s="2">
        <v>1</v>
      </c>
      <c r="P234" s="2">
        <v>1</v>
      </c>
      <c r="Q234" s="2">
        <v>2</v>
      </c>
      <c r="R234" s="2">
        <v>1</v>
      </c>
      <c r="S234" s="2">
        <v>1</v>
      </c>
      <c r="T234" s="2">
        <v>0</v>
      </c>
      <c r="U234" s="2">
        <v>1</v>
      </c>
      <c r="V234" s="2">
        <v>1</v>
      </c>
      <c r="W234" s="2">
        <v>1</v>
      </c>
      <c r="X234" s="2">
        <v>1</v>
      </c>
      <c r="Y234" s="2">
        <v>1</v>
      </c>
      <c r="Z234" s="2">
        <v>1</v>
      </c>
      <c r="AA234" s="2">
        <v>1</v>
      </c>
      <c r="AB234" s="2">
        <v>1</v>
      </c>
      <c r="AC234" s="2">
        <v>1</v>
      </c>
      <c r="AD234" s="2">
        <v>80</v>
      </c>
      <c r="AE234" s="2">
        <v>5120</v>
      </c>
      <c r="AF234" s="2">
        <v>70</v>
      </c>
      <c r="AG234" s="2">
        <v>515</v>
      </c>
      <c r="AH234" s="2">
        <v>45</v>
      </c>
      <c r="AI234" s="2">
        <v>90</v>
      </c>
      <c r="AJ234" s="1">
        <v>1000000</v>
      </c>
      <c r="AK234" s="1">
        <v>0.6</v>
      </c>
      <c r="AL234" s="1">
        <v>85</v>
      </c>
      <c r="AM234" s="2" t="s">
        <v>52</v>
      </c>
      <c r="AN234" s="2" t="str">
        <f t="shared" si="3"/>
        <v/>
      </c>
      <c r="AO234" s="3">
        <v>233</v>
      </c>
      <c r="AP234" s="3">
        <v>105</v>
      </c>
      <c r="AQ234" s="3">
        <v>95</v>
      </c>
      <c r="AR234" s="3">
        <v>60</v>
      </c>
      <c r="AS234" s="1">
        <v>32.5</v>
      </c>
      <c r="AT234" s="3">
        <v>2</v>
      </c>
      <c r="AU234" s="3" t="s">
        <v>3051</v>
      </c>
    </row>
    <row r="235" spans="1:47" x14ac:dyDescent="0.3">
      <c r="A235" s="1" t="s">
        <v>676</v>
      </c>
      <c r="B235" s="1" t="s">
        <v>675</v>
      </c>
      <c r="C235" s="1" t="s">
        <v>90</v>
      </c>
      <c r="D235" s="1" t="s">
        <v>52</v>
      </c>
      <c r="E235" s="1" t="s">
        <v>674</v>
      </c>
      <c r="F235" t="s">
        <v>3120</v>
      </c>
      <c r="G235" t="s">
        <v>3186</v>
      </c>
      <c r="H235" t="s">
        <v>3194</v>
      </c>
      <c r="I235" t="s">
        <v>52</v>
      </c>
      <c r="J235" t="s">
        <v>52</v>
      </c>
      <c r="K235" t="s">
        <v>52</v>
      </c>
      <c r="L235" s="2">
        <v>1</v>
      </c>
      <c r="M235" s="2">
        <v>1</v>
      </c>
      <c r="N235" s="2">
        <v>1</v>
      </c>
      <c r="O235" s="2">
        <v>1</v>
      </c>
      <c r="P235" s="2">
        <v>1</v>
      </c>
      <c r="Q235" s="2">
        <v>2</v>
      </c>
      <c r="R235" s="2">
        <v>1</v>
      </c>
      <c r="S235" s="2">
        <v>1</v>
      </c>
      <c r="T235" s="2">
        <v>0</v>
      </c>
      <c r="U235" s="2">
        <v>1</v>
      </c>
      <c r="V235" s="2">
        <v>1</v>
      </c>
      <c r="W235" s="2">
        <v>1</v>
      </c>
      <c r="X235" s="2">
        <v>1</v>
      </c>
      <c r="Y235" s="2">
        <v>1</v>
      </c>
      <c r="Z235" s="2">
        <v>1</v>
      </c>
      <c r="AA235" s="2">
        <v>1</v>
      </c>
      <c r="AB235" s="2">
        <v>1</v>
      </c>
      <c r="AC235" s="2">
        <v>1</v>
      </c>
      <c r="AD235" s="2">
        <v>95</v>
      </c>
      <c r="AE235" s="2">
        <v>5120</v>
      </c>
      <c r="AF235" s="2">
        <v>70</v>
      </c>
      <c r="AG235" s="2">
        <v>465</v>
      </c>
      <c r="AH235" s="2">
        <v>45</v>
      </c>
      <c r="AI235" s="2">
        <v>62</v>
      </c>
      <c r="AJ235" s="1">
        <v>1250000</v>
      </c>
      <c r="AK235" s="1">
        <v>1.4</v>
      </c>
      <c r="AL235" s="1">
        <v>73</v>
      </c>
      <c r="AM235" s="2">
        <v>50</v>
      </c>
      <c r="AN235" s="2">
        <f t="shared" si="3"/>
        <v>50</v>
      </c>
      <c r="AO235" s="3">
        <v>234</v>
      </c>
      <c r="AP235" s="3">
        <v>85</v>
      </c>
      <c r="AQ235" s="3">
        <v>65</v>
      </c>
      <c r="AR235" s="3">
        <v>85</v>
      </c>
      <c r="AS235" s="1">
        <v>71.2</v>
      </c>
      <c r="AT235" s="3">
        <v>2</v>
      </c>
      <c r="AU235" s="3" t="s">
        <v>3051</v>
      </c>
    </row>
    <row r="236" spans="1:47" x14ac:dyDescent="0.3">
      <c r="A236" s="1" t="s">
        <v>679</v>
      </c>
      <c r="B236" s="1" t="s">
        <v>678</v>
      </c>
      <c r="C236" s="1" t="s">
        <v>90</v>
      </c>
      <c r="D236" s="1" t="s">
        <v>52</v>
      </c>
      <c r="E236" s="1" t="s">
        <v>677</v>
      </c>
      <c r="F236" t="s">
        <v>3140</v>
      </c>
      <c r="G236" t="s">
        <v>3169</v>
      </c>
      <c r="H236" t="s">
        <v>3261</v>
      </c>
      <c r="I236" t="s">
        <v>52</v>
      </c>
      <c r="J236" t="s">
        <v>52</v>
      </c>
      <c r="K236" t="s">
        <v>52</v>
      </c>
      <c r="L236" s="2">
        <v>1</v>
      </c>
      <c r="M236" s="2">
        <v>1</v>
      </c>
      <c r="N236" s="2">
        <v>1</v>
      </c>
      <c r="O236" s="2">
        <v>1</v>
      </c>
      <c r="P236" s="2">
        <v>1</v>
      </c>
      <c r="Q236" s="2">
        <v>2</v>
      </c>
      <c r="R236" s="2">
        <v>1</v>
      </c>
      <c r="S236" s="2">
        <v>1</v>
      </c>
      <c r="T236" s="2">
        <v>0</v>
      </c>
      <c r="U236" s="2">
        <v>1</v>
      </c>
      <c r="V236" s="2">
        <v>1</v>
      </c>
      <c r="W236" s="2">
        <v>1</v>
      </c>
      <c r="X236" s="2">
        <v>1</v>
      </c>
      <c r="Y236" s="2">
        <v>1</v>
      </c>
      <c r="Z236" s="2">
        <v>1</v>
      </c>
      <c r="AA236" s="2">
        <v>1</v>
      </c>
      <c r="AB236" s="2">
        <v>1</v>
      </c>
      <c r="AC236" s="2">
        <v>1</v>
      </c>
      <c r="AD236" s="2">
        <v>20</v>
      </c>
      <c r="AE236" s="2">
        <v>5120</v>
      </c>
      <c r="AF236" s="2">
        <v>70</v>
      </c>
      <c r="AG236" s="2">
        <v>250</v>
      </c>
      <c r="AH236" s="2">
        <v>45</v>
      </c>
      <c r="AI236" s="2">
        <v>35</v>
      </c>
      <c r="AJ236" s="1">
        <v>800000</v>
      </c>
      <c r="AK236" s="1">
        <v>1.2</v>
      </c>
      <c r="AL236" s="1">
        <v>55</v>
      </c>
      <c r="AM236" s="2">
        <v>50</v>
      </c>
      <c r="AN236" s="2">
        <f t="shared" si="3"/>
        <v>50</v>
      </c>
      <c r="AO236" s="3">
        <v>235</v>
      </c>
      <c r="AP236" s="3">
        <v>20</v>
      </c>
      <c r="AQ236" s="3">
        <v>45</v>
      </c>
      <c r="AR236" s="3">
        <v>75</v>
      </c>
      <c r="AS236" s="1">
        <v>58</v>
      </c>
      <c r="AT236" s="3">
        <v>2</v>
      </c>
      <c r="AU236" s="3" t="s">
        <v>3051</v>
      </c>
    </row>
    <row r="237" spans="1:47" x14ac:dyDescent="0.3">
      <c r="A237" s="1" t="s">
        <v>682</v>
      </c>
      <c r="B237" s="1" t="s">
        <v>681</v>
      </c>
      <c r="C237" s="1" t="s">
        <v>197</v>
      </c>
      <c r="D237" s="1" t="s">
        <v>52</v>
      </c>
      <c r="E237" s="1" t="s">
        <v>680</v>
      </c>
      <c r="F237" t="s">
        <v>3131</v>
      </c>
      <c r="G237" t="s">
        <v>3171</v>
      </c>
      <c r="H237" t="s">
        <v>3060</v>
      </c>
      <c r="I237" t="s">
        <v>52</v>
      </c>
      <c r="J237" t="s">
        <v>52</v>
      </c>
      <c r="K237" t="s">
        <v>52</v>
      </c>
      <c r="L237" s="2">
        <v>0.5</v>
      </c>
      <c r="M237" s="2">
        <v>0.5</v>
      </c>
      <c r="N237" s="2">
        <v>1</v>
      </c>
      <c r="O237" s="2">
        <v>1</v>
      </c>
      <c r="P237" s="2">
        <v>2</v>
      </c>
      <c r="Q237" s="2">
        <v>1</v>
      </c>
      <c r="R237" s="2">
        <v>1</v>
      </c>
      <c r="S237" s="2">
        <v>2</v>
      </c>
      <c r="T237" s="2">
        <v>1</v>
      </c>
      <c r="U237" s="2">
        <v>1</v>
      </c>
      <c r="V237" s="2">
        <v>1</v>
      </c>
      <c r="W237" s="2">
        <v>1</v>
      </c>
      <c r="X237" s="2">
        <v>1</v>
      </c>
      <c r="Y237" s="2">
        <v>1</v>
      </c>
      <c r="Z237" s="2">
        <v>2</v>
      </c>
      <c r="AA237" s="2">
        <v>0.5</v>
      </c>
      <c r="AB237" s="2">
        <v>1</v>
      </c>
      <c r="AC237" s="2">
        <v>1</v>
      </c>
      <c r="AD237" s="2">
        <v>35</v>
      </c>
      <c r="AE237" s="2">
        <v>6400</v>
      </c>
      <c r="AF237" s="2">
        <v>70</v>
      </c>
      <c r="AG237" s="2">
        <v>210</v>
      </c>
      <c r="AH237" s="2">
        <v>75</v>
      </c>
      <c r="AI237" s="2">
        <v>35</v>
      </c>
      <c r="AJ237" s="1">
        <v>1000000</v>
      </c>
      <c r="AK237" s="1">
        <v>0.7</v>
      </c>
      <c r="AL237" s="1">
        <v>35</v>
      </c>
      <c r="AM237" s="2">
        <v>100</v>
      </c>
      <c r="AN237" s="2">
        <f t="shared" si="3"/>
        <v>0</v>
      </c>
      <c r="AO237" s="3">
        <v>236</v>
      </c>
      <c r="AP237" s="3">
        <v>35</v>
      </c>
      <c r="AQ237" s="3">
        <v>35</v>
      </c>
      <c r="AR237" s="3">
        <v>35</v>
      </c>
      <c r="AS237" s="1">
        <v>21</v>
      </c>
      <c r="AT237" s="3">
        <v>2</v>
      </c>
      <c r="AU237" s="3" t="s">
        <v>3051</v>
      </c>
    </row>
    <row r="238" spans="1:47" x14ac:dyDescent="0.3">
      <c r="A238" s="1" t="s">
        <v>685</v>
      </c>
      <c r="B238" s="1" t="s">
        <v>684</v>
      </c>
      <c r="C238" s="1" t="s">
        <v>197</v>
      </c>
      <c r="D238" s="1" t="s">
        <v>52</v>
      </c>
      <c r="E238" s="1" t="s">
        <v>683</v>
      </c>
      <c r="F238" t="s">
        <v>3120</v>
      </c>
      <c r="G238" t="s">
        <v>3169</v>
      </c>
      <c r="H238" t="s">
        <v>3171</v>
      </c>
      <c r="I238" t="s">
        <v>52</v>
      </c>
      <c r="J238" t="s">
        <v>52</v>
      </c>
      <c r="K238" t="s">
        <v>52</v>
      </c>
      <c r="L238" s="2">
        <v>0.5</v>
      </c>
      <c r="M238" s="2">
        <v>0.5</v>
      </c>
      <c r="N238" s="2">
        <v>1</v>
      </c>
      <c r="O238" s="2">
        <v>1</v>
      </c>
      <c r="P238" s="2">
        <v>2</v>
      </c>
      <c r="Q238" s="2">
        <v>1</v>
      </c>
      <c r="R238" s="2">
        <v>1</v>
      </c>
      <c r="S238" s="2">
        <v>2</v>
      </c>
      <c r="T238" s="2">
        <v>1</v>
      </c>
      <c r="U238" s="2">
        <v>1</v>
      </c>
      <c r="V238" s="2">
        <v>1</v>
      </c>
      <c r="W238" s="2">
        <v>1</v>
      </c>
      <c r="X238" s="2">
        <v>1</v>
      </c>
      <c r="Y238" s="2">
        <v>1</v>
      </c>
      <c r="Z238" s="2">
        <v>2</v>
      </c>
      <c r="AA238" s="2">
        <v>0.5</v>
      </c>
      <c r="AB238" s="2">
        <v>1</v>
      </c>
      <c r="AC238" s="2">
        <v>1</v>
      </c>
      <c r="AD238" s="2">
        <v>95</v>
      </c>
      <c r="AE238" s="2">
        <v>6400</v>
      </c>
      <c r="AF238" s="2">
        <v>70</v>
      </c>
      <c r="AG238" s="2">
        <v>455</v>
      </c>
      <c r="AH238" s="2">
        <v>45</v>
      </c>
      <c r="AI238" s="2">
        <v>95</v>
      </c>
      <c r="AJ238" s="1">
        <v>1000000</v>
      </c>
      <c r="AK238" s="1">
        <v>1.4</v>
      </c>
      <c r="AL238" s="1">
        <v>50</v>
      </c>
      <c r="AM238" s="2">
        <v>100</v>
      </c>
      <c r="AN238" s="2">
        <f t="shared" si="3"/>
        <v>0</v>
      </c>
      <c r="AO238" s="3">
        <v>237</v>
      </c>
      <c r="AP238" s="3">
        <v>35</v>
      </c>
      <c r="AQ238" s="3">
        <v>110</v>
      </c>
      <c r="AR238" s="3">
        <v>70</v>
      </c>
      <c r="AS238" s="1">
        <v>48</v>
      </c>
      <c r="AT238" s="3">
        <v>2</v>
      </c>
      <c r="AU238" s="3" t="s">
        <v>3051</v>
      </c>
    </row>
    <row r="239" spans="1:47" x14ac:dyDescent="0.3">
      <c r="A239" s="1" t="s">
        <v>688</v>
      </c>
      <c r="B239" s="1" t="s">
        <v>687</v>
      </c>
      <c r="C239" s="1" t="s">
        <v>121</v>
      </c>
      <c r="D239" s="1" t="s">
        <v>216</v>
      </c>
      <c r="E239" s="1" t="s">
        <v>686</v>
      </c>
      <c r="F239" t="s">
        <v>3133</v>
      </c>
      <c r="G239" t="s">
        <v>3178</v>
      </c>
      <c r="H239" t="s">
        <v>3071</v>
      </c>
      <c r="I239" t="s">
        <v>52</v>
      </c>
      <c r="J239" t="s">
        <v>52</v>
      </c>
      <c r="K239" t="s">
        <v>52</v>
      </c>
      <c r="L239" s="2">
        <v>2</v>
      </c>
      <c r="M239" s="2">
        <v>2</v>
      </c>
      <c r="N239" s="2">
        <v>1</v>
      </c>
      <c r="O239" s="2">
        <v>1</v>
      </c>
      <c r="P239" s="2">
        <v>1</v>
      </c>
      <c r="Q239" s="2">
        <v>1</v>
      </c>
      <c r="R239" s="2">
        <v>2</v>
      </c>
      <c r="S239" s="2">
        <v>1</v>
      </c>
      <c r="T239" s="2">
        <v>2</v>
      </c>
      <c r="U239" s="2">
        <v>1</v>
      </c>
      <c r="V239" s="2">
        <v>1</v>
      </c>
      <c r="W239" s="2">
        <v>0.5</v>
      </c>
      <c r="X239" s="2">
        <v>1</v>
      </c>
      <c r="Y239" s="2">
        <v>1</v>
      </c>
      <c r="Z239" s="2">
        <v>0.5</v>
      </c>
      <c r="AA239" s="2">
        <v>2</v>
      </c>
      <c r="AB239" s="2">
        <v>2</v>
      </c>
      <c r="AC239" s="2">
        <v>1</v>
      </c>
      <c r="AD239" s="2">
        <v>30</v>
      </c>
      <c r="AE239" s="2">
        <v>6400</v>
      </c>
      <c r="AF239" s="2">
        <v>70</v>
      </c>
      <c r="AG239" s="2">
        <v>305</v>
      </c>
      <c r="AH239" s="2">
        <v>45</v>
      </c>
      <c r="AI239" s="2">
        <v>15</v>
      </c>
      <c r="AJ239" s="1">
        <v>1000000</v>
      </c>
      <c r="AK239" s="1">
        <v>0.4</v>
      </c>
      <c r="AL239" s="1">
        <v>45</v>
      </c>
      <c r="AM239" s="2">
        <v>0</v>
      </c>
      <c r="AN239" s="2">
        <f t="shared" si="3"/>
        <v>100</v>
      </c>
      <c r="AO239" s="3">
        <v>238</v>
      </c>
      <c r="AP239" s="3">
        <v>85</v>
      </c>
      <c r="AQ239" s="3">
        <v>65</v>
      </c>
      <c r="AR239" s="3">
        <v>65</v>
      </c>
      <c r="AS239" s="1">
        <v>6</v>
      </c>
      <c r="AT239" s="3">
        <v>2</v>
      </c>
      <c r="AU239" s="3" t="s">
        <v>3051</v>
      </c>
    </row>
    <row r="240" spans="1:47" x14ac:dyDescent="0.3">
      <c r="A240" s="1" t="s">
        <v>690</v>
      </c>
      <c r="B240" s="1" t="s">
        <v>689</v>
      </c>
      <c r="C240" s="1" t="s">
        <v>115</v>
      </c>
      <c r="D240" s="1" t="s">
        <v>52</v>
      </c>
      <c r="E240" s="1" t="s">
        <v>381</v>
      </c>
      <c r="F240" t="s">
        <v>3121</v>
      </c>
      <c r="G240" t="s">
        <v>3060</v>
      </c>
      <c r="H240" t="s">
        <v>52</v>
      </c>
      <c r="I240" t="s">
        <v>52</v>
      </c>
      <c r="J240" t="s">
        <v>52</v>
      </c>
      <c r="K240" t="s">
        <v>52</v>
      </c>
      <c r="L240" s="2">
        <v>1</v>
      </c>
      <c r="M240" s="2">
        <v>1</v>
      </c>
      <c r="N240" s="2">
        <v>1</v>
      </c>
      <c r="O240" s="2">
        <v>0.5</v>
      </c>
      <c r="P240" s="2">
        <v>1</v>
      </c>
      <c r="Q240" s="2">
        <v>1</v>
      </c>
      <c r="R240" s="2">
        <v>1</v>
      </c>
      <c r="S240" s="2">
        <v>0.5</v>
      </c>
      <c r="T240" s="2">
        <v>1</v>
      </c>
      <c r="U240" s="2">
        <v>1</v>
      </c>
      <c r="V240" s="2">
        <v>2</v>
      </c>
      <c r="W240" s="2">
        <v>1</v>
      </c>
      <c r="X240" s="2">
        <v>1</v>
      </c>
      <c r="Y240" s="2">
        <v>1</v>
      </c>
      <c r="Z240" s="2">
        <v>1</v>
      </c>
      <c r="AA240" s="2">
        <v>1</v>
      </c>
      <c r="AB240" s="2">
        <v>0.5</v>
      </c>
      <c r="AC240" s="2">
        <v>1</v>
      </c>
      <c r="AD240" s="2">
        <v>63</v>
      </c>
      <c r="AE240" s="2">
        <v>6400</v>
      </c>
      <c r="AF240" s="2">
        <v>70</v>
      </c>
      <c r="AG240" s="2">
        <v>360</v>
      </c>
      <c r="AH240" s="2">
        <v>45</v>
      </c>
      <c r="AI240" s="2">
        <v>37</v>
      </c>
      <c r="AJ240" s="1">
        <v>1000000</v>
      </c>
      <c r="AK240" s="1">
        <v>0.6</v>
      </c>
      <c r="AL240" s="1">
        <v>45</v>
      </c>
      <c r="AM240" s="2">
        <v>75.400000000000006</v>
      </c>
      <c r="AN240" s="2">
        <f t="shared" si="3"/>
        <v>24.599999999999994</v>
      </c>
      <c r="AO240" s="3">
        <v>239</v>
      </c>
      <c r="AP240" s="3">
        <v>65</v>
      </c>
      <c r="AQ240" s="3">
        <v>55</v>
      </c>
      <c r="AR240" s="3">
        <v>95</v>
      </c>
      <c r="AS240" s="1">
        <v>23.5</v>
      </c>
      <c r="AT240" s="3">
        <v>2</v>
      </c>
      <c r="AU240" s="3" t="s">
        <v>3051</v>
      </c>
    </row>
    <row r="241" spans="1:47" x14ac:dyDescent="0.3">
      <c r="A241" s="1" t="s">
        <v>693</v>
      </c>
      <c r="B241" s="1" t="s">
        <v>692</v>
      </c>
      <c r="C241" s="1" t="s">
        <v>51</v>
      </c>
      <c r="D241" s="1" t="s">
        <v>52</v>
      </c>
      <c r="E241" s="1" t="s">
        <v>691</v>
      </c>
      <c r="F241" t="s">
        <v>3145</v>
      </c>
      <c r="G241" t="s">
        <v>3060</v>
      </c>
      <c r="H241" t="s">
        <v>52</v>
      </c>
      <c r="I241" t="s">
        <v>52</v>
      </c>
      <c r="J241" t="s">
        <v>52</v>
      </c>
      <c r="K241" t="s">
        <v>52</v>
      </c>
      <c r="L241" s="2">
        <v>0.5</v>
      </c>
      <c r="M241" s="2">
        <v>1</v>
      </c>
      <c r="N241" s="2">
        <v>1</v>
      </c>
      <c r="O241" s="2">
        <v>1</v>
      </c>
      <c r="P241" s="2">
        <v>0.5</v>
      </c>
      <c r="Q241" s="2">
        <v>1</v>
      </c>
      <c r="R241" s="2">
        <v>0.5</v>
      </c>
      <c r="S241" s="2">
        <v>1</v>
      </c>
      <c r="T241" s="2">
        <v>1</v>
      </c>
      <c r="U241" s="2">
        <v>0.5</v>
      </c>
      <c r="V241" s="2">
        <v>2</v>
      </c>
      <c r="W241" s="2">
        <v>0.5</v>
      </c>
      <c r="X241" s="2">
        <v>1</v>
      </c>
      <c r="Y241" s="2">
        <v>1</v>
      </c>
      <c r="Z241" s="2">
        <v>1</v>
      </c>
      <c r="AA241" s="2">
        <v>2</v>
      </c>
      <c r="AB241" s="2">
        <v>0.5</v>
      </c>
      <c r="AC241" s="2">
        <v>2</v>
      </c>
      <c r="AD241" s="2">
        <v>75</v>
      </c>
      <c r="AE241" s="2">
        <v>6400</v>
      </c>
      <c r="AF241" s="2">
        <v>70</v>
      </c>
      <c r="AG241" s="2">
        <v>365</v>
      </c>
      <c r="AH241" s="2">
        <v>45</v>
      </c>
      <c r="AI241" s="2">
        <v>37</v>
      </c>
      <c r="AJ241" s="1">
        <v>1000000</v>
      </c>
      <c r="AK241" s="1">
        <v>0.7</v>
      </c>
      <c r="AL241" s="1">
        <v>45</v>
      </c>
      <c r="AM241" s="2">
        <v>75.400000000000006</v>
      </c>
      <c r="AN241" s="2">
        <f t="shared" si="3"/>
        <v>24.599999999999994</v>
      </c>
      <c r="AO241" s="3">
        <v>240</v>
      </c>
      <c r="AP241" s="3">
        <v>70</v>
      </c>
      <c r="AQ241" s="3">
        <v>55</v>
      </c>
      <c r="AR241" s="3">
        <v>83</v>
      </c>
      <c r="AS241" s="1">
        <v>21.4</v>
      </c>
      <c r="AT241" s="3">
        <v>2</v>
      </c>
      <c r="AU241" s="3" t="s">
        <v>3051</v>
      </c>
    </row>
    <row r="242" spans="1:47" x14ac:dyDescent="0.3">
      <c r="A242" s="1" t="s">
        <v>696</v>
      </c>
      <c r="B242" s="1" t="s">
        <v>695</v>
      </c>
      <c r="C242" s="1" t="s">
        <v>90</v>
      </c>
      <c r="D242" s="1" t="s">
        <v>52</v>
      </c>
      <c r="E242" s="1" t="s">
        <v>694</v>
      </c>
      <c r="F242" t="s">
        <v>3135</v>
      </c>
      <c r="G242" t="s">
        <v>3250</v>
      </c>
      <c r="H242" t="s">
        <v>3194</v>
      </c>
      <c r="I242" t="s">
        <v>52</v>
      </c>
      <c r="J242" t="s">
        <v>52</v>
      </c>
      <c r="K242" t="s">
        <v>52</v>
      </c>
      <c r="L242" s="2">
        <v>1</v>
      </c>
      <c r="M242" s="2">
        <v>1</v>
      </c>
      <c r="N242" s="2">
        <v>1</v>
      </c>
      <c r="O242" s="2">
        <v>1</v>
      </c>
      <c r="P242" s="2">
        <v>1</v>
      </c>
      <c r="Q242" s="2">
        <v>2</v>
      </c>
      <c r="R242" s="2">
        <v>1</v>
      </c>
      <c r="S242" s="2">
        <v>1</v>
      </c>
      <c r="T242" s="2">
        <v>0</v>
      </c>
      <c r="U242" s="2">
        <v>1</v>
      </c>
      <c r="V242" s="2">
        <v>1</v>
      </c>
      <c r="W242" s="2">
        <v>1</v>
      </c>
      <c r="X242" s="2">
        <v>1</v>
      </c>
      <c r="Y242" s="2">
        <v>1</v>
      </c>
      <c r="Z242" s="2">
        <v>1</v>
      </c>
      <c r="AA242" s="2">
        <v>1</v>
      </c>
      <c r="AB242" s="2">
        <v>1</v>
      </c>
      <c r="AC242" s="2">
        <v>1</v>
      </c>
      <c r="AD242" s="2">
        <v>80</v>
      </c>
      <c r="AE242" s="2">
        <v>5120</v>
      </c>
      <c r="AF242" s="2">
        <v>70</v>
      </c>
      <c r="AG242" s="2">
        <v>490</v>
      </c>
      <c r="AH242" s="2">
        <v>45</v>
      </c>
      <c r="AI242" s="2">
        <v>105</v>
      </c>
      <c r="AJ242" s="1">
        <v>1250000</v>
      </c>
      <c r="AK242" s="1">
        <v>1.2</v>
      </c>
      <c r="AL242" s="1">
        <v>95</v>
      </c>
      <c r="AM242" s="2">
        <v>0</v>
      </c>
      <c r="AN242" s="2">
        <f t="shared" si="3"/>
        <v>100</v>
      </c>
      <c r="AO242" s="3">
        <v>241</v>
      </c>
      <c r="AP242" s="3">
        <v>40</v>
      </c>
      <c r="AQ242" s="3">
        <v>70</v>
      </c>
      <c r="AR242" s="3">
        <v>100</v>
      </c>
      <c r="AS242" s="1">
        <v>75.5</v>
      </c>
      <c r="AT242" s="3">
        <v>2</v>
      </c>
      <c r="AU242" s="3" t="s">
        <v>3051</v>
      </c>
    </row>
    <row r="243" spans="1:47" x14ac:dyDescent="0.3">
      <c r="A243" s="1" t="s">
        <v>698</v>
      </c>
      <c r="B243" s="1" t="s">
        <v>697</v>
      </c>
      <c r="C243" s="1" t="s">
        <v>90</v>
      </c>
      <c r="D243" s="1" t="s">
        <v>52</v>
      </c>
      <c r="E243" s="1" t="s">
        <v>518</v>
      </c>
      <c r="F243" t="s">
        <v>3058</v>
      </c>
      <c r="G243" t="s">
        <v>3066</v>
      </c>
      <c r="H243" t="s">
        <v>3181</v>
      </c>
      <c r="I243" t="s">
        <v>52</v>
      </c>
      <c r="J243" t="s">
        <v>52</v>
      </c>
      <c r="K243" t="s">
        <v>52</v>
      </c>
      <c r="L243" s="2">
        <v>1</v>
      </c>
      <c r="M243" s="2">
        <v>1</v>
      </c>
      <c r="N243" s="2">
        <v>1</v>
      </c>
      <c r="O243" s="2">
        <v>1</v>
      </c>
      <c r="P243" s="2">
        <v>1</v>
      </c>
      <c r="Q243" s="2">
        <v>2</v>
      </c>
      <c r="R243" s="2">
        <v>1</v>
      </c>
      <c r="S243" s="2">
        <v>1</v>
      </c>
      <c r="T243" s="2">
        <v>0</v>
      </c>
      <c r="U243" s="2">
        <v>1</v>
      </c>
      <c r="V243" s="2">
        <v>1</v>
      </c>
      <c r="W243" s="2">
        <v>1</v>
      </c>
      <c r="X243" s="2">
        <v>1</v>
      </c>
      <c r="Y243" s="2">
        <v>1</v>
      </c>
      <c r="Z243" s="2">
        <v>1</v>
      </c>
      <c r="AA243" s="2">
        <v>1</v>
      </c>
      <c r="AB243" s="2">
        <v>1</v>
      </c>
      <c r="AC243" s="2">
        <v>1</v>
      </c>
      <c r="AD243" s="2">
        <v>10</v>
      </c>
      <c r="AE243" s="2">
        <v>10240</v>
      </c>
      <c r="AF243" s="2">
        <v>140</v>
      </c>
      <c r="AG243" s="2">
        <v>540</v>
      </c>
      <c r="AH243" s="2">
        <v>30</v>
      </c>
      <c r="AI243" s="2">
        <v>10</v>
      </c>
      <c r="AJ243" s="1">
        <v>800000</v>
      </c>
      <c r="AK243" s="1">
        <v>1.5</v>
      </c>
      <c r="AL243" s="1">
        <v>255</v>
      </c>
      <c r="AM243" s="2">
        <v>0</v>
      </c>
      <c r="AN243" s="2">
        <f t="shared" si="3"/>
        <v>100</v>
      </c>
      <c r="AO243" s="3">
        <v>242</v>
      </c>
      <c r="AP243" s="3">
        <v>75</v>
      </c>
      <c r="AQ243" s="3">
        <v>135</v>
      </c>
      <c r="AR243" s="3">
        <v>55</v>
      </c>
      <c r="AS243" s="1">
        <v>46.8</v>
      </c>
      <c r="AT243" s="3">
        <v>2</v>
      </c>
      <c r="AU243" s="3" t="s">
        <v>3051</v>
      </c>
    </row>
    <row r="244" spans="1:47" x14ac:dyDescent="0.3">
      <c r="A244" s="1" t="s">
        <v>701</v>
      </c>
      <c r="B244" s="1" t="s">
        <v>700</v>
      </c>
      <c r="C244" s="1" t="s">
        <v>115</v>
      </c>
      <c r="D244" s="1" t="s">
        <v>52</v>
      </c>
      <c r="E244" s="1" t="s">
        <v>699</v>
      </c>
      <c r="F244" t="s">
        <v>3067</v>
      </c>
      <c r="G244" t="s">
        <v>3126</v>
      </c>
      <c r="H244" t="s">
        <v>52</v>
      </c>
      <c r="I244" t="s">
        <v>52</v>
      </c>
      <c r="J244" t="s">
        <v>52</v>
      </c>
      <c r="K244" t="s">
        <v>52</v>
      </c>
      <c r="L244" s="2">
        <v>1</v>
      </c>
      <c r="M244" s="2">
        <v>1</v>
      </c>
      <c r="N244" s="2">
        <v>1</v>
      </c>
      <c r="O244" s="2">
        <v>0.5</v>
      </c>
      <c r="P244" s="2">
        <v>1</v>
      </c>
      <c r="Q244" s="2">
        <v>1</v>
      </c>
      <c r="R244" s="2">
        <v>1</v>
      </c>
      <c r="S244" s="2">
        <v>0.5</v>
      </c>
      <c r="T244" s="2">
        <v>1</v>
      </c>
      <c r="U244" s="2">
        <v>1</v>
      </c>
      <c r="V244" s="2">
        <v>2</v>
      </c>
      <c r="W244" s="2">
        <v>1</v>
      </c>
      <c r="X244" s="2">
        <v>1</v>
      </c>
      <c r="Y244" s="2">
        <v>1</v>
      </c>
      <c r="Z244" s="2">
        <v>1</v>
      </c>
      <c r="AA244" s="2">
        <v>1</v>
      </c>
      <c r="AB244" s="2">
        <v>0.5</v>
      </c>
      <c r="AC244" s="2">
        <v>1</v>
      </c>
      <c r="AD244" s="2">
        <v>85</v>
      </c>
      <c r="AE244" s="2">
        <v>20480</v>
      </c>
      <c r="AF244" s="2">
        <v>35</v>
      </c>
      <c r="AG244" s="2">
        <v>580</v>
      </c>
      <c r="AH244" s="2">
        <v>3</v>
      </c>
      <c r="AI244" s="2">
        <v>75</v>
      </c>
      <c r="AJ244" s="1">
        <v>1250000</v>
      </c>
      <c r="AK244" s="1">
        <v>1.9</v>
      </c>
      <c r="AL244" s="1">
        <v>90</v>
      </c>
      <c r="AM244" s="2" t="s">
        <v>52</v>
      </c>
      <c r="AN244" s="2" t="str">
        <f t="shared" si="3"/>
        <v/>
      </c>
      <c r="AO244" s="3">
        <v>243</v>
      </c>
      <c r="AP244" s="3">
        <v>115</v>
      </c>
      <c r="AQ244" s="3">
        <v>100</v>
      </c>
      <c r="AR244" s="3">
        <v>115</v>
      </c>
      <c r="AS244" s="1">
        <v>178</v>
      </c>
      <c r="AT244" s="3">
        <v>2</v>
      </c>
      <c r="AU244" s="3" t="s">
        <v>3052</v>
      </c>
    </row>
    <row r="245" spans="1:47" x14ac:dyDescent="0.3">
      <c r="A245" s="1" t="s">
        <v>703</v>
      </c>
      <c r="B245" s="1" t="s">
        <v>702</v>
      </c>
      <c r="C245" s="1" t="s">
        <v>51</v>
      </c>
      <c r="D245" s="1" t="s">
        <v>52</v>
      </c>
      <c r="E245" s="1" t="s">
        <v>465</v>
      </c>
      <c r="F245" t="s">
        <v>3067</v>
      </c>
      <c r="G245" t="s">
        <v>3126</v>
      </c>
      <c r="H245" t="s">
        <v>52</v>
      </c>
      <c r="I245" t="s">
        <v>52</v>
      </c>
      <c r="J245" t="s">
        <v>52</v>
      </c>
      <c r="K245" t="s">
        <v>52</v>
      </c>
      <c r="L245" s="2">
        <v>0.5</v>
      </c>
      <c r="M245" s="2">
        <v>1</v>
      </c>
      <c r="N245" s="2">
        <v>1</v>
      </c>
      <c r="O245" s="2">
        <v>1</v>
      </c>
      <c r="P245" s="2">
        <v>0.5</v>
      </c>
      <c r="Q245" s="2">
        <v>1</v>
      </c>
      <c r="R245" s="2">
        <v>0.5</v>
      </c>
      <c r="S245" s="2">
        <v>1</v>
      </c>
      <c r="T245" s="2">
        <v>1</v>
      </c>
      <c r="U245" s="2">
        <v>0.5</v>
      </c>
      <c r="V245" s="2">
        <v>2</v>
      </c>
      <c r="W245" s="2">
        <v>0.5</v>
      </c>
      <c r="X245" s="2">
        <v>1</v>
      </c>
      <c r="Y245" s="2">
        <v>1</v>
      </c>
      <c r="Z245" s="2">
        <v>1</v>
      </c>
      <c r="AA245" s="2">
        <v>2</v>
      </c>
      <c r="AB245" s="2">
        <v>0.5</v>
      </c>
      <c r="AC245" s="2">
        <v>2</v>
      </c>
      <c r="AD245" s="2">
        <v>115</v>
      </c>
      <c r="AE245" s="2">
        <v>20480</v>
      </c>
      <c r="AF245" s="2">
        <v>35</v>
      </c>
      <c r="AG245" s="2">
        <v>580</v>
      </c>
      <c r="AH245" s="2">
        <v>3</v>
      </c>
      <c r="AI245" s="2">
        <v>85</v>
      </c>
      <c r="AJ245" s="1">
        <v>1250000</v>
      </c>
      <c r="AK245" s="1">
        <v>2.1</v>
      </c>
      <c r="AL245" s="1">
        <v>115</v>
      </c>
      <c r="AM245" s="2" t="s">
        <v>52</v>
      </c>
      <c r="AN245" s="2" t="str">
        <f t="shared" si="3"/>
        <v/>
      </c>
      <c r="AO245" s="3">
        <v>244</v>
      </c>
      <c r="AP245" s="3">
        <v>90</v>
      </c>
      <c r="AQ245" s="3">
        <v>75</v>
      </c>
      <c r="AR245" s="3">
        <v>100</v>
      </c>
      <c r="AS245" s="1">
        <v>198</v>
      </c>
      <c r="AT245" s="3">
        <v>2</v>
      </c>
      <c r="AU245" s="3" t="s">
        <v>3052</v>
      </c>
    </row>
    <row r="246" spans="1:47" x14ac:dyDescent="0.3">
      <c r="A246" s="1" t="s">
        <v>706</v>
      </c>
      <c r="B246" s="1" t="s">
        <v>705</v>
      </c>
      <c r="C246" s="1" t="s">
        <v>62</v>
      </c>
      <c r="D246" s="1" t="s">
        <v>52</v>
      </c>
      <c r="E246" s="1" t="s">
        <v>704</v>
      </c>
      <c r="F246" t="s">
        <v>3067</v>
      </c>
      <c r="G246" t="s">
        <v>3126</v>
      </c>
      <c r="H246" t="s">
        <v>52</v>
      </c>
      <c r="I246" t="s">
        <v>52</v>
      </c>
      <c r="J246" t="s">
        <v>52</v>
      </c>
      <c r="K246" t="s">
        <v>52</v>
      </c>
      <c r="L246" s="2">
        <v>1</v>
      </c>
      <c r="M246" s="2">
        <v>1</v>
      </c>
      <c r="N246" s="2">
        <v>1</v>
      </c>
      <c r="O246" s="2">
        <v>2</v>
      </c>
      <c r="P246" s="2">
        <v>1</v>
      </c>
      <c r="Q246" s="2">
        <v>1</v>
      </c>
      <c r="R246" s="2">
        <v>0.5</v>
      </c>
      <c r="S246" s="2">
        <v>1</v>
      </c>
      <c r="T246" s="2">
        <v>1</v>
      </c>
      <c r="U246" s="2">
        <v>2</v>
      </c>
      <c r="V246" s="2">
        <v>1</v>
      </c>
      <c r="W246" s="2">
        <v>0.5</v>
      </c>
      <c r="X246" s="2">
        <v>1</v>
      </c>
      <c r="Y246" s="2">
        <v>1</v>
      </c>
      <c r="Z246" s="2">
        <v>1</v>
      </c>
      <c r="AA246" s="2">
        <v>1</v>
      </c>
      <c r="AB246" s="2">
        <v>0.5</v>
      </c>
      <c r="AC246" s="2">
        <v>0.5</v>
      </c>
      <c r="AD246" s="2">
        <v>75</v>
      </c>
      <c r="AE246" s="2">
        <v>20480</v>
      </c>
      <c r="AF246" s="2">
        <v>35</v>
      </c>
      <c r="AG246" s="2">
        <v>580</v>
      </c>
      <c r="AH246" s="2">
        <v>3</v>
      </c>
      <c r="AI246" s="2">
        <v>115</v>
      </c>
      <c r="AJ246" s="1">
        <v>1250000</v>
      </c>
      <c r="AK246" s="1">
        <v>2</v>
      </c>
      <c r="AL246" s="1">
        <v>100</v>
      </c>
      <c r="AM246" s="2" t="s">
        <v>52</v>
      </c>
      <c r="AN246" s="2" t="str">
        <f t="shared" si="3"/>
        <v/>
      </c>
      <c r="AO246" s="3">
        <v>245</v>
      </c>
      <c r="AP246" s="3">
        <v>90</v>
      </c>
      <c r="AQ246" s="3">
        <v>115</v>
      </c>
      <c r="AR246" s="3">
        <v>85</v>
      </c>
      <c r="AS246" s="1">
        <v>187</v>
      </c>
      <c r="AT246" s="3">
        <v>2</v>
      </c>
      <c r="AU246" s="3" t="s">
        <v>3052</v>
      </c>
    </row>
    <row r="247" spans="1:47" x14ac:dyDescent="0.3">
      <c r="A247" s="1" t="s">
        <v>709</v>
      </c>
      <c r="B247" s="1" t="s">
        <v>708</v>
      </c>
      <c r="C247" s="1" t="s">
        <v>243</v>
      </c>
      <c r="D247" s="1" t="s">
        <v>120</v>
      </c>
      <c r="E247" s="1" t="s">
        <v>707</v>
      </c>
      <c r="F247" t="s">
        <v>3131</v>
      </c>
      <c r="G247" t="s">
        <v>3122</v>
      </c>
      <c r="H247" t="s">
        <v>52</v>
      </c>
      <c r="I247" t="s">
        <v>52</v>
      </c>
      <c r="J247" t="s">
        <v>52</v>
      </c>
      <c r="K247" t="s">
        <v>52</v>
      </c>
      <c r="L247" s="2">
        <v>1</v>
      </c>
      <c r="M247" s="2">
        <v>1</v>
      </c>
      <c r="N247" s="2">
        <v>1</v>
      </c>
      <c r="O247" s="2">
        <v>0</v>
      </c>
      <c r="P247" s="2">
        <v>1</v>
      </c>
      <c r="Q247" s="2">
        <v>2</v>
      </c>
      <c r="R247" s="2">
        <v>0.5</v>
      </c>
      <c r="S247" s="2">
        <v>0.5</v>
      </c>
      <c r="T247" s="2">
        <v>1</v>
      </c>
      <c r="U247" s="2">
        <v>4</v>
      </c>
      <c r="V247" s="2">
        <v>2</v>
      </c>
      <c r="W247" s="2">
        <v>2</v>
      </c>
      <c r="X247" s="2">
        <v>0.5</v>
      </c>
      <c r="Y247" s="2">
        <v>0.25</v>
      </c>
      <c r="Z247" s="2">
        <v>1</v>
      </c>
      <c r="AA247" s="2">
        <v>0.5</v>
      </c>
      <c r="AB247" s="2">
        <v>2</v>
      </c>
      <c r="AC247" s="2">
        <v>4</v>
      </c>
      <c r="AD247" s="2">
        <v>64</v>
      </c>
      <c r="AE247" s="2">
        <v>10240</v>
      </c>
      <c r="AF247" s="2">
        <v>35</v>
      </c>
      <c r="AG247" s="2">
        <v>300</v>
      </c>
      <c r="AH247" s="2">
        <v>45</v>
      </c>
      <c r="AI247" s="2">
        <v>50</v>
      </c>
      <c r="AJ247" s="1">
        <v>1250000</v>
      </c>
      <c r="AK247" s="1">
        <v>0.6</v>
      </c>
      <c r="AL247" s="1">
        <v>50</v>
      </c>
      <c r="AM247" s="2">
        <v>50</v>
      </c>
      <c r="AN247" s="2">
        <f t="shared" si="3"/>
        <v>50</v>
      </c>
      <c r="AO247" s="3">
        <v>246</v>
      </c>
      <c r="AP247" s="3">
        <v>45</v>
      </c>
      <c r="AQ247" s="3">
        <v>50</v>
      </c>
      <c r="AR247" s="3">
        <v>41</v>
      </c>
      <c r="AS247" s="1">
        <v>72</v>
      </c>
      <c r="AT247" s="3">
        <v>2</v>
      </c>
      <c r="AU247" s="3" t="s">
        <v>3051</v>
      </c>
    </row>
    <row r="248" spans="1:47" x14ac:dyDescent="0.3">
      <c r="A248" s="1" t="s">
        <v>712</v>
      </c>
      <c r="B248" s="1" t="s">
        <v>711</v>
      </c>
      <c r="C248" s="1" t="s">
        <v>243</v>
      </c>
      <c r="D248" s="1" t="s">
        <v>120</v>
      </c>
      <c r="E248" s="1" t="s">
        <v>710</v>
      </c>
      <c r="F248" t="s">
        <v>3054</v>
      </c>
      <c r="G248" t="s">
        <v>52</v>
      </c>
      <c r="H248" t="s">
        <v>52</v>
      </c>
      <c r="I248" t="s">
        <v>52</v>
      </c>
      <c r="J248" t="s">
        <v>52</v>
      </c>
      <c r="K248" t="s">
        <v>52</v>
      </c>
      <c r="L248" s="2">
        <v>1</v>
      </c>
      <c r="M248" s="2">
        <v>1</v>
      </c>
      <c r="N248" s="2">
        <v>1</v>
      </c>
      <c r="O248" s="2">
        <v>0</v>
      </c>
      <c r="P248" s="2">
        <v>1</v>
      </c>
      <c r="Q248" s="2">
        <v>2</v>
      </c>
      <c r="R248" s="2">
        <v>0.5</v>
      </c>
      <c r="S248" s="2">
        <v>0.5</v>
      </c>
      <c r="T248" s="2">
        <v>1</v>
      </c>
      <c r="U248" s="2">
        <v>4</v>
      </c>
      <c r="V248" s="2">
        <v>2</v>
      </c>
      <c r="W248" s="2">
        <v>2</v>
      </c>
      <c r="X248" s="2">
        <v>0.5</v>
      </c>
      <c r="Y248" s="2">
        <v>0.25</v>
      </c>
      <c r="Z248" s="2">
        <v>1</v>
      </c>
      <c r="AA248" s="2">
        <v>0.5</v>
      </c>
      <c r="AB248" s="2">
        <v>2</v>
      </c>
      <c r="AC248" s="2">
        <v>4</v>
      </c>
      <c r="AD248" s="2">
        <v>84</v>
      </c>
      <c r="AE248" s="2">
        <v>10240</v>
      </c>
      <c r="AF248" s="2">
        <v>35</v>
      </c>
      <c r="AG248" s="2">
        <v>410</v>
      </c>
      <c r="AH248" s="2">
        <v>45</v>
      </c>
      <c r="AI248" s="2">
        <v>70</v>
      </c>
      <c r="AJ248" s="1">
        <v>1250000</v>
      </c>
      <c r="AK248" s="1">
        <v>1.2</v>
      </c>
      <c r="AL248" s="1">
        <v>70</v>
      </c>
      <c r="AM248" s="2">
        <v>50</v>
      </c>
      <c r="AN248" s="2">
        <f t="shared" si="3"/>
        <v>50</v>
      </c>
      <c r="AO248" s="3">
        <v>247</v>
      </c>
      <c r="AP248" s="3">
        <v>65</v>
      </c>
      <c r="AQ248" s="3">
        <v>70</v>
      </c>
      <c r="AR248" s="3">
        <v>51</v>
      </c>
      <c r="AS248" s="1">
        <v>152</v>
      </c>
      <c r="AT248" s="3">
        <v>2</v>
      </c>
      <c r="AU248" s="3" t="s">
        <v>3051</v>
      </c>
    </row>
    <row r="249" spans="1:47" x14ac:dyDescent="0.3">
      <c r="A249" s="1" t="s">
        <v>714</v>
      </c>
      <c r="B249" s="1" t="s">
        <v>713</v>
      </c>
      <c r="C249" s="1" t="s">
        <v>243</v>
      </c>
      <c r="D249" s="1" t="s">
        <v>99</v>
      </c>
      <c r="E249" s="1" t="s">
        <v>669</v>
      </c>
      <c r="F249" t="s">
        <v>3153</v>
      </c>
      <c r="G249" t="s">
        <v>3228</v>
      </c>
      <c r="H249" t="s">
        <v>52</v>
      </c>
      <c r="I249" t="s">
        <v>52</v>
      </c>
      <c r="J249" t="s">
        <v>52</v>
      </c>
      <c r="K249" t="s">
        <v>52</v>
      </c>
      <c r="L249" s="2">
        <v>2</v>
      </c>
      <c r="M249" s="2">
        <v>0.5</v>
      </c>
      <c r="N249" s="2">
        <v>1</v>
      </c>
      <c r="O249" s="2">
        <v>1</v>
      </c>
      <c r="P249" s="2">
        <v>2</v>
      </c>
      <c r="Q249" s="2">
        <v>4</v>
      </c>
      <c r="R249" s="2">
        <v>0.5</v>
      </c>
      <c r="S249" s="2">
        <v>0.5</v>
      </c>
      <c r="T249" s="2">
        <v>0.5</v>
      </c>
      <c r="U249" s="2">
        <v>2</v>
      </c>
      <c r="V249" s="2">
        <v>2</v>
      </c>
      <c r="W249" s="2">
        <v>1</v>
      </c>
      <c r="X249" s="2">
        <v>0.5</v>
      </c>
      <c r="Y249" s="2">
        <v>0.5</v>
      </c>
      <c r="Z249" s="2">
        <v>0</v>
      </c>
      <c r="AA249" s="2">
        <v>1</v>
      </c>
      <c r="AB249" s="2">
        <v>2</v>
      </c>
      <c r="AC249" s="2">
        <v>2</v>
      </c>
      <c r="AD249" s="2">
        <v>164</v>
      </c>
      <c r="AE249" s="2">
        <v>10240</v>
      </c>
      <c r="AF249" s="2">
        <v>35</v>
      </c>
      <c r="AG249" s="2">
        <v>700</v>
      </c>
      <c r="AH249" s="2">
        <v>45</v>
      </c>
      <c r="AI249" s="2">
        <v>150</v>
      </c>
      <c r="AJ249" s="1">
        <v>1250000</v>
      </c>
      <c r="AK249" s="1">
        <v>2</v>
      </c>
      <c r="AL249" s="1">
        <v>100</v>
      </c>
      <c r="AM249" s="2">
        <v>50</v>
      </c>
      <c r="AN249" s="2">
        <f t="shared" si="3"/>
        <v>50</v>
      </c>
      <c r="AO249" s="3">
        <v>248</v>
      </c>
      <c r="AP249" s="3">
        <v>95</v>
      </c>
      <c r="AQ249" s="3">
        <v>120</v>
      </c>
      <c r="AR249" s="3">
        <v>71</v>
      </c>
      <c r="AS249" s="1">
        <v>202</v>
      </c>
      <c r="AT249" s="3">
        <v>2</v>
      </c>
      <c r="AU249" s="3" t="s">
        <v>3051</v>
      </c>
    </row>
    <row r="250" spans="1:47" x14ac:dyDescent="0.3">
      <c r="A250" s="1" t="s">
        <v>717</v>
      </c>
      <c r="B250" s="1" t="s">
        <v>716</v>
      </c>
      <c r="C250" s="1" t="s">
        <v>216</v>
      </c>
      <c r="D250" s="1" t="s">
        <v>58</v>
      </c>
      <c r="E250" s="1" t="s">
        <v>715</v>
      </c>
      <c r="F250" t="s">
        <v>3067</v>
      </c>
      <c r="G250" t="s">
        <v>3255</v>
      </c>
      <c r="H250" t="s">
        <v>52</v>
      </c>
      <c r="I250" t="s">
        <v>52</v>
      </c>
      <c r="J250" t="s">
        <v>52</v>
      </c>
      <c r="K250" t="s">
        <v>52</v>
      </c>
      <c r="L250" s="2">
        <v>1</v>
      </c>
      <c r="M250" s="2">
        <v>2</v>
      </c>
      <c r="N250" s="2">
        <v>1</v>
      </c>
      <c r="O250" s="2">
        <v>2</v>
      </c>
      <c r="P250" s="2">
        <v>1</v>
      </c>
      <c r="Q250" s="2">
        <v>0.25</v>
      </c>
      <c r="R250" s="2">
        <v>1</v>
      </c>
      <c r="S250" s="2">
        <v>1</v>
      </c>
      <c r="T250" s="2">
        <v>2</v>
      </c>
      <c r="U250" s="2">
        <v>0.5</v>
      </c>
      <c r="V250" s="2">
        <v>0</v>
      </c>
      <c r="W250" s="2">
        <v>2</v>
      </c>
      <c r="X250" s="2">
        <v>1</v>
      </c>
      <c r="Y250" s="2">
        <v>1</v>
      </c>
      <c r="Z250" s="2">
        <v>0.5</v>
      </c>
      <c r="AA250" s="2">
        <v>2</v>
      </c>
      <c r="AB250" s="2">
        <v>1</v>
      </c>
      <c r="AC250" s="2">
        <v>1</v>
      </c>
      <c r="AD250" s="2">
        <v>90</v>
      </c>
      <c r="AE250" s="2">
        <v>30720</v>
      </c>
      <c r="AF250" s="2">
        <v>0</v>
      </c>
      <c r="AG250" s="2">
        <v>680</v>
      </c>
      <c r="AH250" s="2">
        <v>3</v>
      </c>
      <c r="AI250" s="2">
        <v>130</v>
      </c>
      <c r="AJ250" s="1">
        <v>1250000</v>
      </c>
      <c r="AK250" s="1">
        <v>5.2</v>
      </c>
      <c r="AL250" s="1">
        <v>106</v>
      </c>
      <c r="AM250" s="2" t="s">
        <v>52</v>
      </c>
      <c r="AN250" s="2" t="str">
        <f t="shared" si="3"/>
        <v/>
      </c>
      <c r="AO250" s="3">
        <v>249</v>
      </c>
      <c r="AP250" s="3">
        <v>90</v>
      </c>
      <c r="AQ250" s="3">
        <v>154</v>
      </c>
      <c r="AR250" s="3">
        <v>110</v>
      </c>
      <c r="AS250" s="1">
        <v>216</v>
      </c>
      <c r="AT250" s="3">
        <v>2</v>
      </c>
      <c r="AU250" s="3" t="s">
        <v>3052</v>
      </c>
    </row>
    <row r="251" spans="1:47" x14ac:dyDescent="0.3">
      <c r="A251" s="1" t="s">
        <v>720</v>
      </c>
      <c r="B251" s="1" t="s">
        <v>719</v>
      </c>
      <c r="C251" s="1" t="s">
        <v>51</v>
      </c>
      <c r="D251" s="1" t="s">
        <v>58</v>
      </c>
      <c r="E251" s="1" t="s">
        <v>718</v>
      </c>
      <c r="F251" t="s">
        <v>3067</v>
      </c>
      <c r="G251" t="s">
        <v>3242</v>
      </c>
      <c r="H251" t="s">
        <v>52</v>
      </c>
      <c r="I251" t="s">
        <v>52</v>
      </c>
      <c r="J251" t="s">
        <v>52</v>
      </c>
      <c r="K251" t="s">
        <v>52</v>
      </c>
      <c r="L251" s="2">
        <v>0.25</v>
      </c>
      <c r="M251" s="2">
        <v>1</v>
      </c>
      <c r="N251" s="2">
        <v>1</v>
      </c>
      <c r="O251" s="2">
        <v>2</v>
      </c>
      <c r="P251" s="2">
        <v>0.5</v>
      </c>
      <c r="Q251" s="2">
        <v>0.5</v>
      </c>
      <c r="R251" s="2">
        <v>0.5</v>
      </c>
      <c r="S251" s="2">
        <v>1</v>
      </c>
      <c r="T251" s="2">
        <v>1</v>
      </c>
      <c r="U251" s="2">
        <v>0.25</v>
      </c>
      <c r="V251" s="2">
        <v>0</v>
      </c>
      <c r="W251" s="2">
        <v>1</v>
      </c>
      <c r="X251" s="2">
        <v>1</v>
      </c>
      <c r="Y251" s="2">
        <v>1</v>
      </c>
      <c r="Z251" s="2">
        <v>1</v>
      </c>
      <c r="AA251" s="2">
        <v>4</v>
      </c>
      <c r="AB251" s="2">
        <v>0.5</v>
      </c>
      <c r="AC251" s="2">
        <v>2</v>
      </c>
      <c r="AD251" s="2">
        <v>130</v>
      </c>
      <c r="AE251" s="2">
        <v>30720</v>
      </c>
      <c r="AF251" s="2">
        <v>0</v>
      </c>
      <c r="AG251" s="2">
        <v>680</v>
      </c>
      <c r="AH251" s="2">
        <v>3</v>
      </c>
      <c r="AI251" s="2">
        <v>90</v>
      </c>
      <c r="AJ251" s="1">
        <v>1250000</v>
      </c>
      <c r="AK251" s="1">
        <v>3.8</v>
      </c>
      <c r="AL251" s="1">
        <v>106</v>
      </c>
      <c r="AM251" s="2" t="s">
        <v>52</v>
      </c>
      <c r="AN251" s="2" t="str">
        <f t="shared" si="3"/>
        <v/>
      </c>
      <c r="AO251" s="3">
        <v>250</v>
      </c>
      <c r="AP251" s="3">
        <v>110</v>
      </c>
      <c r="AQ251" s="3">
        <v>154</v>
      </c>
      <c r="AR251" s="3">
        <v>90</v>
      </c>
      <c r="AS251" s="1">
        <v>199</v>
      </c>
      <c r="AT251" s="3">
        <v>2</v>
      </c>
      <c r="AU251" s="3" t="s">
        <v>3052</v>
      </c>
    </row>
    <row r="252" spans="1:47" x14ac:dyDescent="0.3">
      <c r="A252" s="1" t="s">
        <v>723</v>
      </c>
      <c r="B252" s="1" t="s">
        <v>722</v>
      </c>
      <c r="C252" s="1" t="s">
        <v>216</v>
      </c>
      <c r="D252" s="1" t="s">
        <v>42</v>
      </c>
      <c r="E252" s="1" t="s">
        <v>721</v>
      </c>
      <c r="F252" t="s">
        <v>3058</v>
      </c>
      <c r="G252" t="s">
        <v>52</v>
      </c>
      <c r="H252" t="s">
        <v>52</v>
      </c>
      <c r="I252" t="s">
        <v>52</v>
      </c>
      <c r="J252" t="s">
        <v>52</v>
      </c>
      <c r="K252" t="s">
        <v>52</v>
      </c>
      <c r="L252" s="2">
        <v>4</v>
      </c>
      <c r="M252" s="2">
        <v>2</v>
      </c>
      <c r="N252" s="2">
        <v>1</v>
      </c>
      <c r="O252" s="2">
        <v>0.5</v>
      </c>
      <c r="P252" s="2">
        <v>1</v>
      </c>
      <c r="Q252" s="2">
        <v>0.5</v>
      </c>
      <c r="R252" s="2">
        <v>2</v>
      </c>
      <c r="S252" s="2">
        <v>2</v>
      </c>
      <c r="T252" s="2">
        <v>2</v>
      </c>
      <c r="U252" s="2">
        <v>0.5</v>
      </c>
      <c r="V252" s="2">
        <v>0.5</v>
      </c>
      <c r="W252" s="2">
        <v>2</v>
      </c>
      <c r="X252" s="2">
        <v>1</v>
      </c>
      <c r="Y252" s="2">
        <v>2</v>
      </c>
      <c r="Z252" s="2">
        <v>0.5</v>
      </c>
      <c r="AA252" s="2">
        <v>1</v>
      </c>
      <c r="AB252" s="2">
        <v>1</v>
      </c>
      <c r="AC252" s="2">
        <v>0.5</v>
      </c>
      <c r="AD252" s="2">
        <v>100</v>
      </c>
      <c r="AE252" s="2">
        <v>30720</v>
      </c>
      <c r="AF252" s="2">
        <v>100</v>
      </c>
      <c r="AG252" s="2">
        <v>600</v>
      </c>
      <c r="AH252" s="2">
        <v>45</v>
      </c>
      <c r="AI252" s="2">
        <v>100</v>
      </c>
      <c r="AJ252" s="1">
        <v>1059860</v>
      </c>
      <c r="AK252" s="1">
        <v>0.6</v>
      </c>
      <c r="AL252" s="1">
        <v>100</v>
      </c>
      <c r="AM252" s="2" t="s">
        <v>52</v>
      </c>
      <c r="AN252" s="2" t="str">
        <f t="shared" si="3"/>
        <v/>
      </c>
      <c r="AO252" s="3">
        <v>251</v>
      </c>
      <c r="AP252" s="3">
        <v>100</v>
      </c>
      <c r="AQ252" s="3">
        <v>100</v>
      </c>
      <c r="AR252" s="3">
        <v>100</v>
      </c>
      <c r="AS252" s="1">
        <v>5</v>
      </c>
      <c r="AT252" s="3">
        <v>2</v>
      </c>
      <c r="AU252" s="3" t="s">
        <v>3052</v>
      </c>
    </row>
    <row r="253" spans="1:47" x14ac:dyDescent="0.3">
      <c r="A253" s="1" t="s">
        <v>726</v>
      </c>
      <c r="B253" s="1" t="s">
        <v>725</v>
      </c>
      <c r="C253" s="1" t="s">
        <v>42</v>
      </c>
      <c r="D253" s="1" t="s">
        <v>52</v>
      </c>
      <c r="E253" s="1" t="s">
        <v>724</v>
      </c>
      <c r="F253" t="s">
        <v>3113</v>
      </c>
      <c r="G253" t="s">
        <v>3249</v>
      </c>
      <c r="H253" t="s">
        <v>52</v>
      </c>
      <c r="I253" t="s">
        <v>52</v>
      </c>
      <c r="J253" t="s">
        <v>52</v>
      </c>
      <c r="K253" t="s">
        <v>52</v>
      </c>
      <c r="L253" s="2">
        <v>2</v>
      </c>
      <c r="M253" s="2">
        <v>1</v>
      </c>
      <c r="N253" s="2">
        <v>1</v>
      </c>
      <c r="O253" s="2">
        <v>0.5</v>
      </c>
      <c r="P253" s="2">
        <v>1</v>
      </c>
      <c r="Q253" s="2">
        <v>1</v>
      </c>
      <c r="R253" s="2">
        <v>2</v>
      </c>
      <c r="S253" s="2">
        <v>2</v>
      </c>
      <c r="T253" s="2">
        <v>1</v>
      </c>
      <c r="U253" s="2">
        <v>0.5</v>
      </c>
      <c r="V253" s="2">
        <v>0.5</v>
      </c>
      <c r="W253" s="2">
        <v>2</v>
      </c>
      <c r="X253" s="2">
        <v>1</v>
      </c>
      <c r="Y253" s="2">
        <v>2</v>
      </c>
      <c r="Z253" s="2">
        <v>1</v>
      </c>
      <c r="AA253" s="2">
        <v>1</v>
      </c>
      <c r="AB253" s="2">
        <v>1</v>
      </c>
      <c r="AC253" s="2">
        <v>0.5</v>
      </c>
      <c r="AD253" s="2">
        <v>45</v>
      </c>
      <c r="AE253" s="2">
        <v>5120</v>
      </c>
      <c r="AF253" s="2">
        <v>70</v>
      </c>
      <c r="AG253" s="2">
        <v>310</v>
      </c>
      <c r="AH253" s="2">
        <v>45</v>
      </c>
      <c r="AI253" s="2">
        <v>35</v>
      </c>
      <c r="AJ253" s="1">
        <v>1059860</v>
      </c>
      <c r="AK253" s="1">
        <v>0.5</v>
      </c>
      <c r="AL253" s="1">
        <v>40</v>
      </c>
      <c r="AM253" s="2">
        <v>88.1</v>
      </c>
      <c r="AN253" s="2">
        <f t="shared" si="3"/>
        <v>11.900000000000006</v>
      </c>
      <c r="AO253" s="3">
        <v>252</v>
      </c>
      <c r="AP253" s="3">
        <v>65</v>
      </c>
      <c r="AQ253" s="3">
        <v>55</v>
      </c>
      <c r="AR253" s="3">
        <v>70</v>
      </c>
      <c r="AS253" s="1">
        <v>5</v>
      </c>
      <c r="AT253" s="3">
        <v>3</v>
      </c>
      <c r="AU253" s="3" t="s">
        <v>3051</v>
      </c>
    </row>
    <row r="254" spans="1:47" x14ac:dyDescent="0.3">
      <c r="A254" s="1" t="s">
        <v>728</v>
      </c>
      <c r="B254" s="1" t="s">
        <v>727</v>
      </c>
      <c r="C254" s="1" t="s">
        <v>42</v>
      </c>
      <c r="D254" s="1" t="s">
        <v>52</v>
      </c>
      <c r="E254" s="1" t="s">
        <v>724</v>
      </c>
      <c r="F254" t="s">
        <v>3113</v>
      </c>
      <c r="G254" t="s">
        <v>3249</v>
      </c>
      <c r="H254" t="s">
        <v>52</v>
      </c>
      <c r="I254" t="s">
        <v>52</v>
      </c>
      <c r="J254" t="s">
        <v>52</v>
      </c>
      <c r="K254" t="s">
        <v>52</v>
      </c>
      <c r="L254" s="2">
        <v>2</v>
      </c>
      <c r="M254" s="2">
        <v>1</v>
      </c>
      <c r="N254" s="2">
        <v>1</v>
      </c>
      <c r="O254" s="2">
        <v>0.5</v>
      </c>
      <c r="P254" s="2">
        <v>1</v>
      </c>
      <c r="Q254" s="2">
        <v>1</v>
      </c>
      <c r="R254" s="2">
        <v>2</v>
      </c>
      <c r="S254" s="2">
        <v>2</v>
      </c>
      <c r="T254" s="2">
        <v>1</v>
      </c>
      <c r="U254" s="2">
        <v>0.5</v>
      </c>
      <c r="V254" s="2">
        <v>0.5</v>
      </c>
      <c r="W254" s="2">
        <v>2</v>
      </c>
      <c r="X254" s="2">
        <v>1</v>
      </c>
      <c r="Y254" s="2">
        <v>2</v>
      </c>
      <c r="Z254" s="2">
        <v>1</v>
      </c>
      <c r="AA254" s="2">
        <v>1</v>
      </c>
      <c r="AB254" s="2">
        <v>1</v>
      </c>
      <c r="AC254" s="2">
        <v>0.5</v>
      </c>
      <c r="AD254" s="2">
        <v>65</v>
      </c>
      <c r="AE254" s="2">
        <v>5120</v>
      </c>
      <c r="AF254" s="2">
        <v>70</v>
      </c>
      <c r="AG254" s="2">
        <v>405</v>
      </c>
      <c r="AH254" s="2">
        <v>45</v>
      </c>
      <c r="AI254" s="2">
        <v>45</v>
      </c>
      <c r="AJ254" s="1">
        <v>1059860</v>
      </c>
      <c r="AK254" s="1">
        <v>0.9</v>
      </c>
      <c r="AL254" s="1">
        <v>50</v>
      </c>
      <c r="AM254" s="2">
        <v>88.1</v>
      </c>
      <c r="AN254" s="2">
        <f t="shared" si="3"/>
        <v>11.900000000000006</v>
      </c>
      <c r="AO254" s="3">
        <v>253</v>
      </c>
      <c r="AP254" s="3">
        <v>85</v>
      </c>
      <c r="AQ254" s="3">
        <v>65</v>
      </c>
      <c r="AR254" s="3">
        <v>95</v>
      </c>
      <c r="AS254" s="1">
        <v>21.6</v>
      </c>
      <c r="AT254" s="3">
        <v>3</v>
      </c>
      <c r="AU254" s="3" t="s">
        <v>3051</v>
      </c>
    </row>
    <row r="255" spans="1:47" x14ac:dyDescent="0.3">
      <c r="A255" s="1" t="s">
        <v>731</v>
      </c>
      <c r="B255" s="1" t="s">
        <v>730</v>
      </c>
      <c r="C255" s="1" t="s">
        <v>42</v>
      </c>
      <c r="D255" s="1" t="s">
        <v>52</v>
      </c>
      <c r="E255" s="1" t="s">
        <v>729</v>
      </c>
      <c r="F255" t="s">
        <v>3113</v>
      </c>
      <c r="G255" t="s">
        <v>3249</v>
      </c>
      <c r="H255" t="s">
        <v>52</v>
      </c>
      <c r="I255" t="s">
        <v>52</v>
      </c>
      <c r="J255" t="s">
        <v>52</v>
      </c>
      <c r="K255" t="s">
        <v>52</v>
      </c>
      <c r="L255" s="2">
        <v>2</v>
      </c>
      <c r="M255" s="2">
        <v>1</v>
      </c>
      <c r="N255" s="2">
        <v>1</v>
      </c>
      <c r="O255" s="2">
        <v>0.5</v>
      </c>
      <c r="P255" s="2">
        <v>1</v>
      </c>
      <c r="Q255" s="2">
        <v>1</v>
      </c>
      <c r="R255" s="2">
        <v>2</v>
      </c>
      <c r="S255" s="2">
        <v>2</v>
      </c>
      <c r="T255" s="2">
        <v>1</v>
      </c>
      <c r="U255" s="2">
        <v>0.5</v>
      </c>
      <c r="V255" s="2">
        <v>0.5</v>
      </c>
      <c r="W255" s="2">
        <v>2</v>
      </c>
      <c r="X255" s="2">
        <v>1</v>
      </c>
      <c r="Y255" s="2">
        <v>2</v>
      </c>
      <c r="Z255" s="2">
        <v>1</v>
      </c>
      <c r="AA255" s="2">
        <v>1</v>
      </c>
      <c r="AB255" s="2">
        <v>1</v>
      </c>
      <c r="AC255" s="2">
        <v>0.5</v>
      </c>
      <c r="AD255" s="2">
        <v>110</v>
      </c>
      <c r="AE255" s="2">
        <v>5120</v>
      </c>
      <c r="AF255" s="2">
        <v>70</v>
      </c>
      <c r="AG255" s="2">
        <v>630</v>
      </c>
      <c r="AH255" s="2">
        <v>45</v>
      </c>
      <c r="AI255" s="2">
        <v>75</v>
      </c>
      <c r="AJ255" s="1">
        <v>1059860</v>
      </c>
      <c r="AK255" s="1">
        <v>1.7</v>
      </c>
      <c r="AL255" s="1">
        <v>70</v>
      </c>
      <c r="AM255" s="2">
        <v>88.1</v>
      </c>
      <c r="AN255" s="2">
        <f t="shared" si="3"/>
        <v>11.900000000000006</v>
      </c>
      <c r="AO255" s="3">
        <v>254</v>
      </c>
      <c r="AP255" s="3">
        <v>145</v>
      </c>
      <c r="AQ255" s="3">
        <v>85</v>
      </c>
      <c r="AR255" s="3">
        <v>145</v>
      </c>
      <c r="AS255" s="1">
        <v>52.2</v>
      </c>
      <c r="AT255" s="3">
        <v>3</v>
      </c>
      <c r="AU255" s="3" t="s">
        <v>3051</v>
      </c>
    </row>
    <row r="256" spans="1:47" x14ac:dyDescent="0.3">
      <c r="A256" s="1" t="s">
        <v>734</v>
      </c>
      <c r="B256" s="1" t="s">
        <v>733</v>
      </c>
      <c r="C256" s="1" t="s">
        <v>51</v>
      </c>
      <c r="D256" s="1" t="s">
        <v>52</v>
      </c>
      <c r="E256" s="1" t="s">
        <v>732</v>
      </c>
      <c r="F256" t="s">
        <v>3114</v>
      </c>
      <c r="G256" t="s">
        <v>3149</v>
      </c>
      <c r="H256" t="s">
        <v>52</v>
      </c>
      <c r="I256" t="s">
        <v>52</v>
      </c>
      <c r="J256" t="s">
        <v>52</v>
      </c>
      <c r="K256" t="s">
        <v>52</v>
      </c>
      <c r="L256" s="2">
        <v>0.5</v>
      </c>
      <c r="M256" s="2">
        <v>1</v>
      </c>
      <c r="N256" s="2">
        <v>1</v>
      </c>
      <c r="O256" s="2">
        <v>1</v>
      </c>
      <c r="P256" s="2">
        <v>0.5</v>
      </c>
      <c r="Q256" s="2">
        <v>1</v>
      </c>
      <c r="R256" s="2">
        <v>0.5</v>
      </c>
      <c r="S256" s="2">
        <v>1</v>
      </c>
      <c r="T256" s="2">
        <v>1</v>
      </c>
      <c r="U256" s="2">
        <v>0.5</v>
      </c>
      <c r="V256" s="2">
        <v>2</v>
      </c>
      <c r="W256" s="2">
        <v>0.5</v>
      </c>
      <c r="X256" s="2">
        <v>1</v>
      </c>
      <c r="Y256" s="2">
        <v>1</v>
      </c>
      <c r="Z256" s="2">
        <v>1</v>
      </c>
      <c r="AA256" s="2">
        <v>2</v>
      </c>
      <c r="AB256" s="2">
        <v>0.5</v>
      </c>
      <c r="AC256" s="2">
        <v>2</v>
      </c>
      <c r="AD256" s="2">
        <v>60</v>
      </c>
      <c r="AE256" s="2">
        <v>5120</v>
      </c>
      <c r="AF256" s="2">
        <v>70</v>
      </c>
      <c r="AG256" s="2">
        <v>310</v>
      </c>
      <c r="AH256" s="2">
        <v>45</v>
      </c>
      <c r="AI256" s="2">
        <v>40</v>
      </c>
      <c r="AJ256" s="1">
        <v>1059860</v>
      </c>
      <c r="AK256" s="1">
        <v>0.4</v>
      </c>
      <c r="AL256" s="1">
        <v>45</v>
      </c>
      <c r="AM256" s="2">
        <v>88.1</v>
      </c>
      <c r="AN256" s="2">
        <f t="shared" si="3"/>
        <v>11.900000000000006</v>
      </c>
      <c r="AO256" s="3">
        <v>255</v>
      </c>
      <c r="AP256" s="3">
        <v>70</v>
      </c>
      <c r="AQ256" s="3">
        <v>50</v>
      </c>
      <c r="AR256" s="3">
        <v>45</v>
      </c>
      <c r="AS256" s="1">
        <v>2.5</v>
      </c>
      <c r="AT256" s="3">
        <v>3</v>
      </c>
      <c r="AU256" s="3" t="s">
        <v>3051</v>
      </c>
    </row>
    <row r="257" spans="1:47" x14ac:dyDescent="0.3">
      <c r="A257" s="1" t="s">
        <v>737</v>
      </c>
      <c r="B257" s="1" t="s">
        <v>736</v>
      </c>
      <c r="C257" s="1" t="s">
        <v>51</v>
      </c>
      <c r="D257" s="1" t="s">
        <v>197</v>
      </c>
      <c r="E257" s="1" t="s">
        <v>735</v>
      </c>
      <c r="F257" t="s">
        <v>3114</v>
      </c>
      <c r="G257" t="s">
        <v>3149</v>
      </c>
      <c r="H257" t="s">
        <v>52</v>
      </c>
      <c r="I257" t="s">
        <v>52</v>
      </c>
      <c r="J257" t="s">
        <v>52</v>
      </c>
      <c r="K257" t="s">
        <v>52</v>
      </c>
      <c r="L257" s="2">
        <v>0.25</v>
      </c>
      <c r="M257" s="2">
        <v>0.5</v>
      </c>
      <c r="N257" s="2">
        <v>1</v>
      </c>
      <c r="O257" s="2">
        <v>1</v>
      </c>
      <c r="P257" s="2">
        <v>1</v>
      </c>
      <c r="Q257" s="2">
        <v>1</v>
      </c>
      <c r="R257" s="2">
        <v>0.5</v>
      </c>
      <c r="S257" s="2">
        <v>2</v>
      </c>
      <c r="T257" s="2">
        <v>1</v>
      </c>
      <c r="U257" s="2">
        <v>0.5</v>
      </c>
      <c r="V257" s="2">
        <v>2</v>
      </c>
      <c r="W257" s="2">
        <v>0.5</v>
      </c>
      <c r="X257" s="2">
        <v>1</v>
      </c>
      <c r="Y257" s="2">
        <v>1</v>
      </c>
      <c r="Z257" s="2">
        <v>2</v>
      </c>
      <c r="AA257" s="2">
        <v>1</v>
      </c>
      <c r="AB257" s="2">
        <v>0.5</v>
      </c>
      <c r="AC257" s="2">
        <v>2</v>
      </c>
      <c r="AD257" s="2">
        <v>85</v>
      </c>
      <c r="AE257" s="2">
        <v>5120</v>
      </c>
      <c r="AF257" s="2">
        <v>70</v>
      </c>
      <c r="AG257" s="2">
        <v>405</v>
      </c>
      <c r="AH257" s="2">
        <v>45</v>
      </c>
      <c r="AI257" s="2">
        <v>60</v>
      </c>
      <c r="AJ257" s="1">
        <v>1059860</v>
      </c>
      <c r="AK257" s="1">
        <v>0.9</v>
      </c>
      <c r="AL257" s="1">
        <v>60</v>
      </c>
      <c r="AM257" s="2">
        <v>88.1</v>
      </c>
      <c r="AN257" s="2">
        <f t="shared" si="3"/>
        <v>11.900000000000006</v>
      </c>
      <c r="AO257" s="3">
        <v>256</v>
      </c>
      <c r="AP257" s="3">
        <v>85</v>
      </c>
      <c r="AQ257" s="3">
        <v>60</v>
      </c>
      <c r="AR257" s="3">
        <v>55</v>
      </c>
      <c r="AS257" s="1">
        <v>19.5</v>
      </c>
      <c r="AT257" s="3">
        <v>3</v>
      </c>
      <c r="AU257" s="3" t="s">
        <v>3051</v>
      </c>
    </row>
    <row r="258" spans="1:47" x14ac:dyDescent="0.3">
      <c r="A258" s="1" t="s">
        <v>740</v>
      </c>
      <c r="B258" s="1" t="s">
        <v>739</v>
      </c>
      <c r="C258" s="1" t="s">
        <v>51</v>
      </c>
      <c r="D258" s="1" t="s">
        <v>197</v>
      </c>
      <c r="E258" s="1" t="s">
        <v>738</v>
      </c>
      <c r="F258" t="s">
        <v>3114</v>
      </c>
      <c r="G258" t="s">
        <v>3149</v>
      </c>
      <c r="H258" t="s">
        <v>52</v>
      </c>
      <c r="I258" t="s">
        <v>52</v>
      </c>
      <c r="J258" t="s">
        <v>52</v>
      </c>
      <c r="K258" t="s">
        <v>52</v>
      </c>
      <c r="L258" s="2">
        <v>0.25</v>
      </c>
      <c r="M258" s="2">
        <v>0.5</v>
      </c>
      <c r="N258" s="2">
        <v>1</v>
      </c>
      <c r="O258" s="2">
        <v>1</v>
      </c>
      <c r="P258" s="2">
        <v>1</v>
      </c>
      <c r="Q258" s="2">
        <v>1</v>
      </c>
      <c r="R258" s="2">
        <v>0.5</v>
      </c>
      <c r="S258" s="2">
        <v>2</v>
      </c>
      <c r="T258" s="2">
        <v>1</v>
      </c>
      <c r="U258" s="2">
        <v>0.5</v>
      </c>
      <c r="V258" s="2">
        <v>2</v>
      </c>
      <c r="W258" s="2">
        <v>0.5</v>
      </c>
      <c r="X258" s="2">
        <v>1</v>
      </c>
      <c r="Y258" s="2">
        <v>1</v>
      </c>
      <c r="Z258" s="2">
        <v>2</v>
      </c>
      <c r="AA258" s="2">
        <v>1</v>
      </c>
      <c r="AB258" s="2">
        <v>0.5</v>
      </c>
      <c r="AC258" s="2">
        <v>2</v>
      </c>
      <c r="AD258" s="2">
        <v>160</v>
      </c>
      <c r="AE258" s="2">
        <v>5120</v>
      </c>
      <c r="AF258" s="2">
        <v>70</v>
      </c>
      <c r="AG258" s="2">
        <v>630</v>
      </c>
      <c r="AH258" s="2">
        <v>45</v>
      </c>
      <c r="AI258" s="2">
        <v>80</v>
      </c>
      <c r="AJ258" s="1">
        <v>1059860</v>
      </c>
      <c r="AK258" s="1">
        <v>1.9</v>
      </c>
      <c r="AL258" s="1">
        <v>80</v>
      </c>
      <c r="AM258" s="2">
        <v>88.1</v>
      </c>
      <c r="AN258" s="2">
        <f t="shared" si="3"/>
        <v>11.900000000000006</v>
      </c>
      <c r="AO258" s="3">
        <v>257</v>
      </c>
      <c r="AP258" s="3">
        <v>130</v>
      </c>
      <c r="AQ258" s="3">
        <v>80</v>
      </c>
      <c r="AR258" s="3">
        <v>100</v>
      </c>
      <c r="AS258" s="1">
        <v>52</v>
      </c>
      <c r="AT258" s="3">
        <v>3</v>
      </c>
      <c r="AU258" s="3" t="s">
        <v>3051</v>
      </c>
    </row>
    <row r="259" spans="1:47" x14ac:dyDescent="0.3">
      <c r="A259" s="1" t="s">
        <v>743</v>
      </c>
      <c r="B259" s="1" t="s">
        <v>742</v>
      </c>
      <c r="C259" s="1" t="s">
        <v>62</v>
      </c>
      <c r="D259" s="1" t="s">
        <v>52</v>
      </c>
      <c r="E259" s="1" t="s">
        <v>741</v>
      </c>
      <c r="F259" t="s">
        <v>3115</v>
      </c>
      <c r="G259" t="s">
        <v>3130</v>
      </c>
      <c r="H259" t="s">
        <v>52</v>
      </c>
      <c r="I259" t="s">
        <v>52</v>
      </c>
      <c r="J259" t="s">
        <v>52</v>
      </c>
      <c r="K259" t="s">
        <v>52</v>
      </c>
      <c r="L259" s="2">
        <v>1</v>
      </c>
      <c r="M259" s="2">
        <v>1</v>
      </c>
      <c r="N259" s="2">
        <v>1</v>
      </c>
      <c r="O259" s="2">
        <v>2</v>
      </c>
      <c r="P259" s="2">
        <v>1</v>
      </c>
      <c r="Q259" s="2">
        <v>1</v>
      </c>
      <c r="R259" s="2">
        <v>0.5</v>
      </c>
      <c r="S259" s="2">
        <v>1</v>
      </c>
      <c r="T259" s="2">
        <v>1</v>
      </c>
      <c r="U259" s="2">
        <v>2</v>
      </c>
      <c r="V259" s="2">
        <v>1</v>
      </c>
      <c r="W259" s="2">
        <v>0.5</v>
      </c>
      <c r="X259" s="2">
        <v>1</v>
      </c>
      <c r="Y259" s="2">
        <v>1</v>
      </c>
      <c r="Z259" s="2">
        <v>1</v>
      </c>
      <c r="AA259" s="2">
        <v>1</v>
      </c>
      <c r="AB259" s="2">
        <v>0.5</v>
      </c>
      <c r="AC259" s="2">
        <v>0.5</v>
      </c>
      <c r="AD259" s="2">
        <v>70</v>
      </c>
      <c r="AE259" s="2">
        <v>5120</v>
      </c>
      <c r="AF259" s="2">
        <v>70</v>
      </c>
      <c r="AG259" s="2">
        <v>310</v>
      </c>
      <c r="AH259" s="2">
        <v>45</v>
      </c>
      <c r="AI259" s="2">
        <v>50</v>
      </c>
      <c r="AJ259" s="1">
        <v>1059860</v>
      </c>
      <c r="AK259" s="1">
        <v>0.4</v>
      </c>
      <c r="AL259" s="1">
        <v>50</v>
      </c>
      <c r="AM259" s="2">
        <v>88.1</v>
      </c>
      <c r="AN259" s="2">
        <f t="shared" ref="AN259:AN322" si="4">IF(AM259="","",100-AM259)</f>
        <v>11.900000000000006</v>
      </c>
      <c r="AO259" s="3">
        <v>258</v>
      </c>
      <c r="AP259" s="3">
        <v>50</v>
      </c>
      <c r="AQ259" s="3">
        <v>50</v>
      </c>
      <c r="AR259" s="3">
        <v>40</v>
      </c>
      <c r="AS259" s="1">
        <v>7.6</v>
      </c>
      <c r="AT259" s="3">
        <v>3</v>
      </c>
      <c r="AU259" s="3" t="s">
        <v>3051</v>
      </c>
    </row>
    <row r="260" spans="1:47" x14ac:dyDescent="0.3">
      <c r="A260" s="1" t="s">
        <v>745</v>
      </c>
      <c r="B260" s="1" t="s">
        <v>744</v>
      </c>
      <c r="C260" s="1" t="s">
        <v>62</v>
      </c>
      <c r="D260" s="1" t="s">
        <v>120</v>
      </c>
      <c r="E260" s="1" t="s">
        <v>741</v>
      </c>
      <c r="F260" t="s">
        <v>3115</v>
      </c>
      <c r="G260" t="s">
        <v>3130</v>
      </c>
      <c r="H260" t="s">
        <v>52</v>
      </c>
      <c r="I260" t="s">
        <v>52</v>
      </c>
      <c r="J260" t="s">
        <v>52</v>
      </c>
      <c r="K260" t="s">
        <v>52</v>
      </c>
      <c r="L260" s="2">
        <v>1</v>
      </c>
      <c r="M260" s="2">
        <v>1</v>
      </c>
      <c r="N260" s="2">
        <v>1</v>
      </c>
      <c r="O260" s="2">
        <v>0</v>
      </c>
      <c r="P260" s="2">
        <v>1</v>
      </c>
      <c r="Q260" s="2">
        <v>1</v>
      </c>
      <c r="R260" s="2">
        <v>0.5</v>
      </c>
      <c r="S260" s="2">
        <v>1</v>
      </c>
      <c r="T260" s="2">
        <v>1</v>
      </c>
      <c r="U260" s="2">
        <v>4</v>
      </c>
      <c r="V260" s="2">
        <v>1</v>
      </c>
      <c r="W260" s="2">
        <v>1</v>
      </c>
      <c r="X260" s="2">
        <v>1</v>
      </c>
      <c r="Y260" s="2">
        <v>0.5</v>
      </c>
      <c r="Z260" s="2">
        <v>1</v>
      </c>
      <c r="AA260" s="2">
        <v>0.5</v>
      </c>
      <c r="AB260" s="2">
        <v>0.5</v>
      </c>
      <c r="AC260" s="2">
        <v>1</v>
      </c>
      <c r="AD260" s="2">
        <v>85</v>
      </c>
      <c r="AE260" s="2">
        <v>5120</v>
      </c>
      <c r="AF260" s="2">
        <v>70</v>
      </c>
      <c r="AG260" s="2">
        <v>405</v>
      </c>
      <c r="AH260" s="2">
        <v>45</v>
      </c>
      <c r="AI260" s="2">
        <v>70</v>
      </c>
      <c r="AJ260" s="1">
        <v>1059860</v>
      </c>
      <c r="AK260" s="1">
        <v>0.7</v>
      </c>
      <c r="AL260" s="1">
        <v>70</v>
      </c>
      <c r="AM260" s="2">
        <v>88.1</v>
      </c>
      <c r="AN260" s="2">
        <f t="shared" si="4"/>
        <v>11.900000000000006</v>
      </c>
      <c r="AO260" s="3">
        <v>259</v>
      </c>
      <c r="AP260" s="3">
        <v>60</v>
      </c>
      <c r="AQ260" s="3">
        <v>70</v>
      </c>
      <c r="AR260" s="3">
        <v>50</v>
      </c>
      <c r="AS260" s="1">
        <v>28</v>
      </c>
      <c r="AT260" s="3">
        <v>3</v>
      </c>
      <c r="AU260" s="3" t="s">
        <v>3051</v>
      </c>
    </row>
    <row r="261" spans="1:47" x14ac:dyDescent="0.3">
      <c r="A261" s="1" t="s">
        <v>747</v>
      </c>
      <c r="B261" s="1" t="s">
        <v>746</v>
      </c>
      <c r="C261" s="1" t="s">
        <v>62</v>
      </c>
      <c r="D261" s="1" t="s">
        <v>120</v>
      </c>
      <c r="E261" s="1" t="s">
        <v>741</v>
      </c>
      <c r="F261" t="s">
        <v>3115</v>
      </c>
      <c r="G261" t="s">
        <v>3130</v>
      </c>
      <c r="H261" t="s">
        <v>52</v>
      </c>
      <c r="I261" t="s">
        <v>52</v>
      </c>
      <c r="J261" t="s">
        <v>52</v>
      </c>
      <c r="K261" t="s">
        <v>52</v>
      </c>
      <c r="L261" s="2">
        <v>1</v>
      </c>
      <c r="M261" s="2">
        <v>1</v>
      </c>
      <c r="N261" s="2">
        <v>1</v>
      </c>
      <c r="O261" s="2">
        <v>0</v>
      </c>
      <c r="P261" s="2">
        <v>1</v>
      </c>
      <c r="Q261" s="2">
        <v>1</v>
      </c>
      <c r="R261" s="2">
        <v>0.5</v>
      </c>
      <c r="S261" s="2">
        <v>1</v>
      </c>
      <c r="T261" s="2">
        <v>1</v>
      </c>
      <c r="U261" s="2">
        <v>4</v>
      </c>
      <c r="V261" s="2">
        <v>1</v>
      </c>
      <c r="W261" s="2">
        <v>1</v>
      </c>
      <c r="X261" s="2">
        <v>1</v>
      </c>
      <c r="Y261" s="2">
        <v>0.5</v>
      </c>
      <c r="Z261" s="2">
        <v>1</v>
      </c>
      <c r="AA261" s="2">
        <v>0.5</v>
      </c>
      <c r="AB261" s="2">
        <v>0.5</v>
      </c>
      <c r="AC261" s="2">
        <v>1</v>
      </c>
      <c r="AD261" s="2">
        <v>150</v>
      </c>
      <c r="AE261" s="2">
        <v>5120</v>
      </c>
      <c r="AF261" s="2">
        <v>70</v>
      </c>
      <c r="AG261" s="2">
        <v>635</v>
      </c>
      <c r="AH261" s="2">
        <v>45</v>
      </c>
      <c r="AI261" s="2">
        <v>110</v>
      </c>
      <c r="AJ261" s="1">
        <v>1059860</v>
      </c>
      <c r="AK261" s="1">
        <v>1.5</v>
      </c>
      <c r="AL261" s="1">
        <v>100</v>
      </c>
      <c r="AM261" s="2">
        <v>88.1</v>
      </c>
      <c r="AN261" s="2">
        <f t="shared" si="4"/>
        <v>11.900000000000006</v>
      </c>
      <c r="AO261" s="3">
        <v>260</v>
      </c>
      <c r="AP261" s="3">
        <v>95</v>
      </c>
      <c r="AQ261" s="3">
        <v>110</v>
      </c>
      <c r="AR261" s="3">
        <v>70</v>
      </c>
      <c r="AS261" s="1">
        <v>81.900000000000006</v>
      </c>
      <c r="AT261" s="3">
        <v>3</v>
      </c>
      <c r="AU261" s="3" t="s">
        <v>3051</v>
      </c>
    </row>
    <row r="262" spans="1:47" x14ac:dyDescent="0.3">
      <c r="A262" s="1" t="s">
        <v>750</v>
      </c>
      <c r="B262" s="1" t="s">
        <v>749</v>
      </c>
      <c r="C262" s="1" t="s">
        <v>99</v>
      </c>
      <c r="D262" s="1" t="s">
        <v>52</v>
      </c>
      <c r="E262" s="1" t="s">
        <v>748</v>
      </c>
      <c r="F262" t="s">
        <v>3119</v>
      </c>
      <c r="G262" t="s">
        <v>3254</v>
      </c>
      <c r="H262" t="s">
        <v>3238</v>
      </c>
      <c r="I262" t="s">
        <v>52</v>
      </c>
      <c r="J262" t="s">
        <v>52</v>
      </c>
      <c r="K262" t="s">
        <v>52</v>
      </c>
      <c r="L262" s="2">
        <v>2</v>
      </c>
      <c r="M262" s="2">
        <v>0.5</v>
      </c>
      <c r="N262" s="2">
        <v>1</v>
      </c>
      <c r="O262" s="2">
        <v>1</v>
      </c>
      <c r="P262" s="2">
        <v>2</v>
      </c>
      <c r="Q262" s="2">
        <v>2</v>
      </c>
      <c r="R262" s="2">
        <v>1</v>
      </c>
      <c r="S262" s="2">
        <v>1</v>
      </c>
      <c r="T262" s="2">
        <v>0.5</v>
      </c>
      <c r="U262" s="2">
        <v>1</v>
      </c>
      <c r="V262" s="2">
        <v>1</v>
      </c>
      <c r="W262" s="2">
        <v>1</v>
      </c>
      <c r="X262" s="2">
        <v>1</v>
      </c>
      <c r="Y262" s="2">
        <v>1</v>
      </c>
      <c r="Z262" s="2">
        <v>0</v>
      </c>
      <c r="AA262" s="2">
        <v>1</v>
      </c>
      <c r="AB262" s="2">
        <v>1</v>
      </c>
      <c r="AC262" s="2">
        <v>1</v>
      </c>
      <c r="AD262" s="2">
        <v>55</v>
      </c>
      <c r="AE262" s="2">
        <v>3840</v>
      </c>
      <c r="AF262" s="2">
        <v>70</v>
      </c>
      <c r="AG262" s="2">
        <v>220</v>
      </c>
      <c r="AH262" s="2">
        <v>255</v>
      </c>
      <c r="AI262" s="2">
        <v>35</v>
      </c>
      <c r="AJ262" s="1">
        <v>1000000</v>
      </c>
      <c r="AK262" s="1">
        <v>0.5</v>
      </c>
      <c r="AL262" s="1">
        <v>35</v>
      </c>
      <c r="AM262" s="2">
        <v>50</v>
      </c>
      <c r="AN262" s="2">
        <f t="shared" si="4"/>
        <v>50</v>
      </c>
      <c r="AO262" s="3">
        <v>261</v>
      </c>
      <c r="AP262" s="3">
        <v>30</v>
      </c>
      <c r="AQ262" s="3">
        <v>30</v>
      </c>
      <c r="AR262" s="3">
        <v>35</v>
      </c>
      <c r="AS262" s="1">
        <v>13.6</v>
      </c>
      <c r="AT262" s="3">
        <v>3</v>
      </c>
      <c r="AU262" s="3" t="s">
        <v>3051</v>
      </c>
    </row>
    <row r="263" spans="1:47" x14ac:dyDescent="0.3">
      <c r="A263" s="1" t="s">
        <v>752</v>
      </c>
      <c r="B263" s="1" t="s">
        <v>751</v>
      </c>
      <c r="C263" s="1" t="s">
        <v>99</v>
      </c>
      <c r="D263" s="1" t="s">
        <v>52</v>
      </c>
      <c r="E263" s="1" t="s">
        <v>748</v>
      </c>
      <c r="F263" t="s">
        <v>3120</v>
      </c>
      <c r="G263" t="s">
        <v>3254</v>
      </c>
      <c r="H263" t="s">
        <v>3252</v>
      </c>
      <c r="I263" t="s">
        <v>52</v>
      </c>
      <c r="J263" t="s">
        <v>52</v>
      </c>
      <c r="K263" t="s">
        <v>52</v>
      </c>
      <c r="L263" s="2">
        <v>2</v>
      </c>
      <c r="M263" s="2">
        <v>0.5</v>
      </c>
      <c r="N263" s="2">
        <v>1</v>
      </c>
      <c r="O263" s="2">
        <v>1</v>
      </c>
      <c r="P263" s="2">
        <v>2</v>
      </c>
      <c r="Q263" s="2">
        <v>2</v>
      </c>
      <c r="R263" s="2">
        <v>1</v>
      </c>
      <c r="S263" s="2">
        <v>1</v>
      </c>
      <c r="T263" s="2">
        <v>0.5</v>
      </c>
      <c r="U263" s="2">
        <v>1</v>
      </c>
      <c r="V263" s="2">
        <v>1</v>
      </c>
      <c r="W263" s="2">
        <v>1</v>
      </c>
      <c r="X263" s="2">
        <v>1</v>
      </c>
      <c r="Y263" s="2">
        <v>1</v>
      </c>
      <c r="Z263" s="2">
        <v>0</v>
      </c>
      <c r="AA263" s="2">
        <v>1</v>
      </c>
      <c r="AB263" s="2">
        <v>1</v>
      </c>
      <c r="AC263" s="2">
        <v>1</v>
      </c>
      <c r="AD263" s="2">
        <v>90</v>
      </c>
      <c r="AE263" s="2">
        <v>3840</v>
      </c>
      <c r="AF263" s="2">
        <v>70</v>
      </c>
      <c r="AG263" s="2">
        <v>420</v>
      </c>
      <c r="AH263" s="2">
        <v>127</v>
      </c>
      <c r="AI263" s="2">
        <v>70</v>
      </c>
      <c r="AJ263" s="1">
        <v>1000000</v>
      </c>
      <c r="AK263" s="1">
        <v>1</v>
      </c>
      <c r="AL263" s="1">
        <v>70</v>
      </c>
      <c r="AM263" s="2">
        <v>50</v>
      </c>
      <c r="AN263" s="2">
        <f t="shared" si="4"/>
        <v>50</v>
      </c>
      <c r="AO263" s="3">
        <v>262</v>
      </c>
      <c r="AP263" s="3">
        <v>60</v>
      </c>
      <c r="AQ263" s="3">
        <v>60</v>
      </c>
      <c r="AR263" s="3">
        <v>70</v>
      </c>
      <c r="AS263" s="1">
        <v>37</v>
      </c>
      <c r="AT263" s="3">
        <v>3</v>
      </c>
      <c r="AU263" s="3" t="s">
        <v>3051</v>
      </c>
    </row>
    <row r="264" spans="1:47" x14ac:dyDescent="0.3">
      <c r="A264" s="1" t="s">
        <v>755</v>
      </c>
      <c r="B264" s="1" t="s">
        <v>754</v>
      </c>
      <c r="C264" s="1" t="s">
        <v>90</v>
      </c>
      <c r="D264" s="1" t="s">
        <v>52</v>
      </c>
      <c r="E264" s="1" t="s">
        <v>753</v>
      </c>
      <c r="F264" t="s">
        <v>3128</v>
      </c>
      <c r="G264" t="s">
        <v>3177</v>
      </c>
      <c r="H264" t="s">
        <v>3254</v>
      </c>
      <c r="I264" t="s">
        <v>52</v>
      </c>
      <c r="J264" t="s">
        <v>52</v>
      </c>
      <c r="K264" t="s">
        <v>52</v>
      </c>
      <c r="L264" s="2">
        <v>1</v>
      </c>
      <c r="M264" s="2">
        <v>1</v>
      </c>
      <c r="N264" s="2">
        <v>1</v>
      </c>
      <c r="O264" s="2">
        <v>1</v>
      </c>
      <c r="P264" s="2">
        <v>1</v>
      </c>
      <c r="Q264" s="2">
        <v>2</v>
      </c>
      <c r="R264" s="2">
        <v>1</v>
      </c>
      <c r="S264" s="2">
        <v>1</v>
      </c>
      <c r="T264" s="2">
        <v>0</v>
      </c>
      <c r="U264" s="2">
        <v>1</v>
      </c>
      <c r="V264" s="2">
        <v>1</v>
      </c>
      <c r="W264" s="2">
        <v>1</v>
      </c>
      <c r="X264" s="2">
        <v>1</v>
      </c>
      <c r="Y264" s="2">
        <v>1</v>
      </c>
      <c r="Z264" s="2">
        <v>1</v>
      </c>
      <c r="AA264" s="2">
        <v>1</v>
      </c>
      <c r="AB264" s="2">
        <v>1</v>
      </c>
      <c r="AC264" s="2">
        <v>1</v>
      </c>
      <c r="AD264" s="2">
        <v>30</v>
      </c>
      <c r="AE264" s="2">
        <v>3840</v>
      </c>
      <c r="AF264" s="2">
        <v>70</v>
      </c>
      <c r="AG264" s="2">
        <v>240</v>
      </c>
      <c r="AH264" s="2">
        <v>255</v>
      </c>
      <c r="AI264" s="2">
        <v>41</v>
      </c>
      <c r="AJ264" s="1">
        <v>1000000</v>
      </c>
      <c r="AK264" s="1">
        <v>0.4</v>
      </c>
      <c r="AL264" s="1">
        <v>38</v>
      </c>
      <c r="AM264" s="2">
        <v>50</v>
      </c>
      <c r="AN264" s="2">
        <f t="shared" si="4"/>
        <v>50</v>
      </c>
      <c r="AO264" s="3">
        <v>263</v>
      </c>
      <c r="AP264" s="3">
        <v>30</v>
      </c>
      <c r="AQ264" s="3">
        <v>41</v>
      </c>
      <c r="AR264" s="3">
        <v>60</v>
      </c>
      <c r="AS264" s="1">
        <v>17.5</v>
      </c>
      <c r="AT264" s="3">
        <v>3</v>
      </c>
      <c r="AU264" s="3" t="s">
        <v>3051</v>
      </c>
    </row>
    <row r="265" spans="1:47" x14ac:dyDescent="0.3">
      <c r="A265" s="1" t="s">
        <v>758</v>
      </c>
      <c r="B265" s="1" t="s">
        <v>757</v>
      </c>
      <c r="C265" s="1" t="s">
        <v>90</v>
      </c>
      <c r="D265" s="1" t="s">
        <v>52</v>
      </c>
      <c r="E265" s="1" t="s">
        <v>756</v>
      </c>
      <c r="F265" t="s">
        <v>3128</v>
      </c>
      <c r="G265" t="s">
        <v>3177</v>
      </c>
      <c r="H265" t="s">
        <v>3254</v>
      </c>
      <c r="I265" t="s">
        <v>52</v>
      </c>
      <c r="J265" t="s">
        <v>52</v>
      </c>
      <c r="K265" t="s">
        <v>52</v>
      </c>
      <c r="L265" s="2">
        <v>1</v>
      </c>
      <c r="M265" s="2">
        <v>1</v>
      </c>
      <c r="N265" s="2">
        <v>1</v>
      </c>
      <c r="O265" s="2">
        <v>1</v>
      </c>
      <c r="P265" s="2">
        <v>1</v>
      </c>
      <c r="Q265" s="2">
        <v>2</v>
      </c>
      <c r="R265" s="2">
        <v>1</v>
      </c>
      <c r="S265" s="2">
        <v>1</v>
      </c>
      <c r="T265" s="2">
        <v>0</v>
      </c>
      <c r="U265" s="2">
        <v>1</v>
      </c>
      <c r="V265" s="2">
        <v>1</v>
      </c>
      <c r="W265" s="2">
        <v>1</v>
      </c>
      <c r="X265" s="2">
        <v>1</v>
      </c>
      <c r="Y265" s="2">
        <v>1</v>
      </c>
      <c r="Z265" s="2">
        <v>1</v>
      </c>
      <c r="AA265" s="2">
        <v>1</v>
      </c>
      <c r="AB265" s="2">
        <v>1</v>
      </c>
      <c r="AC265" s="2">
        <v>1</v>
      </c>
      <c r="AD265" s="2">
        <v>70</v>
      </c>
      <c r="AE265" s="2">
        <v>3840</v>
      </c>
      <c r="AF265" s="2">
        <v>70</v>
      </c>
      <c r="AG265" s="2">
        <v>420</v>
      </c>
      <c r="AH265" s="2">
        <v>90</v>
      </c>
      <c r="AI265" s="2">
        <v>61</v>
      </c>
      <c r="AJ265" s="1">
        <v>1000000</v>
      </c>
      <c r="AK265" s="1">
        <v>0.5</v>
      </c>
      <c r="AL265" s="1">
        <v>78</v>
      </c>
      <c r="AM265" s="2">
        <v>50</v>
      </c>
      <c r="AN265" s="2">
        <f t="shared" si="4"/>
        <v>50</v>
      </c>
      <c r="AO265" s="3">
        <v>264</v>
      </c>
      <c r="AP265" s="3">
        <v>50</v>
      </c>
      <c r="AQ265" s="3">
        <v>61</v>
      </c>
      <c r="AR265" s="3">
        <v>100</v>
      </c>
      <c r="AS265" s="1">
        <v>32.5</v>
      </c>
      <c r="AT265" s="3">
        <v>3</v>
      </c>
      <c r="AU265" s="3" t="s">
        <v>3051</v>
      </c>
    </row>
    <row r="266" spans="1:47" x14ac:dyDescent="0.3">
      <c r="A266" s="1" t="s">
        <v>760</v>
      </c>
      <c r="B266" s="1" t="s">
        <v>759</v>
      </c>
      <c r="C266" s="1" t="s">
        <v>72</v>
      </c>
      <c r="D266" s="1" t="s">
        <v>52</v>
      </c>
      <c r="E266" s="1" t="s">
        <v>69</v>
      </c>
      <c r="F266" t="s">
        <v>3116</v>
      </c>
      <c r="G266" t="s">
        <v>3119</v>
      </c>
      <c r="H266" t="s">
        <v>52</v>
      </c>
      <c r="I266" t="s">
        <v>52</v>
      </c>
      <c r="J266" t="s">
        <v>52</v>
      </c>
      <c r="K266" t="s">
        <v>52</v>
      </c>
      <c r="L266" s="2">
        <v>1</v>
      </c>
      <c r="M266" s="2">
        <v>1</v>
      </c>
      <c r="N266" s="2">
        <v>1</v>
      </c>
      <c r="O266" s="2">
        <v>1</v>
      </c>
      <c r="P266" s="2">
        <v>1</v>
      </c>
      <c r="Q266" s="2">
        <v>0.5</v>
      </c>
      <c r="R266" s="2">
        <v>2</v>
      </c>
      <c r="S266" s="2">
        <v>2</v>
      </c>
      <c r="T266" s="2">
        <v>1</v>
      </c>
      <c r="U266" s="2">
        <v>0.5</v>
      </c>
      <c r="V266" s="2">
        <v>0.5</v>
      </c>
      <c r="W266" s="2">
        <v>1</v>
      </c>
      <c r="X266" s="2">
        <v>1</v>
      </c>
      <c r="Y266" s="2">
        <v>1</v>
      </c>
      <c r="Z266" s="2">
        <v>1</v>
      </c>
      <c r="AA266" s="2">
        <v>2</v>
      </c>
      <c r="AB266" s="2">
        <v>1</v>
      </c>
      <c r="AC266" s="2">
        <v>1</v>
      </c>
      <c r="AD266" s="2">
        <v>45</v>
      </c>
      <c r="AE266" s="2">
        <v>3840</v>
      </c>
      <c r="AF266" s="2">
        <v>70</v>
      </c>
      <c r="AG266" s="2">
        <v>195</v>
      </c>
      <c r="AH266" s="2">
        <v>255</v>
      </c>
      <c r="AI266" s="2">
        <v>35</v>
      </c>
      <c r="AJ266" s="1">
        <v>1000000</v>
      </c>
      <c r="AK266" s="1">
        <v>0.3</v>
      </c>
      <c r="AL266" s="1">
        <v>45</v>
      </c>
      <c r="AM266" s="2">
        <v>50</v>
      </c>
      <c r="AN266" s="2">
        <f t="shared" si="4"/>
        <v>50</v>
      </c>
      <c r="AO266" s="3">
        <v>265</v>
      </c>
      <c r="AP266" s="3">
        <v>20</v>
      </c>
      <c r="AQ266" s="3">
        <v>30</v>
      </c>
      <c r="AR266" s="3">
        <v>20</v>
      </c>
      <c r="AS266" s="1">
        <v>3.6</v>
      </c>
      <c r="AT266" s="3">
        <v>3</v>
      </c>
      <c r="AU266" s="3" t="s">
        <v>3051</v>
      </c>
    </row>
    <row r="267" spans="1:47" x14ac:dyDescent="0.3">
      <c r="A267" s="1" t="s">
        <v>762</v>
      </c>
      <c r="B267" s="1" t="s">
        <v>761</v>
      </c>
      <c r="C267" s="1" t="s">
        <v>72</v>
      </c>
      <c r="D267" s="1" t="s">
        <v>52</v>
      </c>
      <c r="E267" s="1" t="s">
        <v>73</v>
      </c>
      <c r="F267" t="s">
        <v>3054</v>
      </c>
      <c r="G267" t="s">
        <v>52</v>
      </c>
      <c r="H267" t="s">
        <v>52</v>
      </c>
      <c r="I267" t="s">
        <v>52</v>
      </c>
      <c r="J267" t="s">
        <v>52</v>
      </c>
      <c r="K267" t="s">
        <v>52</v>
      </c>
      <c r="L267" s="2">
        <v>1</v>
      </c>
      <c r="M267" s="2">
        <v>1</v>
      </c>
      <c r="N267" s="2">
        <v>1</v>
      </c>
      <c r="O267" s="2">
        <v>1</v>
      </c>
      <c r="P267" s="2">
        <v>1</v>
      </c>
      <c r="Q267" s="2">
        <v>0.5</v>
      </c>
      <c r="R267" s="2">
        <v>2</v>
      </c>
      <c r="S267" s="2">
        <v>2</v>
      </c>
      <c r="T267" s="2">
        <v>1</v>
      </c>
      <c r="U267" s="2">
        <v>0.5</v>
      </c>
      <c r="V267" s="2">
        <v>0.5</v>
      </c>
      <c r="W267" s="2">
        <v>1</v>
      </c>
      <c r="X267" s="2">
        <v>1</v>
      </c>
      <c r="Y267" s="2">
        <v>1</v>
      </c>
      <c r="Z267" s="2">
        <v>1</v>
      </c>
      <c r="AA267" s="2">
        <v>2</v>
      </c>
      <c r="AB267" s="2">
        <v>1</v>
      </c>
      <c r="AC267" s="2">
        <v>1</v>
      </c>
      <c r="AD267" s="2">
        <v>35</v>
      </c>
      <c r="AE267" s="2">
        <v>3840</v>
      </c>
      <c r="AF267" s="2">
        <v>70</v>
      </c>
      <c r="AG267" s="2">
        <v>205</v>
      </c>
      <c r="AH267" s="2">
        <v>120</v>
      </c>
      <c r="AI267" s="2">
        <v>55</v>
      </c>
      <c r="AJ267" s="1">
        <v>1000000</v>
      </c>
      <c r="AK267" s="1">
        <v>0.6</v>
      </c>
      <c r="AL267" s="1">
        <v>50</v>
      </c>
      <c r="AM267" s="2">
        <v>50</v>
      </c>
      <c r="AN267" s="2">
        <f t="shared" si="4"/>
        <v>50</v>
      </c>
      <c r="AO267" s="3">
        <v>266</v>
      </c>
      <c r="AP267" s="3">
        <v>25</v>
      </c>
      <c r="AQ267" s="3">
        <v>25</v>
      </c>
      <c r="AR267" s="3">
        <v>15</v>
      </c>
      <c r="AS267" s="1">
        <v>10</v>
      </c>
      <c r="AT267" s="3">
        <v>3</v>
      </c>
      <c r="AU267" s="3" t="s">
        <v>3051</v>
      </c>
    </row>
    <row r="268" spans="1:47" x14ac:dyDescent="0.3">
      <c r="A268" s="1" t="s">
        <v>764</v>
      </c>
      <c r="B268" s="1" t="s">
        <v>763</v>
      </c>
      <c r="C268" s="1" t="s">
        <v>72</v>
      </c>
      <c r="D268" s="1" t="s">
        <v>58</v>
      </c>
      <c r="E268" s="1" t="s">
        <v>76</v>
      </c>
      <c r="F268" t="s">
        <v>3093</v>
      </c>
      <c r="G268" t="s">
        <v>3164</v>
      </c>
      <c r="H268" t="s">
        <v>52</v>
      </c>
      <c r="I268" t="s">
        <v>52</v>
      </c>
      <c r="J268" t="s">
        <v>52</v>
      </c>
      <c r="K268" t="s">
        <v>52</v>
      </c>
      <c r="L268" s="2">
        <v>0.5</v>
      </c>
      <c r="M268" s="2">
        <v>1</v>
      </c>
      <c r="N268" s="2">
        <v>1</v>
      </c>
      <c r="O268" s="2">
        <v>2</v>
      </c>
      <c r="P268" s="2">
        <v>1</v>
      </c>
      <c r="Q268" s="2">
        <v>0.25</v>
      </c>
      <c r="R268" s="2">
        <v>2</v>
      </c>
      <c r="S268" s="2">
        <v>2</v>
      </c>
      <c r="T268" s="2">
        <v>1</v>
      </c>
      <c r="U268" s="2">
        <v>0.25</v>
      </c>
      <c r="V268" s="2">
        <v>0</v>
      </c>
      <c r="W268" s="2">
        <v>2</v>
      </c>
      <c r="X268" s="2">
        <v>1</v>
      </c>
      <c r="Y268" s="2">
        <v>1</v>
      </c>
      <c r="Z268" s="2">
        <v>1</v>
      </c>
      <c r="AA268" s="2">
        <v>4</v>
      </c>
      <c r="AB268" s="2">
        <v>1</v>
      </c>
      <c r="AC268" s="2">
        <v>1</v>
      </c>
      <c r="AD268" s="2">
        <v>70</v>
      </c>
      <c r="AE268" s="2">
        <v>3840</v>
      </c>
      <c r="AF268" s="2">
        <v>70</v>
      </c>
      <c r="AG268" s="2">
        <v>395</v>
      </c>
      <c r="AH268" s="2">
        <v>45</v>
      </c>
      <c r="AI268" s="2">
        <v>50</v>
      </c>
      <c r="AJ268" s="1">
        <v>1000000</v>
      </c>
      <c r="AK268" s="1">
        <v>1</v>
      </c>
      <c r="AL268" s="1">
        <v>60</v>
      </c>
      <c r="AM268" s="2">
        <v>50</v>
      </c>
      <c r="AN268" s="2">
        <f t="shared" si="4"/>
        <v>50</v>
      </c>
      <c r="AO268" s="3">
        <v>267</v>
      </c>
      <c r="AP268" s="3">
        <v>100</v>
      </c>
      <c r="AQ268" s="3">
        <v>50</v>
      </c>
      <c r="AR268" s="3">
        <v>65</v>
      </c>
      <c r="AS268" s="1">
        <v>28.4</v>
      </c>
      <c r="AT268" s="3">
        <v>3</v>
      </c>
      <c r="AU268" s="3" t="s">
        <v>3051</v>
      </c>
    </row>
    <row r="269" spans="1:47" x14ac:dyDescent="0.3">
      <c r="A269" s="1" t="s">
        <v>766</v>
      </c>
      <c r="B269" s="1" t="s">
        <v>765</v>
      </c>
      <c r="C269" s="1" t="s">
        <v>72</v>
      </c>
      <c r="D269" s="1" t="s">
        <v>52</v>
      </c>
      <c r="E269" s="1" t="s">
        <v>73</v>
      </c>
      <c r="F269" t="s">
        <v>3054</v>
      </c>
      <c r="G269" t="s">
        <v>52</v>
      </c>
      <c r="H269" t="s">
        <v>52</v>
      </c>
      <c r="I269" t="s">
        <v>52</v>
      </c>
      <c r="J269" t="s">
        <v>52</v>
      </c>
      <c r="K269" t="s">
        <v>52</v>
      </c>
      <c r="L269" s="2">
        <v>1</v>
      </c>
      <c r="M269" s="2">
        <v>1</v>
      </c>
      <c r="N269" s="2">
        <v>1</v>
      </c>
      <c r="O269" s="2">
        <v>1</v>
      </c>
      <c r="P269" s="2">
        <v>1</v>
      </c>
      <c r="Q269" s="2">
        <v>0.5</v>
      </c>
      <c r="R269" s="2">
        <v>2</v>
      </c>
      <c r="S269" s="2">
        <v>2</v>
      </c>
      <c r="T269" s="2">
        <v>1</v>
      </c>
      <c r="U269" s="2">
        <v>0.5</v>
      </c>
      <c r="V269" s="2">
        <v>0.5</v>
      </c>
      <c r="W269" s="2">
        <v>1</v>
      </c>
      <c r="X269" s="2">
        <v>1</v>
      </c>
      <c r="Y269" s="2">
        <v>1</v>
      </c>
      <c r="Z269" s="2">
        <v>1</v>
      </c>
      <c r="AA269" s="2">
        <v>2</v>
      </c>
      <c r="AB269" s="2">
        <v>1</v>
      </c>
      <c r="AC269" s="2">
        <v>1</v>
      </c>
      <c r="AD269" s="2">
        <v>35</v>
      </c>
      <c r="AE269" s="2">
        <v>3840</v>
      </c>
      <c r="AF269" s="2">
        <v>70</v>
      </c>
      <c r="AG269" s="2">
        <v>205</v>
      </c>
      <c r="AH269" s="2">
        <v>120</v>
      </c>
      <c r="AI269" s="2">
        <v>55</v>
      </c>
      <c r="AJ269" s="1">
        <v>1000000</v>
      </c>
      <c r="AK269" s="1">
        <v>0.7</v>
      </c>
      <c r="AL269" s="1">
        <v>50</v>
      </c>
      <c r="AM269" s="2">
        <v>50</v>
      </c>
      <c r="AN269" s="2">
        <f t="shared" si="4"/>
        <v>50</v>
      </c>
      <c r="AO269" s="3">
        <v>268</v>
      </c>
      <c r="AP269" s="3">
        <v>25</v>
      </c>
      <c r="AQ269" s="3">
        <v>25</v>
      </c>
      <c r="AR269" s="3">
        <v>15</v>
      </c>
      <c r="AS269" s="1">
        <v>11.5</v>
      </c>
      <c r="AT269" s="3">
        <v>3</v>
      </c>
      <c r="AU269" s="3" t="s">
        <v>3051</v>
      </c>
    </row>
    <row r="270" spans="1:47" x14ac:dyDescent="0.3">
      <c r="A270" s="1" t="s">
        <v>768</v>
      </c>
      <c r="B270" s="1" t="s">
        <v>767</v>
      </c>
      <c r="C270" s="1" t="s">
        <v>72</v>
      </c>
      <c r="D270" s="1" t="s">
        <v>43</v>
      </c>
      <c r="E270" s="1" t="s">
        <v>175</v>
      </c>
      <c r="F270" t="s">
        <v>3116</v>
      </c>
      <c r="G270" t="s">
        <v>3117</v>
      </c>
      <c r="H270" t="s">
        <v>52</v>
      </c>
      <c r="I270" t="s">
        <v>52</v>
      </c>
      <c r="J270" t="s">
        <v>52</v>
      </c>
      <c r="K270" t="s">
        <v>52</v>
      </c>
      <c r="L270" s="2">
        <v>0.5</v>
      </c>
      <c r="M270" s="2">
        <v>1</v>
      </c>
      <c r="N270" s="2">
        <v>1</v>
      </c>
      <c r="O270" s="2">
        <v>1</v>
      </c>
      <c r="P270" s="2">
        <v>0.5</v>
      </c>
      <c r="Q270" s="2">
        <v>0.25</v>
      </c>
      <c r="R270" s="2">
        <v>2</v>
      </c>
      <c r="S270" s="2">
        <v>2</v>
      </c>
      <c r="T270" s="2">
        <v>1</v>
      </c>
      <c r="U270" s="2">
        <v>0.25</v>
      </c>
      <c r="V270" s="2">
        <v>1</v>
      </c>
      <c r="W270" s="2">
        <v>1</v>
      </c>
      <c r="X270" s="2">
        <v>1</v>
      </c>
      <c r="Y270" s="2">
        <v>0.5</v>
      </c>
      <c r="Z270" s="2">
        <v>2</v>
      </c>
      <c r="AA270" s="2">
        <v>2</v>
      </c>
      <c r="AB270" s="2">
        <v>1</v>
      </c>
      <c r="AC270" s="2">
        <v>1</v>
      </c>
      <c r="AD270" s="2">
        <v>50</v>
      </c>
      <c r="AE270" s="2">
        <v>3840</v>
      </c>
      <c r="AF270" s="2">
        <v>70</v>
      </c>
      <c r="AG270" s="2">
        <v>385</v>
      </c>
      <c r="AH270" s="2">
        <v>45</v>
      </c>
      <c r="AI270" s="2">
        <v>70</v>
      </c>
      <c r="AJ270" s="1">
        <v>1000000</v>
      </c>
      <c r="AK270" s="1">
        <v>1.2</v>
      </c>
      <c r="AL270" s="1">
        <v>60</v>
      </c>
      <c r="AM270" s="2">
        <v>50</v>
      </c>
      <c r="AN270" s="2">
        <f t="shared" si="4"/>
        <v>50</v>
      </c>
      <c r="AO270" s="3">
        <v>269</v>
      </c>
      <c r="AP270" s="3">
        <v>50</v>
      </c>
      <c r="AQ270" s="3">
        <v>90</v>
      </c>
      <c r="AR270" s="3">
        <v>65</v>
      </c>
      <c r="AS270" s="1">
        <v>31.6</v>
      </c>
      <c r="AT270" s="3">
        <v>3</v>
      </c>
      <c r="AU270" s="3" t="s">
        <v>3051</v>
      </c>
    </row>
    <row r="271" spans="1:47" x14ac:dyDescent="0.3">
      <c r="A271" s="1" t="s">
        <v>771</v>
      </c>
      <c r="B271" s="1" t="s">
        <v>770</v>
      </c>
      <c r="C271" s="1" t="s">
        <v>62</v>
      </c>
      <c r="D271" s="1" t="s">
        <v>42</v>
      </c>
      <c r="E271" s="1" t="s">
        <v>769</v>
      </c>
      <c r="F271" t="s">
        <v>3143</v>
      </c>
      <c r="G271" t="s">
        <v>3224</v>
      </c>
      <c r="H271" t="s">
        <v>3140</v>
      </c>
      <c r="I271" t="s">
        <v>52</v>
      </c>
      <c r="J271" t="s">
        <v>52</v>
      </c>
      <c r="K271" t="s">
        <v>52</v>
      </c>
      <c r="L271" s="2">
        <v>2</v>
      </c>
      <c r="M271" s="2">
        <v>1</v>
      </c>
      <c r="N271" s="2">
        <v>1</v>
      </c>
      <c r="O271" s="2">
        <v>1</v>
      </c>
      <c r="P271" s="2">
        <v>1</v>
      </c>
      <c r="Q271" s="2">
        <v>1</v>
      </c>
      <c r="R271" s="2">
        <v>1</v>
      </c>
      <c r="S271" s="2">
        <v>2</v>
      </c>
      <c r="T271" s="2">
        <v>1</v>
      </c>
      <c r="U271" s="2">
        <v>1</v>
      </c>
      <c r="V271" s="2">
        <v>0.5</v>
      </c>
      <c r="W271" s="2">
        <v>1</v>
      </c>
      <c r="X271" s="2">
        <v>1</v>
      </c>
      <c r="Y271" s="2">
        <v>2</v>
      </c>
      <c r="Z271" s="2">
        <v>1</v>
      </c>
      <c r="AA271" s="2">
        <v>1</v>
      </c>
      <c r="AB271" s="2">
        <v>0.5</v>
      </c>
      <c r="AC271" s="2">
        <v>0.25</v>
      </c>
      <c r="AD271" s="2">
        <v>30</v>
      </c>
      <c r="AE271" s="2">
        <v>3840</v>
      </c>
      <c r="AF271" s="2">
        <v>70</v>
      </c>
      <c r="AG271" s="2">
        <v>220</v>
      </c>
      <c r="AH271" s="2">
        <v>255</v>
      </c>
      <c r="AI271" s="2">
        <v>30</v>
      </c>
      <c r="AJ271" s="1">
        <v>1059860</v>
      </c>
      <c r="AK271" s="1">
        <v>0.5</v>
      </c>
      <c r="AL271" s="1">
        <v>40</v>
      </c>
      <c r="AM271" s="2">
        <v>50</v>
      </c>
      <c r="AN271" s="2">
        <f t="shared" si="4"/>
        <v>50</v>
      </c>
      <c r="AO271" s="3">
        <v>270</v>
      </c>
      <c r="AP271" s="3">
        <v>40</v>
      </c>
      <c r="AQ271" s="3">
        <v>50</v>
      </c>
      <c r="AR271" s="3">
        <v>30</v>
      </c>
      <c r="AS271" s="1">
        <v>2.6</v>
      </c>
      <c r="AT271" s="3">
        <v>3</v>
      </c>
      <c r="AU271" s="3" t="s">
        <v>3051</v>
      </c>
    </row>
    <row r="272" spans="1:47" x14ac:dyDescent="0.3">
      <c r="A272" s="1" t="s">
        <v>774</v>
      </c>
      <c r="B272" s="1" t="s">
        <v>773</v>
      </c>
      <c r="C272" s="1" t="s">
        <v>62</v>
      </c>
      <c r="D272" s="1" t="s">
        <v>42</v>
      </c>
      <c r="E272" s="1" t="s">
        <v>772</v>
      </c>
      <c r="F272" t="s">
        <v>3143</v>
      </c>
      <c r="G272" t="s">
        <v>3224</v>
      </c>
      <c r="H272" t="s">
        <v>3140</v>
      </c>
      <c r="I272" t="s">
        <v>52</v>
      </c>
      <c r="J272" t="s">
        <v>52</v>
      </c>
      <c r="K272" t="s">
        <v>52</v>
      </c>
      <c r="L272" s="2">
        <v>2</v>
      </c>
      <c r="M272" s="2">
        <v>1</v>
      </c>
      <c r="N272" s="2">
        <v>1</v>
      </c>
      <c r="O272" s="2">
        <v>1</v>
      </c>
      <c r="P272" s="2">
        <v>1</v>
      </c>
      <c r="Q272" s="2">
        <v>1</v>
      </c>
      <c r="R272" s="2">
        <v>1</v>
      </c>
      <c r="S272" s="2">
        <v>2</v>
      </c>
      <c r="T272" s="2">
        <v>1</v>
      </c>
      <c r="U272" s="2">
        <v>1</v>
      </c>
      <c r="V272" s="2">
        <v>0.5</v>
      </c>
      <c r="W272" s="2">
        <v>1</v>
      </c>
      <c r="X272" s="2">
        <v>1</v>
      </c>
      <c r="Y272" s="2">
        <v>2</v>
      </c>
      <c r="Z272" s="2">
        <v>1</v>
      </c>
      <c r="AA272" s="2">
        <v>1</v>
      </c>
      <c r="AB272" s="2">
        <v>0.5</v>
      </c>
      <c r="AC272" s="2">
        <v>0.25</v>
      </c>
      <c r="AD272" s="2">
        <v>50</v>
      </c>
      <c r="AE272" s="2">
        <v>3840</v>
      </c>
      <c r="AF272" s="2">
        <v>70</v>
      </c>
      <c r="AG272" s="2">
        <v>340</v>
      </c>
      <c r="AH272" s="2">
        <v>120</v>
      </c>
      <c r="AI272" s="2">
        <v>50</v>
      </c>
      <c r="AJ272" s="1">
        <v>1059860</v>
      </c>
      <c r="AK272" s="1">
        <v>1.2</v>
      </c>
      <c r="AL272" s="1">
        <v>60</v>
      </c>
      <c r="AM272" s="2">
        <v>50</v>
      </c>
      <c r="AN272" s="2">
        <f t="shared" si="4"/>
        <v>50</v>
      </c>
      <c r="AO272" s="3">
        <v>271</v>
      </c>
      <c r="AP272" s="3">
        <v>60</v>
      </c>
      <c r="AQ272" s="3">
        <v>70</v>
      </c>
      <c r="AR272" s="3">
        <v>50</v>
      </c>
      <c r="AS272" s="1">
        <v>32.5</v>
      </c>
      <c r="AT272" s="3">
        <v>3</v>
      </c>
      <c r="AU272" s="3" t="s">
        <v>3051</v>
      </c>
    </row>
    <row r="273" spans="1:47" x14ac:dyDescent="0.3">
      <c r="A273" s="1" t="s">
        <v>777</v>
      </c>
      <c r="B273" s="1" t="s">
        <v>776</v>
      </c>
      <c r="C273" s="1" t="s">
        <v>62</v>
      </c>
      <c r="D273" s="1" t="s">
        <v>42</v>
      </c>
      <c r="E273" s="1" t="s">
        <v>775</v>
      </c>
      <c r="F273" t="s">
        <v>3143</v>
      </c>
      <c r="G273" t="s">
        <v>3224</v>
      </c>
      <c r="H273" t="s">
        <v>3140</v>
      </c>
      <c r="I273" t="s">
        <v>52</v>
      </c>
      <c r="J273" t="s">
        <v>52</v>
      </c>
      <c r="K273" t="s">
        <v>52</v>
      </c>
      <c r="L273" s="2">
        <v>2</v>
      </c>
      <c r="M273" s="2">
        <v>1</v>
      </c>
      <c r="N273" s="2">
        <v>1</v>
      </c>
      <c r="O273" s="2">
        <v>1</v>
      </c>
      <c r="P273" s="2">
        <v>1</v>
      </c>
      <c r="Q273" s="2">
        <v>1</v>
      </c>
      <c r="R273" s="2">
        <v>1</v>
      </c>
      <c r="S273" s="2">
        <v>2</v>
      </c>
      <c r="T273" s="2">
        <v>1</v>
      </c>
      <c r="U273" s="2">
        <v>1</v>
      </c>
      <c r="V273" s="2">
        <v>0.5</v>
      </c>
      <c r="W273" s="2">
        <v>1</v>
      </c>
      <c r="X273" s="2">
        <v>1</v>
      </c>
      <c r="Y273" s="2">
        <v>2</v>
      </c>
      <c r="Z273" s="2">
        <v>1</v>
      </c>
      <c r="AA273" s="2">
        <v>1</v>
      </c>
      <c r="AB273" s="2">
        <v>0.5</v>
      </c>
      <c r="AC273" s="2">
        <v>0.25</v>
      </c>
      <c r="AD273" s="2">
        <v>70</v>
      </c>
      <c r="AE273" s="2">
        <v>3840</v>
      </c>
      <c r="AF273" s="2">
        <v>70</v>
      </c>
      <c r="AG273" s="2">
        <v>480</v>
      </c>
      <c r="AH273" s="2">
        <v>45</v>
      </c>
      <c r="AI273" s="2">
        <v>70</v>
      </c>
      <c r="AJ273" s="1">
        <v>1059860</v>
      </c>
      <c r="AK273" s="1">
        <v>1.5</v>
      </c>
      <c r="AL273" s="1">
        <v>80</v>
      </c>
      <c r="AM273" s="2">
        <v>50</v>
      </c>
      <c r="AN273" s="2">
        <f t="shared" si="4"/>
        <v>50</v>
      </c>
      <c r="AO273" s="3">
        <v>272</v>
      </c>
      <c r="AP273" s="3">
        <v>90</v>
      </c>
      <c r="AQ273" s="3">
        <v>100</v>
      </c>
      <c r="AR273" s="3">
        <v>70</v>
      </c>
      <c r="AS273" s="1">
        <v>55</v>
      </c>
      <c r="AT273" s="3">
        <v>3</v>
      </c>
      <c r="AU273" s="3" t="s">
        <v>3051</v>
      </c>
    </row>
    <row r="274" spans="1:47" x14ac:dyDescent="0.3">
      <c r="A274" s="1" t="s">
        <v>780</v>
      </c>
      <c r="B274" s="1" t="s">
        <v>779</v>
      </c>
      <c r="C274" s="1" t="s">
        <v>42</v>
      </c>
      <c r="D274" s="1" t="s">
        <v>52</v>
      </c>
      <c r="E274" s="1" t="s">
        <v>778</v>
      </c>
      <c r="F274" t="s">
        <v>3068</v>
      </c>
      <c r="G274" t="s">
        <v>3142</v>
      </c>
      <c r="H274" t="s">
        <v>3260</v>
      </c>
      <c r="I274" t="s">
        <v>52</v>
      </c>
      <c r="J274" t="s">
        <v>52</v>
      </c>
      <c r="K274" t="s">
        <v>52</v>
      </c>
      <c r="L274" s="2">
        <v>2</v>
      </c>
      <c r="M274" s="2">
        <v>1</v>
      </c>
      <c r="N274" s="2">
        <v>1</v>
      </c>
      <c r="O274" s="2">
        <v>0.5</v>
      </c>
      <c r="P274" s="2">
        <v>1</v>
      </c>
      <c r="Q274" s="2">
        <v>1</v>
      </c>
      <c r="R274" s="2">
        <v>2</v>
      </c>
      <c r="S274" s="2">
        <v>2</v>
      </c>
      <c r="T274" s="2">
        <v>1</v>
      </c>
      <c r="U274" s="2">
        <v>0.5</v>
      </c>
      <c r="V274" s="2">
        <v>0.5</v>
      </c>
      <c r="W274" s="2">
        <v>2</v>
      </c>
      <c r="X274" s="2">
        <v>1</v>
      </c>
      <c r="Y274" s="2">
        <v>2</v>
      </c>
      <c r="Z274" s="2">
        <v>1</v>
      </c>
      <c r="AA274" s="2">
        <v>1</v>
      </c>
      <c r="AB274" s="2">
        <v>1</v>
      </c>
      <c r="AC274" s="2">
        <v>0.5</v>
      </c>
      <c r="AD274" s="2">
        <v>40</v>
      </c>
      <c r="AE274" s="2">
        <v>3840</v>
      </c>
      <c r="AF274" s="2">
        <v>70</v>
      </c>
      <c r="AG274" s="2">
        <v>220</v>
      </c>
      <c r="AH274" s="2">
        <v>255</v>
      </c>
      <c r="AI274" s="2">
        <v>50</v>
      </c>
      <c r="AJ274" s="1">
        <v>1059860</v>
      </c>
      <c r="AK274" s="1">
        <v>0.5</v>
      </c>
      <c r="AL274" s="1">
        <v>40</v>
      </c>
      <c r="AM274" s="2">
        <v>50</v>
      </c>
      <c r="AN274" s="2">
        <f t="shared" si="4"/>
        <v>50</v>
      </c>
      <c r="AO274" s="3">
        <v>273</v>
      </c>
      <c r="AP274" s="3">
        <v>30</v>
      </c>
      <c r="AQ274" s="3">
        <v>30</v>
      </c>
      <c r="AR274" s="3">
        <v>30</v>
      </c>
      <c r="AS274" s="1">
        <v>4</v>
      </c>
      <c r="AT274" s="3">
        <v>3</v>
      </c>
      <c r="AU274" s="3" t="s">
        <v>3051</v>
      </c>
    </row>
    <row r="275" spans="1:47" x14ac:dyDescent="0.3">
      <c r="A275" s="1" t="s">
        <v>783</v>
      </c>
      <c r="B275" s="1" t="s">
        <v>782</v>
      </c>
      <c r="C275" s="1" t="s">
        <v>42</v>
      </c>
      <c r="D275" s="1" t="s">
        <v>99</v>
      </c>
      <c r="E275" s="1" t="s">
        <v>781</v>
      </c>
      <c r="F275" t="s">
        <v>3068</v>
      </c>
      <c r="G275" t="s">
        <v>3142</v>
      </c>
      <c r="H275" t="s">
        <v>3260</v>
      </c>
      <c r="I275" t="s">
        <v>52</v>
      </c>
      <c r="J275" t="s">
        <v>52</v>
      </c>
      <c r="K275" t="s">
        <v>52</v>
      </c>
      <c r="L275" s="2">
        <v>4</v>
      </c>
      <c r="M275" s="2">
        <v>0.5</v>
      </c>
      <c r="N275" s="2">
        <v>1</v>
      </c>
      <c r="O275" s="2">
        <v>0.5</v>
      </c>
      <c r="P275" s="2">
        <v>2</v>
      </c>
      <c r="Q275" s="2">
        <v>2</v>
      </c>
      <c r="R275" s="2">
        <v>2</v>
      </c>
      <c r="S275" s="2">
        <v>2</v>
      </c>
      <c r="T275" s="2">
        <v>0.5</v>
      </c>
      <c r="U275" s="2">
        <v>0.5</v>
      </c>
      <c r="V275" s="2">
        <v>0.5</v>
      </c>
      <c r="W275" s="2">
        <v>2</v>
      </c>
      <c r="X275" s="2">
        <v>1</v>
      </c>
      <c r="Y275" s="2">
        <v>2</v>
      </c>
      <c r="Z275" s="2">
        <v>0</v>
      </c>
      <c r="AA275" s="2">
        <v>1</v>
      </c>
      <c r="AB275" s="2">
        <v>1</v>
      </c>
      <c r="AC275" s="2">
        <v>0.5</v>
      </c>
      <c r="AD275" s="2">
        <v>70</v>
      </c>
      <c r="AE275" s="2">
        <v>3840</v>
      </c>
      <c r="AF275" s="2">
        <v>70</v>
      </c>
      <c r="AG275" s="2">
        <v>340</v>
      </c>
      <c r="AH275" s="2">
        <v>120</v>
      </c>
      <c r="AI275" s="2">
        <v>40</v>
      </c>
      <c r="AJ275" s="1">
        <v>1059860</v>
      </c>
      <c r="AK275" s="1">
        <v>1</v>
      </c>
      <c r="AL275" s="1">
        <v>70</v>
      </c>
      <c r="AM275" s="2">
        <v>50</v>
      </c>
      <c r="AN275" s="2">
        <f t="shared" si="4"/>
        <v>50</v>
      </c>
      <c r="AO275" s="3">
        <v>274</v>
      </c>
      <c r="AP275" s="3">
        <v>60</v>
      </c>
      <c r="AQ275" s="3">
        <v>40</v>
      </c>
      <c r="AR275" s="3">
        <v>60</v>
      </c>
      <c r="AS275" s="1">
        <v>28</v>
      </c>
      <c r="AT275" s="3">
        <v>3</v>
      </c>
      <c r="AU275" s="3" t="s">
        <v>3051</v>
      </c>
    </row>
    <row r="276" spans="1:47" x14ac:dyDescent="0.3">
      <c r="A276" s="1" t="s">
        <v>786</v>
      </c>
      <c r="B276" s="1" t="s">
        <v>785</v>
      </c>
      <c r="C276" s="1" t="s">
        <v>42</v>
      </c>
      <c r="D276" s="1" t="s">
        <v>99</v>
      </c>
      <c r="E276" s="1" t="s">
        <v>784</v>
      </c>
      <c r="F276" t="s">
        <v>3068</v>
      </c>
      <c r="G276" t="s">
        <v>3142</v>
      </c>
      <c r="H276" t="s">
        <v>3260</v>
      </c>
      <c r="I276" t="s">
        <v>52</v>
      </c>
      <c r="J276" t="s">
        <v>52</v>
      </c>
      <c r="K276" t="s">
        <v>52</v>
      </c>
      <c r="L276" s="2">
        <v>4</v>
      </c>
      <c r="M276" s="2">
        <v>0.5</v>
      </c>
      <c r="N276" s="2">
        <v>1</v>
      </c>
      <c r="O276" s="2">
        <v>0.5</v>
      </c>
      <c r="P276" s="2">
        <v>2</v>
      </c>
      <c r="Q276" s="2">
        <v>2</v>
      </c>
      <c r="R276" s="2">
        <v>2</v>
      </c>
      <c r="S276" s="2">
        <v>2</v>
      </c>
      <c r="T276" s="2">
        <v>0.5</v>
      </c>
      <c r="U276" s="2">
        <v>0.5</v>
      </c>
      <c r="V276" s="2">
        <v>0.5</v>
      </c>
      <c r="W276" s="2">
        <v>2</v>
      </c>
      <c r="X276" s="2">
        <v>1</v>
      </c>
      <c r="Y276" s="2">
        <v>2</v>
      </c>
      <c r="Z276" s="2">
        <v>0</v>
      </c>
      <c r="AA276" s="2">
        <v>1</v>
      </c>
      <c r="AB276" s="2">
        <v>1</v>
      </c>
      <c r="AC276" s="2">
        <v>0.5</v>
      </c>
      <c r="AD276" s="2">
        <v>100</v>
      </c>
      <c r="AE276" s="2">
        <v>3840</v>
      </c>
      <c r="AF276" s="2">
        <v>70</v>
      </c>
      <c r="AG276" s="2">
        <v>480</v>
      </c>
      <c r="AH276" s="2">
        <v>45</v>
      </c>
      <c r="AI276" s="2">
        <v>60</v>
      </c>
      <c r="AJ276" s="1">
        <v>1059860</v>
      </c>
      <c r="AK276" s="1">
        <v>1.3</v>
      </c>
      <c r="AL276" s="1">
        <v>90</v>
      </c>
      <c r="AM276" s="2">
        <v>50</v>
      </c>
      <c r="AN276" s="2">
        <f t="shared" si="4"/>
        <v>50</v>
      </c>
      <c r="AO276" s="3">
        <v>275</v>
      </c>
      <c r="AP276" s="3">
        <v>90</v>
      </c>
      <c r="AQ276" s="3">
        <v>60</v>
      </c>
      <c r="AR276" s="3">
        <v>80</v>
      </c>
      <c r="AS276" s="1">
        <v>59.6</v>
      </c>
      <c r="AT276" s="3">
        <v>3</v>
      </c>
      <c r="AU276" s="3" t="s">
        <v>3051</v>
      </c>
    </row>
    <row r="277" spans="1:47" x14ac:dyDescent="0.3">
      <c r="A277" s="1" t="s">
        <v>789</v>
      </c>
      <c r="B277" s="1" t="s">
        <v>788</v>
      </c>
      <c r="C277" s="1" t="s">
        <v>90</v>
      </c>
      <c r="D277" s="1" t="s">
        <v>58</v>
      </c>
      <c r="E277" s="1" t="s">
        <v>787</v>
      </c>
      <c r="F277" t="s">
        <v>3131</v>
      </c>
      <c r="G277" t="s">
        <v>3250</v>
      </c>
      <c r="H277" t="s">
        <v>52</v>
      </c>
      <c r="I277" t="s">
        <v>52</v>
      </c>
      <c r="J277" t="s">
        <v>52</v>
      </c>
      <c r="K277" t="s">
        <v>52</v>
      </c>
      <c r="L277" s="2">
        <v>0.5</v>
      </c>
      <c r="M277" s="2">
        <v>1</v>
      </c>
      <c r="N277" s="2">
        <v>1</v>
      </c>
      <c r="O277" s="2">
        <v>2</v>
      </c>
      <c r="P277" s="2">
        <v>1</v>
      </c>
      <c r="Q277" s="2">
        <v>1</v>
      </c>
      <c r="R277" s="2">
        <v>1</v>
      </c>
      <c r="S277" s="2">
        <v>1</v>
      </c>
      <c r="T277" s="2">
        <v>0</v>
      </c>
      <c r="U277" s="2">
        <v>0.5</v>
      </c>
      <c r="V277" s="2">
        <v>0</v>
      </c>
      <c r="W277" s="2">
        <v>2</v>
      </c>
      <c r="X277" s="2">
        <v>1</v>
      </c>
      <c r="Y277" s="2">
        <v>1</v>
      </c>
      <c r="Z277" s="2">
        <v>1</v>
      </c>
      <c r="AA277" s="2">
        <v>2</v>
      </c>
      <c r="AB277" s="2">
        <v>1</v>
      </c>
      <c r="AC277" s="2">
        <v>1</v>
      </c>
      <c r="AD277" s="2">
        <v>55</v>
      </c>
      <c r="AE277" s="2">
        <v>3840</v>
      </c>
      <c r="AF277" s="2">
        <v>70</v>
      </c>
      <c r="AG277" s="2">
        <v>270</v>
      </c>
      <c r="AH277" s="2">
        <v>200</v>
      </c>
      <c r="AI277" s="2">
        <v>30</v>
      </c>
      <c r="AJ277" s="1">
        <v>1059860</v>
      </c>
      <c r="AK277" s="1">
        <v>0.3</v>
      </c>
      <c r="AL277" s="1">
        <v>40</v>
      </c>
      <c r="AM277" s="2">
        <v>50</v>
      </c>
      <c r="AN277" s="2">
        <f t="shared" si="4"/>
        <v>50</v>
      </c>
      <c r="AO277" s="3">
        <v>276</v>
      </c>
      <c r="AP277" s="3">
        <v>30</v>
      </c>
      <c r="AQ277" s="3">
        <v>30</v>
      </c>
      <c r="AR277" s="3">
        <v>85</v>
      </c>
      <c r="AS277" s="1">
        <v>2.2999999999999998</v>
      </c>
      <c r="AT277" s="3">
        <v>3</v>
      </c>
      <c r="AU277" s="3" t="s">
        <v>3051</v>
      </c>
    </row>
    <row r="278" spans="1:47" x14ac:dyDescent="0.3">
      <c r="A278" s="1" t="s">
        <v>792</v>
      </c>
      <c r="B278" s="1" t="s">
        <v>791</v>
      </c>
      <c r="C278" s="1" t="s">
        <v>90</v>
      </c>
      <c r="D278" s="1" t="s">
        <v>58</v>
      </c>
      <c r="E278" s="1" t="s">
        <v>790</v>
      </c>
      <c r="F278" t="s">
        <v>3131</v>
      </c>
      <c r="G278" t="s">
        <v>3250</v>
      </c>
      <c r="H278" t="s">
        <v>52</v>
      </c>
      <c r="I278" t="s">
        <v>52</v>
      </c>
      <c r="J278" t="s">
        <v>52</v>
      </c>
      <c r="K278" t="s">
        <v>52</v>
      </c>
      <c r="L278" s="2">
        <v>0.5</v>
      </c>
      <c r="M278" s="2">
        <v>1</v>
      </c>
      <c r="N278" s="2">
        <v>1</v>
      </c>
      <c r="O278" s="2">
        <v>2</v>
      </c>
      <c r="P278" s="2">
        <v>1</v>
      </c>
      <c r="Q278" s="2">
        <v>1</v>
      </c>
      <c r="R278" s="2">
        <v>1</v>
      </c>
      <c r="S278" s="2">
        <v>1</v>
      </c>
      <c r="T278" s="2">
        <v>0</v>
      </c>
      <c r="U278" s="2">
        <v>0.5</v>
      </c>
      <c r="V278" s="2">
        <v>0</v>
      </c>
      <c r="W278" s="2">
        <v>2</v>
      </c>
      <c r="X278" s="2">
        <v>1</v>
      </c>
      <c r="Y278" s="2">
        <v>1</v>
      </c>
      <c r="Z278" s="2">
        <v>1</v>
      </c>
      <c r="AA278" s="2">
        <v>2</v>
      </c>
      <c r="AB278" s="2">
        <v>1</v>
      </c>
      <c r="AC278" s="2">
        <v>1</v>
      </c>
      <c r="AD278" s="2">
        <v>85</v>
      </c>
      <c r="AE278" s="2">
        <v>3840</v>
      </c>
      <c r="AF278" s="2">
        <v>70</v>
      </c>
      <c r="AG278" s="2">
        <v>455</v>
      </c>
      <c r="AH278" s="2">
        <v>45</v>
      </c>
      <c r="AI278" s="2">
        <v>60</v>
      </c>
      <c r="AJ278" s="1">
        <v>1059860</v>
      </c>
      <c r="AK278" s="1">
        <v>0.7</v>
      </c>
      <c r="AL278" s="1">
        <v>60</v>
      </c>
      <c r="AM278" s="2">
        <v>50</v>
      </c>
      <c r="AN278" s="2">
        <f t="shared" si="4"/>
        <v>50</v>
      </c>
      <c r="AO278" s="3">
        <v>277</v>
      </c>
      <c r="AP278" s="3">
        <v>75</v>
      </c>
      <c r="AQ278" s="3">
        <v>50</v>
      </c>
      <c r="AR278" s="3">
        <v>125</v>
      </c>
      <c r="AS278" s="1">
        <v>19.8</v>
      </c>
      <c r="AT278" s="3">
        <v>3</v>
      </c>
      <c r="AU278" s="3" t="s">
        <v>3051</v>
      </c>
    </row>
    <row r="279" spans="1:47" x14ac:dyDescent="0.3">
      <c r="A279" s="1" t="s">
        <v>795</v>
      </c>
      <c r="B279" s="1" t="s">
        <v>794</v>
      </c>
      <c r="C279" s="1" t="s">
        <v>62</v>
      </c>
      <c r="D279" s="1" t="s">
        <v>58</v>
      </c>
      <c r="E279" s="1" t="s">
        <v>793</v>
      </c>
      <c r="F279" t="s">
        <v>3118</v>
      </c>
      <c r="G279" t="s">
        <v>3071</v>
      </c>
      <c r="H279" t="s">
        <v>3224</v>
      </c>
      <c r="I279" t="s">
        <v>52</v>
      </c>
      <c r="J279" t="s">
        <v>52</v>
      </c>
      <c r="K279" t="s">
        <v>52</v>
      </c>
      <c r="L279" s="2">
        <v>0.5</v>
      </c>
      <c r="M279" s="2">
        <v>1</v>
      </c>
      <c r="N279" s="2">
        <v>1</v>
      </c>
      <c r="O279" s="2">
        <v>4</v>
      </c>
      <c r="P279" s="2">
        <v>1</v>
      </c>
      <c r="Q279" s="2">
        <v>0.5</v>
      </c>
      <c r="R279" s="2">
        <v>0.5</v>
      </c>
      <c r="S279" s="2">
        <v>1</v>
      </c>
      <c r="T279" s="2">
        <v>1</v>
      </c>
      <c r="U279" s="2">
        <v>1</v>
      </c>
      <c r="V279" s="2">
        <v>0</v>
      </c>
      <c r="W279" s="2">
        <v>1</v>
      </c>
      <c r="X279" s="2">
        <v>1</v>
      </c>
      <c r="Y279" s="2">
        <v>1</v>
      </c>
      <c r="Z279" s="2">
        <v>1</v>
      </c>
      <c r="AA279" s="2">
        <v>2</v>
      </c>
      <c r="AB279" s="2">
        <v>0.5</v>
      </c>
      <c r="AC279" s="2">
        <v>0.5</v>
      </c>
      <c r="AD279" s="2">
        <v>30</v>
      </c>
      <c r="AE279" s="2">
        <v>5120</v>
      </c>
      <c r="AF279" s="2">
        <v>70</v>
      </c>
      <c r="AG279" s="2">
        <v>270</v>
      </c>
      <c r="AH279" s="2">
        <v>190</v>
      </c>
      <c r="AI279" s="2">
        <v>30</v>
      </c>
      <c r="AJ279" s="1">
        <v>1000000</v>
      </c>
      <c r="AK279" s="1">
        <v>0.6</v>
      </c>
      <c r="AL279" s="1">
        <v>40</v>
      </c>
      <c r="AM279" s="2">
        <v>50</v>
      </c>
      <c r="AN279" s="2">
        <f t="shared" si="4"/>
        <v>50</v>
      </c>
      <c r="AO279" s="3">
        <v>278</v>
      </c>
      <c r="AP279" s="3">
        <v>55</v>
      </c>
      <c r="AQ279" s="3">
        <v>30</v>
      </c>
      <c r="AR279" s="3">
        <v>85</v>
      </c>
      <c r="AS279" s="1">
        <v>9.5</v>
      </c>
      <c r="AT279" s="3">
        <v>3</v>
      </c>
      <c r="AU279" s="3" t="s">
        <v>3051</v>
      </c>
    </row>
    <row r="280" spans="1:47" x14ac:dyDescent="0.3">
      <c r="A280" s="1" t="s">
        <v>798</v>
      </c>
      <c r="B280" s="1" t="s">
        <v>797</v>
      </c>
      <c r="C280" s="1" t="s">
        <v>62</v>
      </c>
      <c r="D280" s="1" t="s">
        <v>58</v>
      </c>
      <c r="E280" s="1" t="s">
        <v>796</v>
      </c>
      <c r="F280" t="s">
        <v>3118</v>
      </c>
      <c r="G280" t="s">
        <v>3063</v>
      </c>
      <c r="H280" t="s">
        <v>3224</v>
      </c>
      <c r="I280" t="s">
        <v>52</v>
      </c>
      <c r="J280" t="s">
        <v>52</v>
      </c>
      <c r="K280" t="s">
        <v>52</v>
      </c>
      <c r="L280" s="2">
        <v>0.5</v>
      </c>
      <c r="M280" s="2">
        <v>1</v>
      </c>
      <c r="N280" s="2">
        <v>1</v>
      </c>
      <c r="O280" s="2">
        <v>4</v>
      </c>
      <c r="P280" s="2">
        <v>1</v>
      </c>
      <c r="Q280" s="2">
        <v>0.5</v>
      </c>
      <c r="R280" s="2">
        <v>0.5</v>
      </c>
      <c r="S280" s="2">
        <v>1</v>
      </c>
      <c r="T280" s="2">
        <v>1</v>
      </c>
      <c r="U280" s="2">
        <v>1</v>
      </c>
      <c r="V280" s="2">
        <v>0</v>
      </c>
      <c r="W280" s="2">
        <v>1</v>
      </c>
      <c r="X280" s="2">
        <v>1</v>
      </c>
      <c r="Y280" s="2">
        <v>1</v>
      </c>
      <c r="Z280" s="2">
        <v>1</v>
      </c>
      <c r="AA280" s="2">
        <v>2</v>
      </c>
      <c r="AB280" s="2">
        <v>0.5</v>
      </c>
      <c r="AC280" s="2">
        <v>0.5</v>
      </c>
      <c r="AD280" s="2">
        <v>50</v>
      </c>
      <c r="AE280" s="2">
        <v>5120</v>
      </c>
      <c r="AF280" s="2">
        <v>70</v>
      </c>
      <c r="AG280" s="2">
        <v>440</v>
      </c>
      <c r="AH280" s="2">
        <v>45</v>
      </c>
      <c r="AI280" s="2">
        <v>100</v>
      </c>
      <c r="AJ280" s="1">
        <v>1000000</v>
      </c>
      <c r="AK280" s="1">
        <v>1.2</v>
      </c>
      <c r="AL280" s="1">
        <v>60</v>
      </c>
      <c r="AM280" s="2">
        <v>50</v>
      </c>
      <c r="AN280" s="2">
        <f t="shared" si="4"/>
        <v>50</v>
      </c>
      <c r="AO280" s="3">
        <v>279</v>
      </c>
      <c r="AP280" s="3">
        <v>95</v>
      </c>
      <c r="AQ280" s="3">
        <v>70</v>
      </c>
      <c r="AR280" s="3">
        <v>65</v>
      </c>
      <c r="AS280" s="1">
        <v>28</v>
      </c>
      <c r="AT280" s="3">
        <v>3</v>
      </c>
      <c r="AU280" s="3" t="s">
        <v>3051</v>
      </c>
    </row>
    <row r="281" spans="1:47" x14ac:dyDescent="0.3">
      <c r="A281" s="1" t="s">
        <v>801</v>
      </c>
      <c r="B281" s="1" t="s">
        <v>800</v>
      </c>
      <c r="C281" s="1" t="s">
        <v>216</v>
      </c>
      <c r="D281" s="1" t="s">
        <v>141</v>
      </c>
      <c r="E281" s="1" t="s">
        <v>799</v>
      </c>
      <c r="F281" t="s">
        <v>3057</v>
      </c>
      <c r="G281" t="s">
        <v>3147</v>
      </c>
      <c r="H281" t="s">
        <v>3189</v>
      </c>
      <c r="I281" t="s">
        <v>52</v>
      </c>
      <c r="J281" t="s">
        <v>52</v>
      </c>
      <c r="K281" t="s">
        <v>52</v>
      </c>
      <c r="L281" s="2">
        <v>1</v>
      </c>
      <c r="M281" s="2">
        <v>1</v>
      </c>
      <c r="N281" s="2">
        <v>0</v>
      </c>
      <c r="O281" s="2">
        <v>1</v>
      </c>
      <c r="P281" s="2">
        <v>1</v>
      </c>
      <c r="Q281" s="2">
        <v>0.25</v>
      </c>
      <c r="R281" s="2">
        <v>1</v>
      </c>
      <c r="S281" s="2">
        <v>1</v>
      </c>
      <c r="T281" s="2">
        <v>2</v>
      </c>
      <c r="U281" s="2">
        <v>1</v>
      </c>
      <c r="V281" s="2">
        <v>1</v>
      </c>
      <c r="W281" s="2">
        <v>1</v>
      </c>
      <c r="X281" s="2">
        <v>1</v>
      </c>
      <c r="Y281" s="2">
        <v>2</v>
      </c>
      <c r="Z281" s="2">
        <v>0.5</v>
      </c>
      <c r="AA281" s="2">
        <v>1</v>
      </c>
      <c r="AB281" s="2">
        <v>2</v>
      </c>
      <c r="AC281" s="2">
        <v>1</v>
      </c>
      <c r="AD281" s="2">
        <v>25</v>
      </c>
      <c r="AE281" s="2">
        <v>5120</v>
      </c>
      <c r="AF281" s="2">
        <v>35</v>
      </c>
      <c r="AG281" s="2">
        <v>198</v>
      </c>
      <c r="AH281" s="2">
        <v>235</v>
      </c>
      <c r="AI281" s="2">
        <v>25</v>
      </c>
      <c r="AJ281" s="1">
        <v>1250000</v>
      </c>
      <c r="AK281" s="1">
        <v>0.4</v>
      </c>
      <c r="AL281" s="1">
        <v>28</v>
      </c>
      <c r="AM281" s="2">
        <v>50</v>
      </c>
      <c r="AN281" s="2">
        <f t="shared" si="4"/>
        <v>50</v>
      </c>
      <c r="AO281" s="3">
        <v>280</v>
      </c>
      <c r="AP281" s="3">
        <v>45</v>
      </c>
      <c r="AQ281" s="3">
        <v>35</v>
      </c>
      <c r="AR281" s="3">
        <v>40</v>
      </c>
      <c r="AS281" s="1">
        <v>6.6</v>
      </c>
      <c r="AT281" s="3">
        <v>3</v>
      </c>
      <c r="AU281" s="3" t="s">
        <v>3051</v>
      </c>
    </row>
    <row r="282" spans="1:47" x14ac:dyDescent="0.3">
      <c r="A282" s="1" t="s">
        <v>804</v>
      </c>
      <c r="B282" s="1" t="s">
        <v>803</v>
      </c>
      <c r="C282" s="1" t="s">
        <v>216</v>
      </c>
      <c r="D282" s="1" t="s">
        <v>141</v>
      </c>
      <c r="E282" s="1" t="s">
        <v>802</v>
      </c>
      <c r="F282" t="s">
        <v>3057</v>
      </c>
      <c r="G282" t="s">
        <v>3147</v>
      </c>
      <c r="H282" t="s">
        <v>3189</v>
      </c>
      <c r="I282" t="s">
        <v>52</v>
      </c>
      <c r="J282" t="s">
        <v>52</v>
      </c>
      <c r="K282" t="s">
        <v>52</v>
      </c>
      <c r="L282" s="2">
        <v>1</v>
      </c>
      <c r="M282" s="2">
        <v>1</v>
      </c>
      <c r="N282" s="2">
        <v>0</v>
      </c>
      <c r="O282" s="2">
        <v>1</v>
      </c>
      <c r="P282" s="2">
        <v>1</v>
      </c>
      <c r="Q282" s="2">
        <v>0.25</v>
      </c>
      <c r="R282" s="2">
        <v>1</v>
      </c>
      <c r="S282" s="2">
        <v>1</v>
      </c>
      <c r="T282" s="2">
        <v>2</v>
      </c>
      <c r="U282" s="2">
        <v>1</v>
      </c>
      <c r="V282" s="2">
        <v>1</v>
      </c>
      <c r="W282" s="2">
        <v>1</v>
      </c>
      <c r="X282" s="2">
        <v>1</v>
      </c>
      <c r="Y282" s="2">
        <v>2</v>
      </c>
      <c r="Z282" s="2">
        <v>0.5</v>
      </c>
      <c r="AA282" s="2">
        <v>1</v>
      </c>
      <c r="AB282" s="2">
        <v>2</v>
      </c>
      <c r="AC282" s="2">
        <v>1</v>
      </c>
      <c r="AD282" s="2">
        <v>35</v>
      </c>
      <c r="AE282" s="2">
        <v>5120</v>
      </c>
      <c r="AF282" s="2">
        <v>35</v>
      </c>
      <c r="AG282" s="2">
        <v>278</v>
      </c>
      <c r="AH282" s="2">
        <v>120</v>
      </c>
      <c r="AI282" s="2">
        <v>35</v>
      </c>
      <c r="AJ282" s="1">
        <v>1250000</v>
      </c>
      <c r="AK282" s="1">
        <v>0.8</v>
      </c>
      <c r="AL282" s="1">
        <v>38</v>
      </c>
      <c r="AM282" s="2">
        <v>50</v>
      </c>
      <c r="AN282" s="2">
        <f t="shared" si="4"/>
        <v>50</v>
      </c>
      <c r="AO282" s="3">
        <v>281</v>
      </c>
      <c r="AP282" s="3">
        <v>65</v>
      </c>
      <c r="AQ282" s="3">
        <v>55</v>
      </c>
      <c r="AR282" s="3">
        <v>50</v>
      </c>
      <c r="AS282" s="1">
        <v>20.2</v>
      </c>
      <c r="AT282" s="3">
        <v>3</v>
      </c>
      <c r="AU282" s="3" t="s">
        <v>3051</v>
      </c>
    </row>
    <row r="283" spans="1:47" x14ac:dyDescent="0.3">
      <c r="A283" s="1" t="s">
        <v>807</v>
      </c>
      <c r="B283" s="1" t="s">
        <v>806</v>
      </c>
      <c r="C283" s="1" t="s">
        <v>216</v>
      </c>
      <c r="D283" s="1" t="s">
        <v>141</v>
      </c>
      <c r="E283" s="1" t="s">
        <v>805</v>
      </c>
      <c r="F283" t="s">
        <v>3057</v>
      </c>
      <c r="G283" t="s">
        <v>3147</v>
      </c>
      <c r="H283" t="s">
        <v>3189</v>
      </c>
      <c r="I283" t="s">
        <v>52</v>
      </c>
      <c r="J283" t="s">
        <v>52</v>
      </c>
      <c r="K283" t="s">
        <v>52</v>
      </c>
      <c r="L283" s="2">
        <v>1</v>
      </c>
      <c r="M283" s="2">
        <v>1</v>
      </c>
      <c r="N283" s="2">
        <v>0</v>
      </c>
      <c r="O283" s="2">
        <v>1</v>
      </c>
      <c r="P283" s="2">
        <v>1</v>
      </c>
      <c r="Q283" s="2">
        <v>0.25</v>
      </c>
      <c r="R283" s="2">
        <v>1</v>
      </c>
      <c r="S283" s="2">
        <v>1</v>
      </c>
      <c r="T283" s="2">
        <v>2</v>
      </c>
      <c r="U283" s="2">
        <v>1</v>
      </c>
      <c r="V283" s="2">
        <v>1</v>
      </c>
      <c r="W283" s="2">
        <v>1</v>
      </c>
      <c r="X283" s="2">
        <v>1</v>
      </c>
      <c r="Y283" s="2">
        <v>2</v>
      </c>
      <c r="Z283" s="2">
        <v>0.5</v>
      </c>
      <c r="AA283" s="2">
        <v>1</v>
      </c>
      <c r="AB283" s="2">
        <v>2</v>
      </c>
      <c r="AC283" s="2">
        <v>1</v>
      </c>
      <c r="AD283" s="2">
        <v>85</v>
      </c>
      <c r="AE283" s="2">
        <v>5120</v>
      </c>
      <c r="AF283" s="2">
        <v>35</v>
      </c>
      <c r="AG283" s="2">
        <v>618</v>
      </c>
      <c r="AH283" s="2">
        <v>45</v>
      </c>
      <c r="AI283" s="2">
        <v>65</v>
      </c>
      <c r="AJ283" s="1">
        <v>1250000</v>
      </c>
      <c r="AK283" s="1">
        <v>1.6</v>
      </c>
      <c r="AL283" s="1">
        <v>68</v>
      </c>
      <c r="AM283" s="2">
        <v>50</v>
      </c>
      <c r="AN283" s="2">
        <f t="shared" si="4"/>
        <v>50</v>
      </c>
      <c r="AO283" s="3">
        <v>282</v>
      </c>
      <c r="AP283" s="3">
        <v>165</v>
      </c>
      <c r="AQ283" s="3">
        <v>135</v>
      </c>
      <c r="AR283" s="3">
        <v>100</v>
      </c>
      <c r="AS283" s="1">
        <v>48.4</v>
      </c>
      <c r="AT283" s="3">
        <v>3</v>
      </c>
      <c r="AU283" s="3" t="s">
        <v>3051</v>
      </c>
    </row>
    <row r="284" spans="1:47" x14ac:dyDescent="0.3">
      <c r="A284" s="1" t="s">
        <v>810</v>
      </c>
      <c r="B284" s="1" t="s">
        <v>809</v>
      </c>
      <c r="C284" s="1" t="s">
        <v>72</v>
      </c>
      <c r="D284" s="1" t="s">
        <v>62</v>
      </c>
      <c r="E284" s="1" t="s">
        <v>808</v>
      </c>
      <c r="F284" t="s">
        <v>3143</v>
      </c>
      <c r="G284" t="s">
        <v>3224</v>
      </c>
      <c r="H284" t="s">
        <v>52</v>
      </c>
      <c r="I284" t="s">
        <v>52</v>
      </c>
      <c r="J284" t="s">
        <v>52</v>
      </c>
      <c r="K284" t="s">
        <v>52</v>
      </c>
      <c r="L284" s="2">
        <v>1</v>
      </c>
      <c r="M284" s="2">
        <v>1</v>
      </c>
      <c r="N284" s="2">
        <v>1</v>
      </c>
      <c r="O284" s="2">
        <v>2</v>
      </c>
      <c r="P284" s="2">
        <v>1</v>
      </c>
      <c r="Q284" s="2">
        <v>0.5</v>
      </c>
      <c r="R284" s="2">
        <v>1</v>
      </c>
      <c r="S284" s="2">
        <v>2</v>
      </c>
      <c r="T284" s="2">
        <v>1</v>
      </c>
      <c r="U284" s="2">
        <v>1</v>
      </c>
      <c r="V284" s="2">
        <v>0.5</v>
      </c>
      <c r="W284" s="2">
        <v>0.5</v>
      </c>
      <c r="X284" s="2">
        <v>1</v>
      </c>
      <c r="Y284" s="2">
        <v>1</v>
      </c>
      <c r="Z284" s="2">
        <v>1</v>
      </c>
      <c r="AA284" s="2">
        <v>2</v>
      </c>
      <c r="AB284" s="2">
        <v>0.5</v>
      </c>
      <c r="AC284" s="2">
        <v>0.5</v>
      </c>
      <c r="AD284" s="2">
        <v>30</v>
      </c>
      <c r="AE284" s="2">
        <v>3840</v>
      </c>
      <c r="AF284" s="2">
        <v>70</v>
      </c>
      <c r="AG284" s="2">
        <v>269</v>
      </c>
      <c r="AH284" s="2">
        <v>200</v>
      </c>
      <c r="AI284" s="2">
        <v>32</v>
      </c>
      <c r="AJ284" s="1">
        <v>1000000</v>
      </c>
      <c r="AK284" s="1">
        <v>0.5</v>
      </c>
      <c r="AL284" s="1">
        <v>40</v>
      </c>
      <c r="AM284" s="2">
        <v>50</v>
      </c>
      <c r="AN284" s="2">
        <f t="shared" si="4"/>
        <v>50</v>
      </c>
      <c r="AO284" s="3">
        <v>283</v>
      </c>
      <c r="AP284" s="3">
        <v>50</v>
      </c>
      <c r="AQ284" s="3">
        <v>52</v>
      </c>
      <c r="AR284" s="3">
        <v>65</v>
      </c>
      <c r="AS284" s="1">
        <v>1.7</v>
      </c>
      <c r="AT284" s="3">
        <v>3</v>
      </c>
      <c r="AU284" s="3" t="s">
        <v>3051</v>
      </c>
    </row>
    <row r="285" spans="1:47" x14ac:dyDescent="0.3">
      <c r="A285" s="1" t="s">
        <v>813</v>
      </c>
      <c r="B285" s="1" t="s">
        <v>812</v>
      </c>
      <c r="C285" s="1" t="s">
        <v>72</v>
      </c>
      <c r="D285" s="1" t="s">
        <v>58</v>
      </c>
      <c r="E285" s="1" t="s">
        <v>811</v>
      </c>
      <c r="F285" t="s">
        <v>3120</v>
      </c>
      <c r="G285" t="s">
        <v>3228</v>
      </c>
      <c r="H285" t="s">
        <v>52</v>
      </c>
      <c r="I285" t="s">
        <v>52</v>
      </c>
      <c r="J285" t="s">
        <v>52</v>
      </c>
      <c r="K285" t="s">
        <v>52</v>
      </c>
      <c r="L285" s="2">
        <v>0.5</v>
      </c>
      <c r="M285" s="2">
        <v>1</v>
      </c>
      <c r="N285" s="2">
        <v>1</v>
      </c>
      <c r="O285" s="2">
        <v>2</v>
      </c>
      <c r="P285" s="2">
        <v>1</v>
      </c>
      <c r="Q285" s="2">
        <v>0.25</v>
      </c>
      <c r="R285" s="2">
        <v>2</v>
      </c>
      <c r="S285" s="2">
        <v>2</v>
      </c>
      <c r="T285" s="2">
        <v>1</v>
      </c>
      <c r="U285" s="2">
        <v>0.25</v>
      </c>
      <c r="V285" s="2">
        <v>0</v>
      </c>
      <c r="W285" s="2">
        <v>2</v>
      </c>
      <c r="X285" s="2">
        <v>1</v>
      </c>
      <c r="Y285" s="2">
        <v>1</v>
      </c>
      <c r="Z285" s="2">
        <v>1</v>
      </c>
      <c r="AA285" s="2">
        <v>4</v>
      </c>
      <c r="AB285" s="2">
        <v>1</v>
      </c>
      <c r="AC285" s="2">
        <v>1</v>
      </c>
      <c r="AD285" s="2">
        <v>60</v>
      </c>
      <c r="AE285" s="2">
        <v>3840</v>
      </c>
      <c r="AF285" s="2">
        <v>70</v>
      </c>
      <c r="AG285" s="2">
        <v>454</v>
      </c>
      <c r="AH285" s="2">
        <v>75</v>
      </c>
      <c r="AI285" s="2">
        <v>62</v>
      </c>
      <c r="AJ285" s="1">
        <v>1000000</v>
      </c>
      <c r="AK285" s="1">
        <v>0.8</v>
      </c>
      <c r="AL285" s="1">
        <v>70</v>
      </c>
      <c r="AM285" s="2">
        <v>50</v>
      </c>
      <c r="AN285" s="2">
        <f t="shared" si="4"/>
        <v>50</v>
      </c>
      <c r="AO285" s="3">
        <v>284</v>
      </c>
      <c r="AP285" s="3">
        <v>100</v>
      </c>
      <c r="AQ285" s="3">
        <v>82</v>
      </c>
      <c r="AR285" s="3">
        <v>80</v>
      </c>
      <c r="AS285" s="1">
        <v>3.6</v>
      </c>
      <c r="AT285" s="3">
        <v>3</v>
      </c>
      <c r="AU285" s="3" t="s">
        <v>3051</v>
      </c>
    </row>
    <row r="286" spans="1:47" x14ac:dyDescent="0.3">
      <c r="A286" s="1" t="s">
        <v>815</v>
      </c>
      <c r="B286" s="1" t="s">
        <v>814</v>
      </c>
      <c r="C286" s="1" t="s">
        <v>42</v>
      </c>
      <c r="D286" s="1" t="s">
        <v>52</v>
      </c>
      <c r="E286" s="1" t="s">
        <v>167</v>
      </c>
      <c r="F286" t="s">
        <v>3127</v>
      </c>
      <c r="G286" t="s">
        <v>3262</v>
      </c>
      <c r="H286" t="s">
        <v>3254</v>
      </c>
      <c r="I286" t="s">
        <v>52</v>
      </c>
      <c r="J286" t="s">
        <v>52</v>
      </c>
      <c r="K286" t="s">
        <v>52</v>
      </c>
      <c r="L286" s="2">
        <v>2</v>
      </c>
      <c r="M286" s="2">
        <v>1</v>
      </c>
      <c r="N286" s="2">
        <v>1</v>
      </c>
      <c r="O286" s="2">
        <v>0.5</v>
      </c>
      <c r="P286" s="2">
        <v>1</v>
      </c>
      <c r="Q286" s="2">
        <v>1</v>
      </c>
      <c r="R286" s="2">
        <v>2</v>
      </c>
      <c r="S286" s="2">
        <v>2</v>
      </c>
      <c r="T286" s="2">
        <v>1</v>
      </c>
      <c r="U286" s="2">
        <v>0.5</v>
      </c>
      <c r="V286" s="2">
        <v>0.5</v>
      </c>
      <c r="W286" s="2">
        <v>2</v>
      </c>
      <c r="X286" s="2">
        <v>1</v>
      </c>
      <c r="Y286" s="2">
        <v>2</v>
      </c>
      <c r="Z286" s="2">
        <v>1</v>
      </c>
      <c r="AA286" s="2">
        <v>1</v>
      </c>
      <c r="AB286" s="2">
        <v>1</v>
      </c>
      <c r="AC286" s="2">
        <v>0.5</v>
      </c>
      <c r="AD286" s="2">
        <v>40</v>
      </c>
      <c r="AE286" s="2">
        <v>3840</v>
      </c>
      <c r="AF286" s="2">
        <v>70</v>
      </c>
      <c r="AG286" s="2">
        <v>295</v>
      </c>
      <c r="AH286" s="2">
        <v>255</v>
      </c>
      <c r="AI286" s="2">
        <v>60</v>
      </c>
      <c r="AJ286" s="1">
        <v>1640000</v>
      </c>
      <c r="AK286" s="1">
        <v>0.4</v>
      </c>
      <c r="AL286" s="1">
        <v>60</v>
      </c>
      <c r="AM286" s="2">
        <v>50</v>
      </c>
      <c r="AN286" s="2">
        <f t="shared" si="4"/>
        <v>50</v>
      </c>
      <c r="AO286" s="3">
        <v>285</v>
      </c>
      <c r="AP286" s="3">
        <v>40</v>
      </c>
      <c r="AQ286" s="3">
        <v>60</v>
      </c>
      <c r="AR286" s="3">
        <v>35</v>
      </c>
      <c r="AS286" s="1">
        <v>4.5</v>
      </c>
      <c r="AT286" s="3">
        <v>3</v>
      </c>
      <c r="AU286" s="3" t="s">
        <v>3051</v>
      </c>
    </row>
    <row r="287" spans="1:47" x14ac:dyDescent="0.3">
      <c r="A287" s="1" t="s">
        <v>817</v>
      </c>
      <c r="B287" s="1" t="s">
        <v>816</v>
      </c>
      <c r="C287" s="1" t="s">
        <v>42</v>
      </c>
      <c r="D287" s="1" t="s">
        <v>197</v>
      </c>
      <c r="E287" s="1" t="s">
        <v>167</v>
      </c>
      <c r="F287" t="s">
        <v>3127</v>
      </c>
      <c r="G287" t="s">
        <v>3262</v>
      </c>
      <c r="H287" t="s">
        <v>3169</v>
      </c>
      <c r="I287" t="s">
        <v>52</v>
      </c>
      <c r="J287" t="s">
        <v>52</v>
      </c>
      <c r="K287" t="s">
        <v>52</v>
      </c>
      <c r="L287" s="2">
        <v>1</v>
      </c>
      <c r="M287" s="2">
        <v>0.5</v>
      </c>
      <c r="N287" s="2">
        <v>1</v>
      </c>
      <c r="O287" s="2">
        <v>0.5</v>
      </c>
      <c r="P287" s="2">
        <v>2</v>
      </c>
      <c r="Q287" s="2">
        <v>1</v>
      </c>
      <c r="R287" s="2">
        <v>2</v>
      </c>
      <c r="S287" s="2">
        <v>4</v>
      </c>
      <c r="T287" s="2">
        <v>1</v>
      </c>
      <c r="U287" s="2">
        <v>0.5</v>
      </c>
      <c r="V287" s="2">
        <v>0.5</v>
      </c>
      <c r="W287" s="2">
        <v>2</v>
      </c>
      <c r="X287" s="2">
        <v>1</v>
      </c>
      <c r="Y287" s="2">
        <v>2</v>
      </c>
      <c r="Z287" s="2">
        <v>2</v>
      </c>
      <c r="AA287" s="2">
        <v>0.5</v>
      </c>
      <c r="AB287" s="2">
        <v>1</v>
      </c>
      <c r="AC287" s="2">
        <v>0.5</v>
      </c>
      <c r="AD287" s="2">
        <v>130</v>
      </c>
      <c r="AE287" s="2">
        <v>3840</v>
      </c>
      <c r="AF287" s="2">
        <v>70</v>
      </c>
      <c r="AG287" s="2">
        <v>460</v>
      </c>
      <c r="AH287" s="2">
        <v>90</v>
      </c>
      <c r="AI287" s="2">
        <v>80</v>
      </c>
      <c r="AJ287" s="1">
        <v>1640000</v>
      </c>
      <c r="AK287" s="1">
        <v>1.2</v>
      </c>
      <c r="AL287" s="1">
        <v>60</v>
      </c>
      <c r="AM287" s="2">
        <v>50</v>
      </c>
      <c r="AN287" s="2">
        <f t="shared" si="4"/>
        <v>50</v>
      </c>
      <c r="AO287" s="3">
        <v>286</v>
      </c>
      <c r="AP287" s="3">
        <v>60</v>
      </c>
      <c r="AQ287" s="3">
        <v>60</v>
      </c>
      <c r="AR287" s="3">
        <v>70</v>
      </c>
      <c r="AS287" s="1">
        <v>39.200000000000003</v>
      </c>
      <c r="AT287" s="3">
        <v>3</v>
      </c>
      <c r="AU287" s="3" t="s">
        <v>3051</v>
      </c>
    </row>
    <row r="288" spans="1:47" x14ac:dyDescent="0.3">
      <c r="A288" s="1" t="s">
        <v>820</v>
      </c>
      <c r="B288" s="1" t="s">
        <v>819</v>
      </c>
      <c r="C288" s="1" t="s">
        <v>90</v>
      </c>
      <c r="D288" s="1" t="s">
        <v>52</v>
      </c>
      <c r="E288" s="1" t="s">
        <v>818</v>
      </c>
      <c r="F288" t="s">
        <v>3059</v>
      </c>
      <c r="G288" t="s">
        <v>52</v>
      </c>
      <c r="H288" t="s">
        <v>52</v>
      </c>
      <c r="I288" t="s">
        <v>52</v>
      </c>
      <c r="J288" t="s">
        <v>52</v>
      </c>
      <c r="K288" t="s">
        <v>52</v>
      </c>
      <c r="L288" s="2">
        <v>1</v>
      </c>
      <c r="M288" s="2">
        <v>1</v>
      </c>
      <c r="N288" s="2">
        <v>1</v>
      </c>
      <c r="O288" s="2">
        <v>1</v>
      </c>
      <c r="P288" s="2">
        <v>1</v>
      </c>
      <c r="Q288" s="2">
        <v>2</v>
      </c>
      <c r="R288" s="2">
        <v>1</v>
      </c>
      <c r="S288" s="2">
        <v>1</v>
      </c>
      <c r="T288" s="2">
        <v>0</v>
      </c>
      <c r="U288" s="2">
        <v>1</v>
      </c>
      <c r="V288" s="2">
        <v>1</v>
      </c>
      <c r="W288" s="2">
        <v>1</v>
      </c>
      <c r="X288" s="2">
        <v>1</v>
      </c>
      <c r="Y288" s="2">
        <v>1</v>
      </c>
      <c r="Z288" s="2">
        <v>1</v>
      </c>
      <c r="AA288" s="2">
        <v>1</v>
      </c>
      <c r="AB288" s="2">
        <v>1</v>
      </c>
      <c r="AC288" s="2">
        <v>1</v>
      </c>
      <c r="AD288" s="2">
        <v>60</v>
      </c>
      <c r="AE288" s="2">
        <v>3840</v>
      </c>
      <c r="AF288" s="2">
        <v>70</v>
      </c>
      <c r="AG288" s="2">
        <v>280</v>
      </c>
      <c r="AH288" s="2">
        <v>255</v>
      </c>
      <c r="AI288" s="2">
        <v>60</v>
      </c>
      <c r="AJ288" s="1">
        <v>1250000</v>
      </c>
      <c r="AK288" s="1">
        <v>0.8</v>
      </c>
      <c r="AL288" s="1">
        <v>60</v>
      </c>
      <c r="AM288" s="2">
        <v>50</v>
      </c>
      <c r="AN288" s="2">
        <f t="shared" si="4"/>
        <v>50</v>
      </c>
      <c r="AO288" s="3">
        <v>287</v>
      </c>
      <c r="AP288" s="3">
        <v>35</v>
      </c>
      <c r="AQ288" s="3">
        <v>35</v>
      </c>
      <c r="AR288" s="3">
        <v>30</v>
      </c>
      <c r="AS288" s="1">
        <v>24</v>
      </c>
      <c r="AT288" s="3">
        <v>3</v>
      </c>
      <c r="AU288" s="3" t="s">
        <v>3051</v>
      </c>
    </row>
    <row r="289" spans="1:47" x14ac:dyDescent="0.3">
      <c r="A289" s="1" t="s">
        <v>823</v>
      </c>
      <c r="B289" s="1" t="s">
        <v>822</v>
      </c>
      <c r="C289" s="1" t="s">
        <v>90</v>
      </c>
      <c r="D289" s="1" t="s">
        <v>52</v>
      </c>
      <c r="E289" s="1" t="s">
        <v>821</v>
      </c>
      <c r="F289" t="s">
        <v>3060</v>
      </c>
      <c r="G289" t="s">
        <v>52</v>
      </c>
      <c r="H289" t="s">
        <v>52</v>
      </c>
      <c r="I289" t="s">
        <v>52</v>
      </c>
      <c r="J289" t="s">
        <v>52</v>
      </c>
      <c r="K289" t="s">
        <v>52</v>
      </c>
      <c r="L289" s="2">
        <v>1</v>
      </c>
      <c r="M289" s="2">
        <v>1</v>
      </c>
      <c r="N289" s="2">
        <v>1</v>
      </c>
      <c r="O289" s="2">
        <v>1</v>
      </c>
      <c r="P289" s="2">
        <v>1</v>
      </c>
      <c r="Q289" s="2">
        <v>2</v>
      </c>
      <c r="R289" s="2">
        <v>1</v>
      </c>
      <c r="S289" s="2">
        <v>1</v>
      </c>
      <c r="T289" s="2">
        <v>0</v>
      </c>
      <c r="U289" s="2">
        <v>1</v>
      </c>
      <c r="V289" s="2">
        <v>1</v>
      </c>
      <c r="W289" s="2">
        <v>1</v>
      </c>
      <c r="X289" s="2">
        <v>1</v>
      </c>
      <c r="Y289" s="2">
        <v>1</v>
      </c>
      <c r="Z289" s="2">
        <v>1</v>
      </c>
      <c r="AA289" s="2">
        <v>1</v>
      </c>
      <c r="AB289" s="2">
        <v>1</v>
      </c>
      <c r="AC289" s="2">
        <v>1</v>
      </c>
      <c r="AD289" s="2">
        <v>80</v>
      </c>
      <c r="AE289" s="2">
        <v>3840</v>
      </c>
      <c r="AF289" s="2">
        <v>70</v>
      </c>
      <c r="AG289" s="2">
        <v>440</v>
      </c>
      <c r="AH289" s="2">
        <v>120</v>
      </c>
      <c r="AI289" s="2">
        <v>80</v>
      </c>
      <c r="AJ289" s="1">
        <v>1250000</v>
      </c>
      <c r="AK289" s="1">
        <v>1.4</v>
      </c>
      <c r="AL289" s="1">
        <v>80</v>
      </c>
      <c r="AM289" s="2">
        <v>50</v>
      </c>
      <c r="AN289" s="2">
        <f t="shared" si="4"/>
        <v>50</v>
      </c>
      <c r="AO289" s="3">
        <v>288</v>
      </c>
      <c r="AP289" s="3">
        <v>55</v>
      </c>
      <c r="AQ289" s="3">
        <v>55</v>
      </c>
      <c r="AR289" s="3">
        <v>90</v>
      </c>
      <c r="AS289" s="1">
        <v>46.5</v>
      </c>
      <c r="AT289" s="3">
        <v>3</v>
      </c>
      <c r="AU289" s="3" t="s">
        <v>3051</v>
      </c>
    </row>
    <row r="290" spans="1:47" x14ac:dyDescent="0.3">
      <c r="A290" s="1" t="s">
        <v>826</v>
      </c>
      <c r="B290" s="1" t="s">
        <v>825</v>
      </c>
      <c r="C290" s="1" t="s">
        <v>90</v>
      </c>
      <c r="D290" s="1" t="s">
        <v>52</v>
      </c>
      <c r="E290" s="1" t="s">
        <v>824</v>
      </c>
      <c r="F290" t="s">
        <v>3059</v>
      </c>
      <c r="G290" t="s">
        <v>52</v>
      </c>
      <c r="H290" t="s">
        <v>52</v>
      </c>
      <c r="I290" t="s">
        <v>52</v>
      </c>
      <c r="J290" t="s">
        <v>52</v>
      </c>
      <c r="K290" t="s">
        <v>52</v>
      </c>
      <c r="L290" s="2">
        <v>1</v>
      </c>
      <c r="M290" s="2">
        <v>1</v>
      </c>
      <c r="N290" s="2">
        <v>1</v>
      </c>
      <c r="O290" s="2">
        <v>1</v>
      </c>
      <c r="P290" s="2">
        <v>1</v>
      </c>
      <c r="Q290" s="2">
        <v>2</v>
      </c>
      <c r="R290" s="2">
        <v>1</v>
      </c>
      <c r="S290" s="2">
        <v>1</v>
      </c>
      <c r="T290" s="2">
        <v>0</v>
      </c>
      <c r="U290" s="2">
        <v>1</v>
      </c>
      <c r="V290" s="2">
        <v>1</v>
      </c>
      <c r="W290" s="2">
        <v>1</v>
      </c>
      <c r="X290" s="2">
        <v>1</v>
      </c>
      <c r="Y290" s="2">
        <v>1</v>
      </c>
      <c r="Z290" s="2">
        <v>1</v>
      </c>
      <c r="AA290" s="2">
        <v>1</v>
      </c>
      <c r="AB290" s="2">
        <v>1</v>
      </c>
      <c r="AC290" s="2">
        <v>1</v>
      </c>
      <c r="AD290" s="2">
        <v>160</v>
      </c>
      <c r="AE290" s="2">
        <v>3840</v>
      </c>
      <c r="AF290" s="2">
        <v>70</v>
      </c>
      <c r="AG290" s="2">
        <v>670</v>
      </c>
      <c r="AH290" s="2">
        <v>45</v>
      </c>
      <c r="AI290" s="2">
        <v>100</v>
      </c>
      <c r="AJ290" s="1">
        <v>1250000</v>
      </c>
      <c r="AK290" s="1">
        <v>2</v>
      </c>
      <c r="AL290" s="1">
        <v>150</v>
      </c>
      <c r="AM290" s="2">
        <v>50</v>
      </c>
      <c r="AN290" s="2">
        <f t="shared" si="4"/>
        <v>50</v>
      </c>
      <c r="AO290" s="3">
        <v>289</v>
      </c>
      <c r="AP290" s="3">
        <v>95</v>
      </c>
      <c r="AQ290" s="3">
        <v>65</v>
      </c>
      <c r="AR290" s="3">
        <v>100</v>
      </c>
      <c r="AS290" s="1">
        <v>130.5</v>
      </c>
      <c r="AT290" s="3">
        <v>3</v>
      </c>
      <c r="AU290" s="3" t="s">
        <v>3051</v>
      </c>
    </row>
    <row r="291" spans="1:47" x14ac:dyDescent="0.3">
      <c r="A291" s="1" t="s">
        <v>829</v>
      </c>
      <c r="B291" s="1" t="s">
        <v>828</v>
      </c>
      <c r="C291" s="1" t="s">
        <v>72</v>
      </c>
      <c r="D291" s="1" t="s">
        <v>120</v>
      </c>
      <c r="E291" s="1" t="s">
        <v>827</v>
      </c>
      <c r="F291" t="s">
        <v>3117</v>
      </c>
      <c r="G291" t="s">
        <v>3119</v>
      </c>
      <c r="H291" t="s">
        <v>52</v>
      </c>
      <c r="I291" t="s">
        <v>52</v>
      </c>
      <c r="J291" t="s">
        <v>52</v>
      </c>
      <c r="K291" t="s">
        <v>52</v>
      </c>
      <c r="L291" s="2">
        <v>1</v>
      </c>
      <c r="M291" s="2">
        <v>1</v>
      </c>
      <c r="N291" s="2">
        <v>1</v>
      </c>
      <c r="O291" s="2">
        <v>0</v>
      </c>
      <c r="P291" s="2">
        <v>1</v>
      </c>
      <c r="Q291" s="2">
        <v>0.5</v>
      </c>
      <c r="R291" s="2">
        <v>2</v>
      </c>
      <c r="S291" s="2">
        <v>2</v>
      </c>
      <c r="T291" s="2">
        <v>1</v>
      </c>
      <c r="U291" s="2">
        <v>1</v>
      </c>
      <c r="V291" s="2">
        <v>0.5</v>
      </c>
      <c r="W291" s="2">
        <v>2</v>
      </c>
      <c r="X291" s="2">
        <v>1</v>
      </c>
      <c r="Y291" s="2">
        <v>0.5</v>
      </c>
      <c r="Z291" s="2">
        <v>1</v>
      </c>
      <c r="AA291" s="2">
        <v>1</v>
      </c>
      <c r="AB291" s="2">
        <v>1</v>
      </c>
      <c r="AC291" s="2">
        <v>2</v>
      </c>
      <c r="AD291" s="2">
        <v>45</v>
      </c>
      <c r="AE291" s="2">
        <v>3840</v>
      </c>
      <c r="AF291" s="2">
        <v>70</v>
      </c>
      <c r="AG291" s="2">
        <v>266</v>
      </c>
      <c r="AH291" s="2">
        <v>255</v>
      </c>
      <c r="AI291" s="2">
        <v>90</v>
      </c>
      <c r="AJ291" s="1">
        <v>600000</v>
      </c>
      <c r="AK291" s="1">
        <v>0.5</v>
      </c>
      <c r="AL291" s="1">
        <v>31</v>
      </c>
      <c r="AM291" s="2">
        <v>50</v>
      </c>
      <c r="AN291" s="2">
        <f t="shared" si="4"/>
        <v>50</v>
      </c>
      <c r="AO291" s="3">
        <v>290</v>
      </c>
      <c r="AP291" s="3">
        <v>30</v>
      </c>
      <c r="AQ291" s="3">
        <v>30</v>
      </c>
      <c r="AR291" s="3">
        <v>40</v>
      </c>
      <c r="AS291" s="1">
        <v>5.5</v>
      </c>
      <c r="AT291" s="3">
        <v>3</v>
      </c>
      <c r="AU291" s="3" t="s">
        <v>3051</v>
      </c>
    </row>
    <row r="292" spans="1:47" x14ac:dyDescent="0.3">
      <c r="A292" s="1" t="s">
        <v>832</v>
      </c>
      <c r="B292" s="1" t="s">
        <v>831</v>
      </c>
      <c r="C292" s="1" t="s">
        <v>72</v>
      </c>
      <c r="D292" s="1" t="s">
        <v>58</v>
      </c>
      <c r="E292" s="1" t="s">
        <v>830</v>
      </c>
      <c r="F292" t="s">
        <v>3149</v>
      </c>
      <c r="G292" t="s">
        <v>3234</v>
      </c>
      <c r="H292" t="s">
        <v>52</v>
      </c>
      <c r="I292" t="s">
        <v>52</v>
      </c>
      <c r="J292" t="s">
        <v>52</v>
      </c>
      <c r="K292" t="s">
        <v>52</v>
      </c>
      <c r="L292" s="2">
        <v>0.5</v>
      </c>
      <c r="M292" s="2">
        <v>1</v>
      </c>
      <c r="N292" s="2">
        <v>1</v>
      </c>
      <c r="O292" s="2">
        <v>2</v>
      </c>
      <c r="P292" s="2">
        <v>1</v>
      </c>
      <c r="Q292" s="2">
        <v>0.25</v>
      </c>
      <c r="R292" s="2">
        <v>2</v>
      </c>
      <c r="S292" s="2">
        <v>2</v>
      </c>
      <c r="T292" s="2">
        <v>1</v>
      </c>
      <c r="U292" s="2">
        <v>0.25</v>
      </c>
      <c r="V292" s="2">
        <v>0</v>
      </c>
      <c r="W292" s="2">
        <v>2</v>
      </c>
      <c r="X292" s="2">
        <v>1</v>
      </c>
      <c r="Y292" s="2">
        <v>1</v>
      </c>
      <c r="Z292" s="2">
        <v>1</v>
      </c>
      <c r="AA292" s="2">
        <v>4</v>
      </c>
      <c r="AB292" s="2">
        <v>1</v>
      </c>
      <c r="AC292" s="2">
        <v>1</v>
      </c>
      <c r="AD292" s="2">
        <v>90</v>
      </c>
      <c r="AE292" s="2">
        <v>3840</v>
      </c>
      <c r="AF292" s="2">
        <v>70</v>
      </c>
      <c r="AG292" s="2">
        <v>456</v>
      </c>
      <c r="AH292" s="2">
        <v>120</v>
      </c>
      <c r="AI292" s="2">
        <v>45</v>
      </c>
      <c r="AJ292" s="1">
        <v>600000</v>
      </c>
      <c r="AK292" s="1">
        <v>0.8</v>
      </c>
      <c r="AL292" s="1">
        <v>61</v>
      </c>
      <c r="AM292" s="2">
        <v>50</v>
      </c>
      <c r="AN292" s="2">
        <f t="shared" si="4"/>
        <v>50</v>
      </c>
      <c r="AO292" s="3">
        <v>291</v>
      </c>
      <c r="AP292" s="3">
        <v>50</v>
      </c>
      <c r="AQ292" s="3">
        <v>50</v>
      </c>
      <c r="AR292" s="3">
        <v>160</v>
      </c>
      <c r="AS292" s="1">
        <v>12</v>
      </c>
      <c r="AT292" s="3">
        <v>3</v>
      </c>
      <c r="AU292" s="3" t="s">
        <v>3051</v>
      </c>
    </row>
    <row r="293" spans="1:47" x14ac:dyDescent="0.3">
      <c r="A293" s="1" t="s">
        <v>835</v>
      </c>
      <c r="B293" s="1" t="s">
        <v>834</v>
      </c>
      <c r="C293" s="1" t="s">
        <v>72</v>
      </c>
      <c r="D293" s="1" t="s">
        <v>293</v>
      </c>
      <c r="E293" s="1" t="s">
        <v>833</v>
      </c>
      <c r="F293" t="s">
        <v>3061</v>
      </c>
      <c r="G293" t="s">
        <v>52</v>
      </c>
      <c r="H293" t="s">
        <v>52</v>
      </c>
      <c r="I293" t="s">
        <v>52</v>
      </c>
      <c r="J293" t="s">
        <v>52</v>
      </c>
      <c r="K293" t="s">
        <v>52</v>
      </c>
      <c r="L293" s="2">
        <v>0.5</v>
      </c>
      <c r="M293" s="2">
        <v>2</v>
      </c>
      <c r="N293" s="2">
        <v>1</v>
      </c>
      <c r="O293" s="2">
        <v>1</v>
      </c>
      <c r="P293" s="2">
        <v>1</v>
      </c>
      <c r="Q293" s="2">
        <v>0</v>
      </c>
      <c r="R293" s="2">
        <v>2</v>
      </c>
      <c r="S293" s="2">
        <v>2</v>
      </c>
      <c r="T293" s="2">
        <v>2</v>
      </c>
      <c r="U293" s="2">
        <v>0.5</v>
      </c>
      <c r="V293" s="2">
        <v>0.5</v>
      </c>
      <c r="W293" s="2">
        <v>1</v>
      </c>
      <c r="X293" s="2">
        <v>0</v>
      </c>
      <c r="Y293" s="2">
        <v>0.5</v>
      </c>
      <c r="Z293" s="2">
        <v>1</v>
      </c>
      <c r="AA293" s="2">
        <v>2</v>
      </c>
      <c r="AB293" s="2">
        <v>1</v>
      </c>
      <c r="AC293" s="2">
        <v>1</v>
      </c>
      <c r="AD293" s="2">
        <v>90</v>
      </c>
      <c r="AE293" s="2">
        <v>3840</v>
      </c>
      <c r="AF293" s="2">
        <v>70</v>
      </c>
      <c r="AG293" s="2">
        <v>236</v>
      </c>
      <c r="AH293" s="2">
        <v>45</v>
      </c>
      <c r="AI293" s="2">
        <v>45</v>
      </c>
      <c r="AJ293" s="1">
        <v>600000</v>
      </c>
      <c r="AK293" s="1">
        <v>0.8</v>
      </c>
      <c r="AL293" s="1">
        <v>1</v>
      </c>
      <c r="AM293" s="2" t="s">
        <v>52</v>
      </c>
      <c r="AN293" s="2" t="str">
        <f t="shared" si="4"/>
        <v/>
      </c>
      <c r="AO293" s="3">
        <v>292</v>
      </c>
      <c r="AP293" s="3">
        <v>30</v>
      </c>
      <c r="AQ293" s="3">
        <v>30</v>
      </c>
      <c r="AR293" s="3">
        <v>40</v>
      </c>
      <c r="AS293" s="1">
        <v>1.2</v>
      </c>
      <c r="AT293" s="3">
        <v>3</v>
      </c>
      <c r="AU293" s="3" t="s">
        <v>3051</v>
      </c>
    </row>
    <row r="294" spans="1:47" x14ac:dyDescent="0.3">
      <c r="A294" s="1" t="s">
        <v>838</v>
      </c>
      <c r="B294" s="1" t="s">
        <v>837</v>
      </c>
      <c r="C294" s="1" t="s">
        <v>90</v>
      </c>
      <c r="D294" s="1" t="s">
        <v>52</v>
      </c>
      <c r="E294" s="1" t="s">
        <v>836</v>
      </c>
      <c r="F294" t="s">
        <v>3139</v>
      </c>
      <c r="G294" t="s">
        <v>3238</v>
      </c>
      <c r="H294" t="s">
        <v>52</v>
      </c>
      <c r="I294" t="s">
        <v>52</v>
      </c>
      <c r="J294" t="s">
        <v>52</v>
      </c>
      <c r="K294" t="s">
        <v>52</v>
      </c>
      <c r="L294" s="2">
        <v>1</v>
      </c>
      <c r="M294" s="2">
        <v>1</v>
      </c>
      <c r="N294" s="2">
        <v>1</v>
      </c>
      <c r="O294" s="2">
        <v>1</v>
      </c>
      <c r="P294" s="2">
        <v>1</v>
      </c>
      <c r="Q294" s="2">
        <v>2</v>
      </c>
      <c r="R294" s="2">
        <v>1</v>
      </c>
      <c r="S294" s="2">
        <v>1</v>
      </c>
      <c r="T294" s="2">
        <v>0</v>
      </c>
      <c r="U294" s="2">
        <v>1</v>
      </c>
      <c r="V294" s="2">
        <v>1</v>
      </c>
      <c r="W294" s="2">
        <v>1</v>
      </c>
      <c r="X294" s="2">
        <v>1</v>
      </c>
      <c r="Y294" s="2">
        <v>1</v>
      </c>
      <c r="Z294" s="2">
        <v>1</v>
      </c>
      <c r="AA294" s="2">
        <v>1</v>
      </c>
      <c r="AB294" s="2">
        <v>1</v>
      </c>
      <c r="AC294" s="2">
        <v>1</v>
      </c>
      <c r="AD294" s="2">
        <v>51</v>
      </c>
      <c r="AE294" s="2">
        <v>5120</v>
      </c>
      <c r="AF294" s="2">
        <v>70</v>
      </c>
      <c r="AG294" s="2">
        <v>240</v>
      </c>
      <c r="AH294" s="2">
        <v>190</v>
      </c>
      <c r="AI294" s="2">
        <v>23</v>
      </c>
      <c r="AJ294" s="1">
        <v>1059860</v>
      </c>
      <c r="AK294" s="1">
        <v>0.6</v>
      </c>
      <c r="AL294" s="1">
        <v>64</v>
      </c>
      <c r="AM294" s="2">
        <v>50</v>
      </c>
      <c r="AN294" s="2">
        <f t="shared" si="4"/>
        <v>50</v>
      </c>
      <c r="AO294" s="3">
        <v>293</v>
      </c>
      <c r="AP294" s="3">
        <v>51</v>
      </c>
      <c r="AQ294" s="3">
        <v>23</v>
      </c>
      <c r="AR294" s="3">
        <v>28</v>
      </c>
      <c r="AS294" s="1">
        <v>16.3</v>
      </c>
      <c r="AT294" s="3">
        <v>3</v>
      </c>
      <c r="AU294" s="3" t="s">
        <v>3051</v>
      </c>
    </row>
    <row r="295" spans="1:47" x14ac:dyDescent="0.3">
      <c r="A295" s="1" t="s">
        <v>841</v>
      </c>
      <c r="B295" s="1" t="s">
        <v>840</v>
      </c>
      <c r="C295" s="1" t="s">
        <v>90</v>
      </c>
      <c r="D295" s="1" t="s">
        <v>52</v>
      </c>
      <c r="E295" s="1" t="s">
        <v>839</v>
      </c>
      <c r="F295" t="s">
        <v>3139</v>
      </c>
      <c r="G295" t="s">
        <v>3250</v>
      </c>
      <c r="H295" t="s">
        <v>52</v>
      </c>
      <c r="I295" t="s">
        <v>52</v>
      </c>
      <c r="J295" t="s">
        <v>52</v>
      </c>
      <c r="K295" t="s">
        <v>52</v>
      </c>
      <c r="L295" s="2">
        <v>1</v>
      </c>
      <c r="M295" s="2">
        <v>1</v>
      </c>
      <c r="N295" s="2">
        <v>1</v>
      </c>
      <c r="O295" s="2">
        <v>1</v>
      </c>
      <c r="P295" s="2">
        <v>1</v>
      </c>
      <c r="Q295" s="2">
        <v>2</v>
      </c>
      <c r="R295" s="2">
        <v>1</v>
      </c>
      <c r="S295" s="2">
        <v>1</v>
      </c>
      <c r="T295" s="2">
        <v>0</v>
      </c>
      <c r="U295" s="2">
        <v>1</v>
      </c>
      <c r="V295" s="2">
        <v>1</v>
      </c>
      <c r="W295" s="2">
        <v>1</v>
      </c>
      <c r="X295" s="2">
        <v>1</v>
      </c>
      <c r="Y295" s="2">
        <v>1</v>
      </c>
      <c r="Z295" s="2">
        <v>1</v>
      </c>
      <c r="AA295" s="2">
        <v>1</v>
      </c>
      <c r="AB295" s="2">
        <v>1</v>
      </c>
      <c r="AC295" s="2">
        <v>1</v>
      </c>
      <c r="AD295" s="2">
        <v>71</v>
      </c>
      <c r="AE295" s="2">
        <v>5120</v>
      </c>
      <c r="AF295" s="2">
        <v>70</v>
      </c>
      <c r="AG295" s="2">
        <v>360</v>
      </c>
      <c r="AH295" s="2">
        <v>120</v>
      </c>
      <c r="AI295" s="2">
        <v>43</v>
      </c>
      <c r="AJ295" s="1">
        <v>1059860</v>
      </c>
      <c r="AK295" s="1">
        <v>1</v>
      </c>
      <c r="AL295" s="1">
        <v>84</v>
      </c>
      <c r="AM295" s="2">
        <v>50</v>
      </c>
      <c r="AN295" s="2">
        <f t="shared" si="4"/>
        <v>50</v>
      </c>
      <c r="AO295" s="3">
        <v>294</v>
      </c>
      <c r="AP295" s="3">
        <v>71</v>
      </c>
      <c r="AQ295" s="3">
        <v>43</v>
      </c>
      <c r="AR295" s="3">
        <v>48</v>
      </c>
      <c r="AS295" s="1">
        <v>40.5</v>
      </c>
      <c r="AT295" s="3">
        <v>3</v>
      </c>
      <c r="AU295" s="3" t="s">
        <v>3051</v>
      </c>
    </row>
    <row r="296" spans="1:47" x14ac:dyDescent="0.3">
      <c r="A296" s="1" t="s">
        <v>844</v>
      </c>
      <c r="B296" s="1" t="s">
        <v>843</v>
      </c>
      <c r="C296" s="1" t="s">
        <v>90</v>
      </c>
      <c r="D296" s="1" t="s">
        <v>52</v>
      </c>
      <c r="E296" s="1" t="s">
        <v>842</v>
      </c>
      <c r="F296" t="s">
        <v>3139</v>
      </c>
      <c r="G296" t="s">
        <v>3250</v>
      </c>
      <c r="H296" t="s">
        <v>52</v>
      </c>
      <c r="I296" t="s">
        <v>52</v>
      </c>
      <c r="J296" t="s">
        <v>52</v>
      </c>
      <c r="K296" t="s">
        <v>52</v>
      </c>
      <c r="L296" s="2">
        <v>1</v>
      </c>
      <c r="M296" s="2">
        <v>1</v>
      </c>
      <c r="N296" s="2">
        <v>1</v>
      </c>
      <c r="O296" s="2">
        <v>1</v>
      </c>
      <c r="P296" s="2">
        <v>1</v>
      </c>
      <c r="Q296" s="2">
        <v>2</v>
      </c>
      <c r="R296" s="2">
        <v>1</v>
      </c>
      <c r="S296" s="2">
        <v>1</v>
      </c>
      <c r="T296" s="2">
        <v>0</v>
      </c>
      <c r="U296" s="2">
        <v>1</v>
      </c>
      <c r="V296" s="2">
        <v>1</v>
      </c>
      <c r="W296" s="2">
        <v>1</v>
      </c>
      <c r="X296" s="2">
        <v>1</v>
      </c>
      <c r="Y296" s="2">
        <v>1</v>
      </c>
      <c r="Z296" s="2">
        <v>1</v>
      </c>
      <c r="AA296" s="2">
        <v>1</v>
      </c>
      <c r="AB296" s="2">
        <v>1</v>
      </c>
      <c r="AC296" s="2">
        <v>1</v>
      </c>
      <c r="AD296" s="2">
        <v>91</v>
      </c>
      <c r="AE296" s="2">
        <v>5120</v>
      </c>
      <c r="AF296" s="2">
        <v>70</v>
      </c>
      <c r="AG296" s="2">
        <v>490</v>
      </c>
      <c r="AH296" s="2">
        <v>45</v>
      </c>
      <c r="AI296" s="2">
        <v>63</v>
      </c>
      <c r="AJ296" s="1">
        <v>1059860</v>
      </c>
      <c r="AK296" s="1">
        <v>1.5</v>
      </c>
      <c r="AL296" s="1">
        <v>104</v>
      </c>
      <c r="AM296" s="2">
        <v>50</v>
      </c>
      <c r="AN296" s="2">
        <f t="shared" si="4"/>
        <v>50</v>
      </c>
      <c r="AO296" s="3">
        <v>295</v>
      </c>
      <c r="AP296" s="3">
        <v>91</v>
      </c>
      <c r="AQ296" s="3">
        <v>73</v>
      </c>
      <c r="AR296" s="3">
        <v>68</v>
      </c>
      <c r="AS296" s="1">
        <v>84</v>
      </c>
      <c r="AT296" s="3">
        <v>3</v>
      </c>
      <c r="AU296" s="3" t="s">
        <v>3051</v>
      </c>
    </row>
    <row r="297" spans="1:47" x14ac:dyDescent="0.3">
      <c r="A297" s="1" t="s">
        <v>847</v>
      </c>
      <c r="B297" s="1" t="s">
        <v>846</v>
      </c>
      <c r="C297" s="1" t="s">
        <v>197</v>
      </c>
      <c r="D297" s="1" t="s">
        <v>52</v>
      </c>
      <c r="E297" s="1" t="s">
        <v>845</v>
      </c>
      <c r="F297" t="s">
        <v>3135</v>
      </c>
      <c r="G297" t="s">
        <v>3131</v>
      </c>
      <c r="H297" t="s">
        <v>3184</v>
      </c>
      <c r="I297" t="s">
        <v>52</v>
      </c>
      <c r="J297" t="s">
        <v>52</v>
      </c>
      <c r="K297" t="s">
        <v>52</v>
      </c>
      <c r="L297" s="2">
        <v>0.5</v>
      </c>
      <c r="M297" s="2">
        <v>0.5</v>
      </c>
      <c r="N297" s="2">
        <v>1</v>
      </c>
      <c r="O297" s="2">
        <v>1</v>
      </c>
      <c r="P297" s="2">
        <v>2</v>
      </c>
      <c r="Q297" s="2">
        <v>1</v>
      </c>
      <c r="R297" s="2">
        <v>1</v>
      </c>
      <c r="S297" s="2">
        <v>2</v>
      </c>
      <c r="T297" s="2">
        <v>1</v>
      </c>
      <c r="U297" s="2">
        <v>1</v>
      </c>
      <c r="V297" s="2">
        <v>1</v>
      </c>
      <c r="W297" s="2">
        <v>1</v>
      </c>
      <c r="X297" s="2">
        <v>1</v>
      </c>
      <c r="Y297" s="2">
        <v>1</v>
      </c>
      <c r="Z297" s="2">
        <v>2</v>
      </c>
      <c r="AA297" s="2">
        <v>0.5</v>
      </c>
      <c r="AB297" s="2">
        <v>1</v>
      </c>
      <c r="AC297" s="2">
        <v>1</v>
      </c>
      <c r="AD297" s="2">
        <v>60</v>
      </c>
      <c r="AE297" s="2">
        <v>5120</v>
      </c>
      <c r="AF297" s="2">
        <v>70</v>
      </c>
      <c r="AG297" s="2">
        <v>237</v>
      </c>
      <c r="AH297" s="2">
        <v>180</v>
      </c>
      <c r="AI297" s="2">
        <v>30</v>
      </c>
      <c r="AJ297" s="1">
        <v>1640000</v>
      </c>
      <c r="AK297" s="1">
        <v>1</v>
      </c>
      <c r="AL297" s="1">
        <v>72</v>
      </c>
      <c r="AM297" s="2">
        <v>75.400000000000006</v>
      </c>
      <c r="AN297" s="2">
        <f t="shared" si="4"/>
        <v>24.599999999999994</v>
      </c>
      <c r="AO297" s="3">
        <v>296</v>
      </c>
      <c r="AP297" s="3">
        <v>20</v>
      </c>
      <c r="AQ297" s="3">
        <v>30</v>
      </c>
      <c r="AR297" s="3">
        <v>25</v>
      </c>
      <c r="AS297" s="1">
        <v>86.4</v>
      </c>
      <c r="AT297" s="3">
        <v>3</v>
      </c>
      <c r="AU297" s="3" t="s">
        <v>3051</v>
      </c>
    </row>
    <row r="298" spans="1:47" x14ac:dyDescent="0.3">
      <c r="A298" s="1" t="s">
        <v>850</v>
      </c>
      <c r="B298" s="1" t="s">
        <v>849</v>
      </c>
      <c r="C298" s="1" t="s">
        <v>197</v>
      </c>
      <c r="D298" s="1" t="s">
        <v>52</v>
      </c>
      <c r="E298" s="1" t="s">
        <v>848</v>
      </c>
      <c r="F298" t="s">
        <v>3135</v>
      </c>
      <c r="G298" t="s">
        <v>3131</v>
      </c>
      <c r="H298" t="s">
        <v>3184</v>
      </c>
      <c r="I298" t="s">
        <v>52</v>
      </c>
      <c r="J298" t="s">
        <v>52</v>
      </c>
      <c r="K298" t="s">
        <v>52</v>
      </c>
      <c r="L298" s="2">
        <v>0.5</v>
      </c>
      <c r="M298" s="2">
        <v>0.5</v>
      </c>
      <c r="N298" s="2">
        <v>1</v>
      </c>
      <c r="O298" s="2">
        <v>1</v>
      </c>
      <c r="P298" s="2">
        <v>2</v>
      </c>
      <c r="Q298" s="2">
        <v>1</v>
      </c>
      <c r="R298" s="2">
        <v>1</v>
      </c>
      <c r="S298" s="2">
        <v>2</v>
      </c>
      <c r="T298" s="2">
        <v>1</v>
      </c>
      <c r="U298" s="2">
        <v>1</v>
      </c>
      <c r="V298" s="2">
        <v>1</v>
      </c>
      <c r="W298" s="2">
        <v>1</v>
      </c>
      <c r="X298" s="2">
        <v>1</v>
      </c>
      <c r="Y298" s="2">
        <v>1</v>
      </c>
      <c r="Z298" s="2">
        <v>2</v>
      </c>
      <c r="AA298" s="2">
        <v>0.5</v>
      </c>
      <c r="AB298" s="2">
        <v>1</v>
      </c>
      <c r="AC298" s="2">
        <v>1</v>
      </c>
      <c r="AD298" s="2">
        <v>120</v>
      </c>
      <c r="AE298" s="2">
        <v>5120</v>
      </c>
      <c r="AF298" s="2">
        <v>70</v>
      </c>
      <c r="AG298" s="2">
        <v>474</v>
      </c>
      <c r="AH298" s="2">
        <v>200</v>
      </c>
      <c r="AI298" s="2">
        <v>60</v>
      </c>
      <c r="AJ298" s="1">
        <v>1640000</v>
      </c>
      <c r="AK298" s="1">
        <v>2.2999999999999998</v>
      </c>
      <c r="AL298" s="1">
        <v>144</v>
      </c>
      <c r="AM298" s="2">
        <v>75.400000000000006</v>
      </c>
      <c r="AN298" s="2">
        <f t="shared" si="4"/>
        <v>24.599999999999994</v>
      </c>
      <c r="AO298" s="3">
        <v>297</v>
      </c>
      <c r="AP298" s="3">
        <v>40</v>
      </c>
      <c r="AQ298" s="3">
        <v>60</v>
      </c>
      <c r="AR298" s="3">
        <v>50</v>
      </c>
      <c r="AS298" s="1">
        <v>253.8</v>
      </c>
      <c r="AT298" s="3">
        <v>3</v>
      </c>
      <c r="AU298" s="3" t="s">
        <v>3051</v>
      </c>
    </row>
    <row r="299" spans="1:47" x14ac:dyDescent="0.3">
      <c r="A299" s="1" t="s">
        <v>853</v>
      </c>
      <c r="B299" s="1" t="s">
        <v>852</v>
      </c>
      <c r="C299" s="1" t="s">
        <v>90</v>
      </c>
      <c r="D299" s="1" t="s">
        <v>141</v>
      </c>
      <c r="E299" s="1" t="s">
        <v>851</v>
      </c>
      <c r="F299" t="s">
        <v>3135</v>
      </c>
      <c r="G299" t="s">
        <v>3258</v>
      </c>
      <c r="H299" t="s">
        <v>3194</v>
      </c>
      <c r="I299" t="s">
        <v>52</v>
      </c>
      <c r="J299" t="s">
        <v>52</v>
      </c>
      <c r="K299" t="s">
        <v>52</v>
      </c>
      <c r="L299" s="2">
        <v>0.5</v>
      </c>
      <c r="M299" s="2">
        <v>0.5</v>
      </c>
      <c r="N299" s="2">
        <v>0</v>
      </c>
      <c r="O299" s="2">
        <v>1</v>
      </c>
      <c r="P299" s="2">
        <v>1</v>
      </c>
      <c r="Q299" s="2">
        <v>1</v>
      </c>
      <c r="R299" s="2">
        <v>1</v>
      </c>
      <c r="S299" s="2">
        <v>1</v>
      </c>
      <c r="T299" s="2">
        <v>0</v>
      </c>
      <c r="U299" s="2">
        <v>1</v>
      </c>
      <c r="V299" s="2">
        <v>1</v>
      </c>
      <c r="W299" s="2">
        <v>1</v>
      </c>
      <c r="X299" s="2">
        <v>1</v>
      </c>
      <c r="Y299" s="2">
        <v>2</v>
      </c>
      <c r="Z299" s="2">
        <v>1</v>
      </c>
      <c r="AA299" s="2">
        <v>1</v>
      </c>
      <c r="AB299" s="2">
        <v>2</v>
      </c>
      <c r="AC299" s="2">
        <v>1</v>
      </c>
      <c r="AD299" s="2">
        <v>20</v>
      </c>
      <c r="AE299" s="2">
        <v>2560</v>
      </c>
      <c r="AF299" s="2">
        <v>70</v>
      </c>
      <c r="AG299" s="2">
        <v>190</v>
      </c>
      <c r="AH299" s="2">
        <v>150</v>
      </c>
      <c r="AI299" s="2">
        <v>40</v>
      </c>
      <c r="AJ299" s="1">
        <v>800000</v>
      </c>
      <c r="AK299" s="1">
        <v>0.2</v>
      </c>
      <c r="AL299" s="1">
        <v>50</v>
      </c>
      <c r="AM299" s="2">
        <v>24.6</v>
      </c>
      <c r="AN299" s="2">
        <f t="shared" si="4"/>
        <v>75.400000000000006</v>
      </c>
      <c r="AO299" s="3">
        <v>298</v>
      </c>
      <c r="AP299" s="3">
        <v>20</v>
      </c>
      <c r="AQ299" s="3">
        <v>40</v>
      </c>
      <c r="AR299" s="3">
        <v>20</v>
      </c>
      <c r="AS299" s="1">
        <v>2</v>
      </c>
      <c r="AT299" s="3">
        <v>3</v>
      </c>
      <c r="AU299" s="3" t="s">
        <v>3051</v>
      </c>
    </row>
    <row r="300" spans="1:47" x14ac:dyDescent="0.3">
      <c r="A300" s="1" t="s">
        <v>856</v>
      </c>
      <c r="B300" s="1" t="s">
        <v>855</v>
      </c>
      <c r="C300" s="1" t="s">
        <v>243</v>
      </c>
      <c r="D300" s="1" t="s">
        <v>52</v>
      </c>
      <c r="E300" s="1" t="s">
        <v>854</v>
      </c>
      <c r="F300" t="s">
        <v>3107</v>
      </c>
      <c r="G300" t="s">
        <v>3134</v>
      </c>
      <c r="H300" t="s">
        <v>3192</v>
      </c>
      <c r="I300" t="s">
        <v>52</v>
      </c>
      <c r="J300" t="s">
        <v>52</v>
      </c>
      <c r="K300" t="s">
        <v>52</v>
      </c>
      <c r="L300" s="2">
        <v>1</v>
      </c>
      <c r="M300" s="2">
        <v>1</v>
      </c>
      <c r="N300" s="2">
        <v>1</v>
      </c>
      <c r="O300" s="2">
        <v>1</v>
      </c>
      <c r="P300" s="2">
        <v>1</v>
      </c>
      <c r="Q300" s="2">
        <v>2</v>
      </c>
      <c r="R300" s="2">
        <v>0.5</v>
      </c>
      <c r="S300" s="2">
        <v>0.5</v>
      </c>
      <c r="T300" s="2">
        <v>1</v>
      </c>
      <c r="U300" s="2">
        <v>2</v>
      </c>
      <c r="V300" s="2">
        <v>2</v>
      </c>
      <c r="W300" s="2">
        <v>1</v>
      </c>
      <c r="X300" s="2">
        <v>0.5</v>
      </c>
      <c r="Y300" s="2">
        <v>0.5</v>
      </c>
      <c r="Z300" s="2">
        <v>1</v>
      </c>
      <c r="AA300" s="2">
        <v>1</v>
      </c>
      <c r="AB300" s="2">
        <v>2</v>
      </c>
      <c r="AC300" s="2">
        <v>2</v>
      </c>
      <c r="AD300" s="2">
        <v>45</v>
      </c>
      <c r="AE300" s="2">
        <v>5120</v>
      </c>
      <c r="AF300" s="2">
        <v>70</v>
      </c>
      <c r="AG300" s="2">
        <v>375</v>
      </c>
      <c r="AH300" s="2">
        <v>255</v>
      </c>
      <c r="AI300" s="2">
        <v>135</v>
      </c>
      <c r="AJ300" s="1">
        <v>1000000</v>
      </c>
      <c r="AK300" s="1">
        <v>1</v>
      </c>
      <c r="AL300" s="1">
        <v>30</v>
      </c>
      <c r="AM300" s="2">
        <v>50</v>
      </c>
      <c r="AN300" s="2">
        <f t="shared" si="4"/>
        <v>50</v>
      </c>
      <c r="AO300" s="3">
        <v>299</v>
      </c>
      <c r="AP300" s="3">
        <v>45</v>
      </c>
      <c r="AQ300" s="3">
        <v>90</v>
      </c>
      <c r="AR300" s="3">
        <v>30</v>
      </c>
      <c r="AS300" s="1">
        <v>97</v>
      </c>
      <c r="AT300" s="3">
        <v>3</v>
      </c>
      <c r="AU300" s="3" t="s">
        <v>3051</v>
      </c>
    </row>
    <row r="301" spans="1:47" x14ac:dyDescent="0.3">
      <c r="A301" s="1" t="s">
        <v>859</v>
      </c>
      <c r="B301" s="1" t="s">
        <v>858</v>
      </c>
      <c r="C301" s="1" t="s">
        <v>90</v>
      </c>
      <c r="D301" s="1" t="s">
        <v>52</v>
      </c>
      <c r="E301" s="1" t="s">
        <v>857</v>
      </c>
      <c r="F301" t="s">
        <v>3124</v>
      </c>
      <c r="G301" t="s">
        <v>3263</v>
      </c>
      <c r="H301" t="s">
        <v>3235</v>
      </c>
      <c r="I301" t="s">
        <v>52</v>
      </c>
      <c r="J301" t="s">
        <v>52</v>
      </c>
      <c r="K301" t="s">
        <v>52</v>
      </c>
      <c r="L301" s="2">
        <v>1</v>
      </c>
      <c r="M301" s="2">
        <v>1</v>
      </c>
      <c r="N301" s="2">
        <v>1</v>
      </c>
      <c r="O301" s="2">
        <v>1</v>
      </c>
      <c r="P301" s="2">
        <v>1</v>
      </c>
      <c r="Q301" s="2">
        <v>2</v>
      </c>
      <c r="R301" s="2">
        <v>1</v>
      </c>
      <c r="S301" s="2">
        <v>1</v>
      </c>
      <c r="T301" s="2">
        <v>0</v>
      </c>
      <c r="U301" s="2">
        <v>1</v>
      </c>
      <c r="V301" s="2">
        <v>1</v>
      </c>
      <c r="W301" s="2">
        <v>1</v>
      </c>
      <c r="X301" s="2">
        <v>1</v>
      </c>
      <c r="Y301" s="2">
        <v>1</v>
      </c>
      <c r="Z301" s="2">
        <v>1</v>
      </c>
      <c r="AA301" s="2">
        <v>1</v>
      </c>
      <c r="AB301" s="2">
        <v>1</v>
      </c>
      <c r="AC301" s="2">
        <v>1</v>
      </c>
      <c r="AD301" s="2">
        <v>45</v>
      </c>
      <c r="AE301" s="2">
        <v>3840</v>
      </c>
      <c r="AF301" s="2">
        <v>70</v>
      </c>
      <c r="AG301" s="2">
        <v>260</v>
      </c>
      <c r="AH301" s="2">
        <v>255</v>
      </c>
      <c r="AI301" s="2">
        <v>45</v>
      </c>
      <c r="AJ301" s="1">
        <v>800000</v>
      </c>
      <c r="AK301" s="1">
        <v>0.6</v>
      </c>
      <c r="AL301" s="1">
        <v>50</v>
      </c>
      <c r="AM301" s="2">
        <v>24.6</v>
      </c>
      <c r="AN301" s="2">
        <f t="shared" si="4"/>
        <v>75.400000000000006</v>
      </c>
      <c r="AO301" s="3">
        <v>300</v>
      </c>
      <c r="AP301" s="3">
        <v>35</v>
      </c>
      <c r="AQ301" s="3">
        <v>35</v>
      </c>
      <c r="AR301" s="3">
        <v>50</v>
      </c>
      <c r="AS301" s="1">
        <v>11</v>
      </c>
      <c r="AT301" s="3">
        <v>3</v>
      </c>
      <c r="AU301" s="3" t="s">
        <v>3051</v>
      </c>
    </row>
    <row r="302" spans="1:47" x14ac:dyDescent="0.3">
      <c r="A302" s="1" t="s">
        <v>862</v>
      </c>
      <c r="B302" s="1" t="s">
        <v>861</v>
      </c>
      <c r="C302" s="1" t="s">
        <v>90</v>
      </c>
      <c r="D302" s="1" t="s">
        <v>52</v>
      </c>
      <c r="E302" s="1" t="s">
        <v>860</v>
      </c>
      <c r="F302" t="s">
        <v>3124</v>
      </c>
      <c r="G302" t="s">
        <v>3263</v>
      </c>
      <c r="H302" t="s">
        <v>3235</v>
      </c>
      <c r="I302" t="s">
        <v>52</v>
      </c>
      <c r="J302" t="s">
        <v>52</v>
      </c>
      <c r="K302" t="s">
        <v>52</v>
      </c>
      <c r="L302" s="2">
        <v>1</v>
      </c>
      <c r="M302" s="2">
        <v>1</v>
      </c>
      <c r="N302" s="2">
        <v>1</v>
      </c>
      <c r="O302" s="2">
        <v>1</v>
      </c>
      <c r="P302" s="2">
        <v>1</v>
      </c>
      <c r="Q302" s="2">
        <v>2</v>
      </c>
      <c r="R302" s="2">
        <v>1</v>
      </c>
      <c r="S302" s="2">
        <v>1</v>
      </c>
      <c r="T302" s="2">
        <v>0</v>
      </c>
      <c r="U302" s="2">
        <v>1</v>
      </c>
      <c r="V302" s="2">
        <v>1</v>
      </c>
      <c r="W302" s="2">
        <v>1</v>
      </c>
      <c r="X302" s="2">
        <v>1</v>
      </c>
      <c r="Y302" s="2">
        <v>1</v>
      </c>
      <c r="Z302" s="2">
        <v>1</v>
      </c>
      <c r="AA302" s="2">
        <v>1</v>
      </c>
      <c r="AB302" s="2">
        <v>1</v>
      </c>
      <c r="AC302" s="2">
        <v>1</v>
      </c>
      <c r="AD302" s="2">
        <v>65</v>
      </c>
      <c r="AE302" s="2">
        <v>3840</v>
      </c>
      <c r="AF302" s="2">
        <v>70</v>
      </c>
      <c r="AG302" s="2">
        <v>400</v>
      </c>
      <c r="AH302" s="2">
        <v>60</v>
      </c>
      <c r="AI302" s="2">
        <v>65</v>
      </c>
      <c r="AJ302" s="1">
        <v>800000</v>
      </c>
      <c r="AK302" s="1">
        <v>1.1000000000000001</v>
      </c>
      <c r="AL302" s="1">
        <v>70</v>
      </c>
      <c r="AM302" s="2">
        <v>24.6</v>
      </c>
      <c r="AN302" s="2">
        <f t="shared" si="4"/>
        <v>75.400000000000006</v>
      </c>
      <c r="AO302" s="3">
        <v>301</v>
      </c>
      <c r="AP302" s="3">
        <v>55</v>
      </c>
      <c r="AQ302" s="3">
        <v>55</v>
      </c>
      <c r="AR302" s="3">
        <v>90</v>
      </c>
      <c r="AS302" s="1">
        <v>32.6</v>
      </c>
      <c r="AT302" s="3">
        <v>3</v>
      </c>
      <c r="AU302" s="3" t="s">
        <v>3051</v>
      </c>
    </row>
    <row r="303" spans="1:47" x14ac:dyDescent="0.3">
      <c r="A303" s="1" t="s">
        <v>864</v>
      </c>
      <c r="B303" s="1" t="s">
        <v>863</v>
      </c>
      <c r="C303" s="1" t="s">
        <v>99</v>
      </c>
      <c r="D303" s="1" t="s">
        <v>293</v>
      </c>
      <c r="E303" s="1" t="s">
        <v>576</v>
      </c>
      <c r="F303" t="s">
        <v>3118</v>
      </c>
      <c r="G303" t="s">
        <v>3264</v>
      </c>
      <c r="H303" t="s">
        <v>3182</v>
      </c>
      <c r="I303" t="s">
        <v>52</v>
      </c>
      <c r="J303" t="s">
        <v>52</v>
      </c>
      <c r="K303" t="s">
        <v>52</v>
      </c>
      <c r="L303" s="2">
        <v>1</v>
      </c>
      <c r="M303" s="2">
        <v>1</v>
      </c>
      <c r="N303" s="2">
        <v>1</v>
      </c>
      <c r="O303" s="2">
        <v>1</v>
      </c>
      <c r="P303" s="2">
        <v>2</v>
      </c>
      <c r="Q303" s="2">
        <v>0</v>
      </c>
      <c r="R303" s="2">
        <v>1</v>
      </c>
      <c r="S303" s="2">
        <v>1</v>
      </c>
      <c r="T303" s="2">
        <v>1</v>
      </c>
      <c r="U303" s="2">
        <v>1</v>
      </c>
      <c r="V303" s="2">
        <v>1</v>
      </c>
      <c r="W303" s="2">
        <v>1</v>
      </c>
      <c r="X303" s="2">
        <v>0</v>
      </c>
      <c r="Y303" s="2">
        <v>0.5</v>
      </c>
      <c r="Z303" s="2">
        <v>0</v>
      </c>
      <c r="AA303" s="2">
        <v>1</v>
      </c>
      <c r="AB303" s="2">
        <v>1</v>
      </c>
      <c r="AC303" s="2">
        <v>1</v>
      </c>
      <c r="AD303" s="2">
        <v>85</v>
      </c>
      <c r="AE303" s="2">
        <v>6400</v>
      </c>
      <c r="AF303" s="2">
        <v>35</v>
      </c>
      <c r="AG303" s="2">
        <v>480</v>
      </c>
      <c r="AH303" s="2">
        <v>45</v>
      </c>
      <c r="AI303" s="2">
        <v>125</v>
      </c>
      <c r="AJ303" s="1">
        <v>1059860</v>
      </c>
      <c r="AK303" s="1">
        <v>0.5</v>
      </c>
      <c r="AL303" s="1">
        <v>50</v>
      </c>
      <c r="AM303" s="2">
        <v>50</v>
      </c>
      <c r="AN303" s="2">
        <f t="shared" si="4"/>
        <v>50</v>
      </c>
      <c r="AO303" s="3">
        <v>302</v>
      </c>
      <c r="AP303" s="3">
        <v>85</v>
      </c>
      <c r="AQ303" s="3">
        <v>115</v>
      </c>
      <c r="AR303" s="3">
        <v>20</v>
      </c>
      <c r="AS303" s="1">
        <v>11</v>
      </c>
      <c r="AT303" s="3">
        <v>3</v>
      </c>
      <c r="AU303" s="3" t="s">
        <v>3051</v>
      </c>
    </row>
    <row r="304" spans="1:47" x14ac:dyDescent="0.3">
      <c r="A304" s="1" t="s">
        <v>867</v>
      </c>
      <c r="B304" s="1" t="s">
        <v>866</v>
      </c>
      <c r="C304" s="1" t="s">
        <v>263</v>
      </c>
      <c r="D304" s="1" t="s">
        <v>141</v>
      </c>
      <c r="E304" s="1" t="s">
        <v>865</v>
      </c>
      <c r="F304" t="s">
        <v>3138</v>
      </c>
      <c r="G304" t="s">
        <v>3120</v>
      </c>
      <c r="H304" t="s">
        <v>3184</v>
      </c>
      <c r="I304" t="s">
        <v>52</v>
      </c>
      <c r="J304" t="s">
        <v>52</v>
      </c>
      <c r="K304" t="s">
        <v>52</v>
      </c>
      <c r="L304" s="2">
        <v>0.25</v>
      </c>
      <c r="M304" s="2">
        <v>0.5</v>
      </c>
      <c r="N304" s="2">
        <v>0</v>
      </c>
      <c r="O304" s="2">
        <v>1</v>
      </c>
      <c r="P304" s="2">
        <v>0.5</v>
      </c>
      <c r="Q304" s="2">
        <v>1</v>
      </c>
      <c r="R304" s="2">
        <v>2</v>
      </c>
      <c r="S304" s="2">
        <v>0.5</v>
      </c>
      <c r="T304" s="2">
        <v>1</v>
      </c>
      <c r="U304" s="2">
        <v>0.5</v>
      </c>
      <c r="V304" s="2">
        <v>2</v>
      </c>
      <c r="W304" s="2">
        <v>0.5</v>
      </c>
      <c r="X304" s="2">
        <v>0.5</v>
      </c>
      <c r="Y304" s="2">
        <v>0</v>
      </c>
      <c r="Z304" s="2">
        <v>0.5</v>
      </c>
      <c r="AA304" s="2">
        <v>0.5</v>
      </c>
      <c r="AB304" s="2">
        <v>1</v>
      </c>
      <c r="AC304" s="2">
        <v>1</v>
      </c>
      <c r="AD304" s="2">
        <v>105</v>
      </c>
      <c r="AE304" s="2">
        <v>5120</v>
      </c>
      <c r="AF304" s="2">
        <v>70</v>
      </c>
      <c r="AG304" s="2">
        <v>480</v>
      </c>
      <c r="AH304" s="2">
        <v>45</v>
      </c>
      <c r="AI304" s="2">
        <v>125</v>
      </c>
      <c r="AJ304" s="1">
        <v>800000</v>
      </c>
      <c r="AK304" s="1">
        <v>0.6</v>
      </c>
      <c r="AL304" s="1">
        <v>50</v>
      </c>
      <c r="AM304" s="2">
        <v>50</v>
      </c>
      <c r="AN304" s="2">
        <f t="shared" si="4"/>
        <v>50</v>
      </c>
      <c r="AO304" s="3">
        <v>303</v>
      </c>
      <c r="AP304" s="3">
        <v>55</v>
      </c>
      <c r="AQ304" s="3">
        <v>95</v>
      </c>
      <c r="AR304" s="3">
        <v>50</v>
      </c>
      <c r="AS304" s="1">
        <v>11.5</v>
      </c>
      <c r="AT304" s="3">
        <v>3</v>
      </c>
      <c r="AU304" s="3" t="s">
        <v>3051</v>
      </c>
    </row>
    <row r="305" spans="1:47" x14ac:dyDescent="0.3">
      <c r="A305" s="1" t="s">
        <v>870</v>
      </c>
      <c r="B305" s="1" t="s">
        <v>869</v>
      </c>
      <c r="C305" s="1" t="s">
        <v>263</v>
      </c>
      <c r="D305" s="1" t="s">
        <v>243</v>
      </c>
      <c r="E305" s="1" t="s">
        <v>868</v>
      </c>
      <c r="F305" t="s">
        <v>3107</v>
      </c>
      <c r="G305" t="s">
        <v>3132</v>
      </c>
      <c r="H305" t="s">
        <v>3265</v>
      </c>
      <c r="I305" t="s">
        <v>52</v>
      </c>
      <c r="J305" t="s">
        <v>52</v>
      </c>
      <c r="K305" t="s">
        <v>52</v>
      </c>
      <c r="L305" s="2">
        <v>0.5</v>
      </c>
      <c r="M305" s="2">
        <v>1</v>
      </c>
      <c r="N305" s="2">
        <v>0.5</v>
      </c>
      <c r="O305" s="2">
        <v>1</v>
      </c>
      <c r="P305" s="2">
        <v>0.5</v>
      </c>
      <c r="Q305" s="2">
        <v>4</v>
      </c>
      <c r="R305" s="2">
        <v>1</v>
      </c>
      <c r="S305" s="2">
        <v>0.25</v>
      </c>
      <c r="T305" s="2">
        <v>1</v>
      </c>
      <c r="U305" s="2">
        <v>1</v>
      </c>
      <c r="V305" s="2">
        <v>4</v>
      </c>
      <c r="W305" s="2">
        <v>0.5</v>
      </c>
      <c r="X305" s="2">
        <v>0.25</v>
      </c>
      <c r="Y305" s="2">
        <v>0</v>
      </c>
      <c r="Z305" s="2">
        <v>0.5</v>
      </c>
      <c r="AA305" s="2">
        <v>0.5</v>
      </c>
      <c r="AB305" s="2">
        <v>1</v>
      </c>
      <c r="AC305" s="2">
        <v>2</v>
      </c>
      <c r="AD305" s="2">
        <v>70</v>
      </c>
      <c r="AE305" s="2">
        <v>8960</v>
      </c>
      <c r="AF305" s="2">
        <v>35</v>
      </c>
      <c r="AG305" s="2">
        <v>330</v>
      </c>
      <c r="AH305" s="2">
        <v>180</v>
      </c>
      <c r="AI305" s="2">
        <v>100</v>
      </c>
      <c r="AJ305" s="1">
        <v>1250000</v>
      </c>
      <c r="AK305" s="1">
        <v>0.4</v>
      </c>
      <c r="AL305" s="1">
        <v>50</v>
      </c>
      <c r="AM305" s="2">
        <v>50</v>
      </c>
      <c r="AN305" s="2">
        <f t="shared" si="4"/>
        <v>50</v>
      </c>
      <c r="AO305" s="3">
        <v>304</v>
      </c>
      <c r="AP305" s="3">
        <v>40</v>
      </c>
      <c r="AQ305" s="3">
        <v>40</v>
      </c>
      <c r="AR305" s="3">
        <v>30</v>
      </c>
      <c r="AS305" s="1">
        <v>60</v>
      </c>
      <c r="AT305" s="3">
        <v>3</v>
      </c>
      <c r="AU305" s="3" t="s">
        <v>3051</v>
      </c>
    </row>
    <row r="306" spans="1:47" x14ac:dyDescent="0.3">
      <c r="A306" s="1" t="s">
        <v>872</v>
      </c>
      <c r="B306" s="1" t="s">
        <v>871</v>
      </c>
      <c r="C306" s="1" t="s">
        <v>263</v>
      </c>
      <c r="D306" s="1" t="s">
        <v>243</v>
      </c>
      <c r="E306" s="1" t="s">
        <v>868</v>
      </c>
      <c r="F306" t="s">
        <v>3107</v>
      </c>
      <c r="G306" t="s">
        <v>3132</v>
      </c>
      <c r="H306" t="s">
        <v>3265</v>
      </c>
      <c r="I306" t="s">
        <v>52</v>
      </c>
      <c r="J306" t="s">
        <v>52</v>
      </c>
      <c r="K306" t="s">
        <v>52</v>
      </c>
      <c r="L306" s="2">
        <v>0.5</v>
      </c>
      <c r="M306" s="2">
        <v>1</v>
      </c>
      <c r="N306" s="2">
        <v>0.5</v>
      </c>
      <c r="O306" s="2">
        <v>1</v>
      </c>
      <c r="P306" s="2">
        <v>0.5</v>
      </c>
      <c r="Q306" s="2">
        <v>4</v>
      </c>
      <c r="R306" s="2">
        <v>1</v>
      </c>
      <c r="S306" s="2">
        <v>0.25</v>
      </c>
      <c r="T306" s="2">
        <v>1</v>
      </c>
      <c r="U306" s="2">
        <v>1</v>
      </c>
      <c r="V306" s="2">
        <v>4</v>
      </c>
      <c r="W306" s="2">
        <v>0.5</v>
      </c>
      <c r="X306" s="2">
        <v>0.25</v>
      </c>
      <c r="Y306" s="2">
        <v>0</v>
      </c>
      <c r="Z306" s="2">
        <v>0.5</v>
      </c>
      <c r="AA306" s="2">
        <v>0.5</v>
      </c>
      <c r="AB306" s="2">
        <v>1</v>
      </c>
      <c r="AC306" s="2">
        <v>2</v>
      </c>
      <c r="AD306" s="2">
        <v>90</v>
      </c>
      <c r="AE306" s="2">
        <v>8960</v>
      </c>
      <c r="AF306" s="2">
        <v>35</v>
      </c>
      <c r="AG306" s="2">
        <v>430</v>
      </c>
      <c r="AH306" s="2">
        <v>90</v>
      </c>
      <c r="AI306" s="2">
        <v>140</v>
      </c>
      <c r="AJ306" s="1">
        <v>1250000</v>
      </c>
      <c r="AK306" s="1">
        <v>0.9</v>
      </c>
      <c r="AL306" s="1">
        <v>60</v>
      </c>
      <c r="AM306" s="2">
        <v>50</v>
      </c>
      <c r="AN306" s="2">
        <f t="shared" si="4"/>
        <v>50</v>
      </c>
      <c r="AO306" s="3">
        <v>305</v>
      </c>
      <c r="AP306" s="3">
        <v>50</v>
      </c>
      <c r="AQ306" s="3">
        <v>50</v>
      </c>
      <c r="AR306" s="3">
        <v>40</v>
      </c>
      <c r="AS306" s="1">
        <v>120</v>
      </c>
      <c r="AT306" s="3">
        <v>3</v>
      </c>
      <c r="AU306" s="3" t="s">
        <v>3051</v>
      </c>
    </row>
    <row r="307" spans="1:47" x14ac:dyDescent="0.3">
      <c r="A307" s="1" t="s">
        <v>874</v>
      </c>
      <c r="B307" s="1" t="s">
        <v>873</v>
      </c>
      <c r="C307" s="1" t="s">
        <v>263</v>
      </c>
      <c r="D307" s="1" t="s">
        <v>243</v>
      </c>
      <c r="E307" s="1" t="s">
        <v>868</v>
      </c>
      <c r="F307" t="s">
        <v>3107</v>
      </c>
      <c r="G307" t="s">
        <v>3132</v>
      </c>
      <c r="H307" t="s">
        <v>3265</v>
      </c>
      <c r="I307" t="s">
        <v>52</v>
      </c>
      <c r="J307" t="s">
        <v>52</v>
      </c>
      <c r="K307" t="s">
        <v>52</v>
      </c>
      <c r="L307" s="2">
        <v>0.5</v>
      </c>
      <c r="M307" s="2">
        <v>1</v>
      </c>
      <c r="N307" s="2">
        <v>0.5</v>
      </c>
      <c r="O307" s="2">
        <v>1</v>
      </c>
      <c r="P307" s="2">
        <v>0.5</v>
      </c>
      <c r="Q307" s="2">
        <v>4</v>
      </c>
      <c r="R307" s="2">
        <v>1</v>
      </c>
      <c r="S307" s="2">
        <v>0.25</v>
      </c>
      <c r="T307" s="2">
        <v>1</v>
      </c>
      <c r="U307" s="2">
        <v>1</v>
      </c>
      <c r="V307" s="2">
        <v>4</v>
      </c>
      <c r="W307" s="2">
        <v>0.5</v>
      </c>
      <c r="X307" s="2">
        <v>0.25</v>
      </c>
      <c r="Y307" s="2">
        <v>0</v>
      </c>
      <c r="Z307" s="2">
        <v>0.5</v>
      </c>
      <c r="AA307" s="2">
        <v>0.5</v>
      </c>
      <c r="AB307" s="2">
        <v>1</v>
      </c>
      <c r="AC307" s="2">
        <v>2</v>
      </c>
      <c r="AD307" s="2">
        <v>140</v>
      </c>
      <c r="AE307" s="2">
        <v>8960</v>
      </c>
      <c r="AF307" s="2">
        <v>35</v>
      </c>
      <c r="AG307" s="2">
        <v>630</v>
      </c>
      <c r="AH307" s="2">
        <v>45</v>
      </c>
      <c r="AI307" s="2">
        <v>230</v>
      </c>
      <c r="AJ307" s="1">
        <v>1250000</v>
      </c>
      <c r="AK307" s="1">
        <v>2.1</v>
      </c>
      <c r="AL307" s="1">
        <v>70</v>
      </c>
      <c r="AM307" s="2">
        <v>50</v>
      </c>
      <c r="AN307" s="2">
        <f t="shared" si="4"/>
        <v>50</v>
      </c>
      <c r="AO307" s="3">
        <v>306</v>
      </c>
      <c r="AP307" s="3">
        <v>60</v>
      </c>
      <c r="AQ307" s="3">
        <v>80</v>
      </c>
      <c r="AR307" s="3">
        <v>50</v>
      </c>
      <c r="AS307" s="1">
        <v>360</v>
      </c>
      <c r="AT307" s="3">
        <v>3</v>
      </c>
      <c r="AU307" s="3" t="s">
        <v>3051</v>
      </c>
    </row>
    <row r="308" spans="1:47" x14ac:dyDescent="0.3">
      <c r="A308" s="1" t="s">
        <v>877</v>
      </c>
      <c r="B308" s="1" t="s">
        <v>876</v>
      </c>
      <c r="C308" s="1" t="s">
        <v>197</v>
      </c>
      <c r="D308" s="1" t="s">
        <v>216</v>
      </c>
      <c r="E308" s="1" t="s">
        <v>875</v>
      </c>
      <c r="F308" t="s">
        <v>3154</v>
      </c>
      <c r="G308" t="s">
        <v>3189</v>
      </c>
      <c r="H308" t="s">
        <v>52</v>
      </c>
      <c r="I308" t="s">
        <v>52</v>
      </c>
      <c r="J308" t="s">
        <v>52</v>
      </c>
      <c r="K308" t="s">
        <v>52</v>
      </c>
      <c r="L308" s="2">
        <v>1</v>
      </c>
      <c r="M308" s="2">
        <v>1</v>
      </c>
      <c r="N308" s="2">
        <v>1</v>
      </c>
      <c r="O308" s="2">
        <v>1</v>
      </c>
      <c r="P308" s="2">
        <v>2</v>
      </c>
      <c r="Q308" s="2">
        <v>0.5</v>
      </c>
      <c r="R308" s="2">
        <v>1</v>
      </c>
      <c r="S308" s="2">
        <v>2</v>
      </c>
      <c r="T308" s="2">
        <v>2</v>
      </c>
      <c r="U308" s="2">
        <v>1</v>
      </c>
      <c r="V308" s="2">
        <v>1</v>
      </c>
      <c r="W308" s="2">
        <v>1</v>
      </c>
      <c r="X308" s="2">
        <v>1</v>
      </c>
      <c r="Y308" s="2">
        <v>1</v>
      </c>
      <c r="Z308" s="2">
        <v>1</v>
      </c>
      <c r="AA308" s="2">
        <v>0.5</v>
      </c>
      <c r="AB308" s="2">
        <v>1</v>
      </c>
      <c r="AC308" s="2">
        <v>1</v>
      </c>
      <c r="AD308" s="2">
        <v>40</v>
      </c>
      <c r="AE308" s="2">
        <v>5120</v>
      </c>
      <c r="AF308" s="2">
        <v>70</v>
      </c>
      <c r="AG308" s="2">
        <v>280</v>
      </c>
      <c r="AH308" s="2">
        <v>180</v>
      </c>
      <c r="AI308" s="2">
        <v>55</v>
      </c>
      <c r="AJ308" s="1">
        <v>1000000</v>
      </c>
      <c r="AK308" s="1">
        <v>0.6</v>
      </c>
      <c r="AL308" s="1">
        <v>30</v>
      </c>
      <c r="AM308" s="2">
        <v>50</v>
      </c>
      <c r="AN308" s="2">
        <f t="shared" si="4"/>
        <v>50</v>
      </c>
      <c r="AO308" s="3">
        <v>307</v>
      </c>
      <c r="AP308" s="3">
        <v>40</v>
      </c>
      <c r="AQ308" s="3">
        <v>55</v>
      </c>
      <c r="AR308" s="3">
        <v>60</v>
      </c>
      <c r="AS308" s="1">
        <v>11.2</v>
      </c>
      <c r="AT308" s="3">
        <v>3</v>
      </c>
      <c r="AU308" s="3" t="s">
        <v>3051</v>
      </c>
    </row>
    <row r="309" spans="1:47" x14ac:dyDescent="0.3">
      <c r="A309" s="1" t="s">
        <v>879</v>
      </c>
      <c r="B309" s="1" t="s">
        <v>878</v>
      </c>
      <c r="C309" s="1" t="s">
        <v>197</v>
      </c>
      <c r="D309" s="1" t="s">
        <v>216</v>
      </c>
      <c r="E309" s="1" t="s">
        <v>875</v>
      </c>
      <c r="F309" t="s">
        <v>3154</v>
      </c>
      <c r="G309" t="s">
        <v>3189</v>
      </c>
      <c r="H309" t="s">
        <v>52</v>
      </c>
      <c r="I309" t="s">
        <v>52</v>
      </c>
      <c r="J309" t="s">
        <v>52</v>
      </c>
      <c r="K309" t="s">
        <v>52</v>
      </c>
      <c r="L309" s="2">
        <v>1</v>
      </c>
      <c r="M309" s="2">
        <v>1</v>
      </c>
      <c r="N309" s="2">
        <v>1</v>
      </c>
      <c r="O309" s="2">
        <v>1</v>
      </c>
      <c r="P309" s="2">
        <v>2</v>
      </c>
      <c r="Q309" s="2">
        <v>0.5</v>
      </c>
      <c r="R309" s="2">
        <v>1</v>
      </c>
      <c r="S309" s="2">
        <v>2</v>
      </c>
      <c r="T309" s="2">
        <v>2</v>
      </c>
      <c r="U309" s="2">
        <v>1</v>
      </c>
      <c r="V309" s="2">
        <v>1</v>
      </c>
      <c r="W309" s="2">
        <v>1</v>
      </c>
      <c r="X309" s="2">
        <v>1</v>
      </c>
      <c r="Y309" s="2">
        <v>1</v>
      </c>
      <c r="Z309" s="2">
        <v>1</v>
      </c>
      <c r="AA309" s="2">
        <v>0.5</v>
      </c>
      <c r="AB309" s="2">
        <v>1</v>
      </c>
      <c r="AC309" s="2">
        <v>1</v>
      </c>
      <c r="AD309" s="2">
        <v>100</v>
      </c>
      <c r="AE309" s="2">
        <v>5120</v>
      </c>
      <c r="AF309" s="2">
        <v>70</v>
      </c>
      <c r="AG309" s="2">
        <v>510</v>
      </c>
      <c r="AH309" s="2">
        <v>90</v>
      </c>
      <c r="AI309" s="2">
        <v>85</v>
      </c>
      <c r="AJ309" s="1">
        <v>1000000</v>
      </c>
      <c r="AK309" s="1">
        <v>1.3</v>
      </c>
      <c r="AL309" s="1">
        <v>60</v>
      </c>
      <c r="AM309" s="2">
        <v>50</v>
      </c>
      <c r="AN309" s="2">
        <f t="shared" si="4"/>
        <v>50</v>
      </c>
      <c r="AO309" s="3">
        <v>308</v>
      </c>
      <c r="AP309" s="3">
        <v>80</v>
      </c>
      <c r="AQ309" s="3">
        <v>85</v>
      </c>
      <c r="AR309" s="3">
        <v>100</v>
      </c>
      <c r="AS309" s="1">
        <v>31.5</v>
      </c>
      <c r="AT309" s="3">
        <v>3</v>
      </c>
      <c r="AU309" s="3" t="s">
        <v>3051</v>
      </c>
    </row>
    <row r="310" spans="1:47" x14ac:dyDescent="0.3">
      <c r="A310" s="1" t="s">
        <v>881</v>
      </c>
      <c r="B310" s="1" t="s">
        <v>880</v>
      </c>
      <c r="C310" s="1" t="s">
        <v>115</v>
      </c>
      <c r="D310" s="1" t="s">
        <v>52</v>
      </c>
      <c r="E310" s="1" t="s">
        <v>411</v>
      </c>
      <c r="F310" t="s">
        <v>3121</v>
      </c>
      <c r="G310" t="s">
        <v>3141</v>
      </c>
      <c r="H310" t="s">
        <v>3156</v>
      </c>
      <c r="I310" t="s">
        <v>52</v>
      </c>
      <c r="J310" t="s">
        <v>52</v>
      </c>
      <c r="K310" t="s">
        <v>52</v>
      </c>
      <c r="L310" s="2">
        <v>1</v>
      </c>
      <c r="M310" s="2">
        <v>1</v>
      </c>
      <c r="N310" s="2">
        <v>1</v>
      </c>
      <c r="O310" s="2">
        <v>0.5</v>
      </c>
      <c r="P310" s="2">
        <v>1</v>
      </c>
      <c r="Q310" s="2">
        <v>1</v>
      </c>
      <c r="R310" s="2">
        <v>1</v>
      </c>
      <c r="S310" s="2">
        <v>0.5</v>
      </c>
      <c r="T310" s="2">
        <v>1</v>
      </c>
      <c r="U310" s="2">
        <v>1</v>
      </c>
      <c r="V310" s="2">
        <v>2</v>
      </c>
      <c r="W310" s="2">
        <v>1</v>
      </c>
      <c r="X310" s="2">
        <v>1</v>
      </c>
      <c r="Y310" s="2">
        <v>1</v>
      </c>
      <c r="Z310" s="2">
        <v>1</v>
      </c>
      <c r="AA310" s="2">
        <v>1</v>
      </c>
      <c r="AB310" s="2">
        <v>0.5</v>
      </c>
      <c r="AC310" s="2">
        <v>1</v>
      </c>
      <c r="AD310" s="2">
        <v>45</v>
      </c>
      <c r="AE310" s="2">
        <v>5120</v>
      </c>
      <c r="AF310" s="2">
        <v>70</v>
      </c>
      <c r="AG310" s="2">
        <v>295</v>
      </c>
      <c r="AH310" s="2">
        <v>120</v>
      </c>
      <c r="AI310" s="2">
        <v>40</v>
      </c>
      <c r="AJ310" s="1">
        <v>1250000</v>
      </c>
      <c r="AK310" s="1">
        <v>0.6</v>
      </c>
      <c r="AL310" s="1">
        <v>40</v>
      </c>
      <c r="AM310" s="2">
        <v>50</v>
      </c>
      <c r="AN310" s="2">
        <f t="shared" si="4"/>
        <v>50</v>
      </c>
      <c r="AO310" s="3">
        <v>309</v>
      </c>
      <c r="AP310" s="3">
        <v>65</v>
      </c>
      <c r="AQ310" s="3">
        <v>40</v>
      </c>
      <c r="AR310" s="3">
        <v>65</v>
      </c>
      <c r="AS310" s="1">
        <v>15.2</v>
      </c>
      <c r="AT310" s="3">
        <v>3</v>
      </c>
      <c r="AU310" s="3" t="s">
        <v>3051</v>
      </c>
    </row>
    <row r="311" spans="1:47" x14ac:dyDescent="0.3">
      <c r="A311" s="1" t="s">
        <v>884</v>
      </c>
      <c r="B311" s="1" t="s">
        <v>883</v>
      </c>
      <c r="C311" s="1" t="s">
        <v>115</v>
      </c>
      <c r="D311" s="1" t="s">
        <v>52</v>
      </c>
      <c r="E311" s="1" t="s">
        <v>882</v>
      </c>
      <c r="F311" t="s">
        <v>3121</v>
      </c>
      <c r="G311" t="s">
        <v>3141</v>
      </c>
      <c r="H311" t="s">
        <v>3156</v>
      </c>
      <c r="I311" t="s">
        <v>52</v>
      </c>
      <c r="J311" t="s">
        <v>52</v>
      </c>
      <c r="K311" t="s">
        <v>52</v>
      </c>
      <c r="L311" s="2">
        <v>1</v>
      </c>
      <c r="M311" s="2">
        <v>1</v>
      </c>
      <c r="N311" s="2">
        <v>1</v>
      </c>
      <c r="O311" s="2">
        <v>0.5</v>
      </c>
      <c r="P311" s="2">
        <v>1</v>
      </c>
      <c r="Q311" s="2">
        <v>1</v>
      </c>
      <c r="R311" s="2">
        <v>1</v>
      </c>
      <c r="S311" s="2">
        <v>0.5</v>
      </c>
      <c r="T311" s="2">
        <v>1</v>
      </c>
      <c r="U311" s="2">
        <v>1</v>
      </c>
      <c r="V311" s="2">
        <v>2</v>
      </c>
      <c r="W311" s="2">
        <v>1</v>
      </c>
      <c r="X311" s="2">
        <v>1</v>
      </c>
      <c r="Y311" s="2">
        <v>1</v>
      </c>
      <c r="Z311" s="2">
        <v>1</v>
      </c>
      <c r="AA311" s="2">
        <v>1</v>
      </c>
      <c r="AB311" s="2">
        <v>0.5</v>
      </c>
      <c r="AC311" s="2">
        <v>1</v>
      </c>
      <c r="AD311" s="2">
        <v>75</v>
      </c>
      <c r="AE311" s="2">
        <v>5120</v>
      </c>
      <c r="AF311" s="2">
        <v>70</v>
      </c>
      <c r="AG311" s="2">
        <v>575</v>
      </c>
      <c r="AH311" s="2">
        <v>45</v>
      </c>
      <c r="AI311" s="2">
        <v>80</v>
      </c>
      <c r="AJ311" s="1">
        <v>1250000</v>
      </c>
      <c r="AK311" s="1">
        <v>1.5</v>
      </c>
      <c r="AL311" s="1">
        <v>70</v>
      </c>
      <c r="AM311" s="2">
        <v>50</v>
      </c>
      <c r="AN311" s="2">
        <f t="shared" si="4"/>
        <v>50</v>
      </c>
      <c r="AO311" s="3">
        <v>310</v>
      </c>
      <c r="AP311" s="3">
        <v>135</v>
      </c>
      <c r="AQ311" s="3">
        <v>80</v>
      </c>
      <c r="AR311" s="3">
        <v>135</v>
      </c>
      <c r="AS311" s="1">
        <v>40.200000000000003</v>
      </c>
      <c r="AT311" s="3">
        <v>3</v>
      </c>
      <c r="AU311" s="3" t="s">
        <v>3051</v>
      </c>
    </row>
    <row r="312" spans="1:47" x14ac:dyDescent="0.3">
      <c r="A312" s="1" t="s">
        <v>887</v>
      </c>
      <c r="B312" s="1" t="s">
        <v>886</v>
      </c>
      <c r="C312" s="1" t="s">
        <v>115</v>
      </c>
      <c r="D312" s="1" t="s">
        <v>52</v>
      </c>
      <c r="E312" s="1" t="s">
        <v>885</v>
      </c>
      <c r="F312" t="s">
        <v>3155</v>
      </c>
      <c r="G312" t="s">
        <v>3141</v>
      </c>
      <c r="H312" t="s">
        <v>52</v>
      </c>
      <c r="I312" t="s">
        <v>52</v>
      </c>
      <c r="J312" t="s">
        <v>52</v>
      </c>
      <c r="K312" t="s">
        <v>52</v>
      </c>
      <c r="L312" s="2">
        <v>1</v>
      </c>
      <c r="M312" s="2">
        <v>1</v>
      </c>
      <c r="N312" s="2">
        <v>1</v>
      </c>
      <c r="O312" s="2">
        <v>0.5</v>
      </c>
      <c r="P312" s="2">
        <v>1</v>
      </c>
      <c r="Q312" s="2">
        <v>1</v>
      </c>
      <c r="R312" s="2">
        <v>1</v>
      </c>
      <c r="S312" s="2">
        <v>0.5</v>
      </c>
      <c r="T312" s="2">
        <v>1</v>
      </c>
      <c r="U312" s="2">
        <v>1</v>
      </c>
      <c r="V312" s="2">
        <v>2</v>
      </c>
      <c r="W312" s="2">
        <v>1</v>
      </c>
      <c r="X312" s="2">
        <v>1</v>
      </c>
      <c r="Y312" s="2">
        <v>1</v>
      </c>
      <c r="Z312" s="2">
        <v>1</v>
      </c>
      <c r="AA312" s="2">
        <v>1</v>
      </c>
      <c r="AB312" s="2">
        <v>0.5</v>
      </c>
      <c r="AC312" s="2">
        <v>1</v>
      </c>
      <c r="AD312" s="2">
        <v>50</v>
      </c>
      <c r="AE312" s="2">
        <v>5120</v>
      </c>
      <c r="AF312" s="2">
        <v>70</v>
      </c>
      <c r="AG312" s="2">
        <v>405</v>
      </c>
      <c r="AH312" s="2">
        <v>200</v>
      </c>
      <c r="AI312" s="2">
        <v>40</v>
      </c>
      <c r="AJ312" s="1">
        <v>1000000</v>
      </c>
      <c r="AK312" s="1">
        <v>0.4</v>
      </c>
      <c r="AL312" s="1">
        <v>60</v>
      </c>
      <c r="AM312" s="2">
        <v>50</v>
      </c>
      <c r="AN312" s="2">
        <f t="shared" si="4"/>
        <v>50</v>
      </c>
      <c r="AO312" s="3">
        <v>311</v>
      </c>
      <c r="AP312" s="3">
        <v>85</v>
      </c>
      <c r="AQ312" s="3">
        <v>75</v>
      </c>
      <c r="AR312" s="3">
        <v>95</v>
      </c>
      <c r="AS312" s="1">
        <v>4.2</v>
      </c>
      <c r="AT312" s="3">
        <v>3</v>
      </c>
      <c r="AU312" s="3" t="s">
        <v>3051</v>
      </c>
    </row>
    <row r="313" spans="1:47" x14ac:dyDescent="0.3">
      <c r="A313" s="1" t="s">
        <v>889</v>
      </c>
      <c r="B313" s="1" t="s">
        <v>888</v>
      </c>
      <c r="C313" s="1" t="s">
        <v>115</v>
      </c>
      <c r="D313" s="1" t="s">
        <v>52</v>
      </c>
      <c r="E313" s="1" t="s">
        <v>885</v>
      </c>
      <c r="F313" t="s">
        <v>3156</v>
      </c>
      <c r="G313" t="s">
        <v>3146</v>
      </c>
      <c r="H313" t="s">
        <v>52</v>
      </c>
      <c r="I313" t="s">
        <v>52</v>
      </c>
      <c r="J313" t="s">
        <v>52</v>
      </c>
      <c r="K313" t="s">
        <v>52</v>
      </c>
      <c r="L313" s="2">
        <v>1</v>
      </c>
      <c r="M313" s="2">
        <v>1</v>
      </c>
      <c r="N313" s="2">
        <v>1</v>
      </c>
      <c r="O313" s="2">
        <v>0.5</v>
      </c>
      <c r="P313" s="2">
        <v>1</v>
      </c>
      <c r="Q313" s="2">
        <v>1</v>
      </c>
      <c r="R313" s="2">
        <v>1</v>
      </c>
      <c r="S313" s="2">
        <v>0.5</v>
      </c>
      <c r="T313" s="2">
        <v>1</v>
      </c>
      <c r="U313" s="2">
        <v>1</v>
      </c>
      <c r="V313" s="2">
        <v>2</v>
      </c>
      <c r="W313" s="2">
        <v>1</v>
      </c>
      <c r="X313" s="2">
        <v>1</v>
      </c>
      <c r="Y313" s="2">
        <v>1</v>
      </c>
      <c r="Z313" s="2">
        <v>1</v>
      </c>
      <c r="AA313" s="2">
        <v>1</v>
      </c>
      <c r="AB313" s="2">
        <v>0.5</v>
      </c>
      <c r="AC313" s="2">
        <v>1</v>
      </c>
      <c r="AD313" s="2">
        <v>40</v>
      </c>
      <c r="AE313" s="2">
        <v>5120</v>
      </c>
      <c r="AF313" s="2">
        <v>70</v>
      </c>
      <c r="AG313" s="2">
        <v>405</v>
      </c>
      <c r="AH313" s="2">
        <v>200</v>
      </c>
      <c r="AI313" s="2">
        <v>50</v>
      </c>
      <c r="AJ313" s="1">
        <v>1000000</v>
      </c>
      <c r="AK313" s="1">
        <v>0.4</v>
      </c>
      <c r="AL313" s="1">
        <v>60</v>
      </c>
      <c r="AM313" s="2">
        <v>50</v>
      </c>
      <c r="AN313" s="2">
        <f t="shared" si="4"/>
        <v>50</v>
      </c>
      <c r="AO313" s="3">
        <v>312</v>
      </c>
      <c r="AP313" s="3">
        <v>75</v>
      </c>
      <c r="AQ313" s="3">
        <v>85</v>
      </c>
      <c r="AR313" s="3">
        <v>95</v>
      </c>
      <c r="AS313" s="1">
        <v>4.2</v>
      </c>
      <c r="AT313" s="3">
        <v>3</v>
      </c>
      <c r="AU313" s="3" t="s">
        <v>3051</v>
      </c>
    </row>
    <row r="314" spans="1:47" x14ac:dyDescent="0.3">
      <c r="A314" s="1" t="s">
        <v>892</v>
      </c>
      <c r="B314" s="1" t="s">
        <v>891</v>
      </c>
      <c r="C314" s="1" t="s">
        <v>72</v>
      </c>
      <c r="D314" s="1" t="s">
        <v>52</v>
      </c>
      <c r="E314" s="1" t="s">
        <v>890</v>
      </c>
      <c r="F314" t="s">
        <v>3144</v>
      </c>
      <c r="G314" t="s">
        <v>3093</v>
      </c>
      <c r="H314" t="s">
        <v>3182</v>
      </c>
      <c r="I314" t="s">
        <v>52</v>
      </c>
      <c r="J314" t="s">
        <v>52</v>
      </c>
      <c r="K314" t="s">
        <v>52</v>
      </c>
      <c r="L314" s="2">
        <v>1</v>
      </c>
      <c r="M314" s="2">
        <v>1</v>
      </c>
      <c r="N314" s="2">
        <v>1</v>
      </c>
      <c r="O314" s="2">
        <v>1</v>
      </c>
      <c r="P314" s="2">
        <v>1</v>
      </c>
      <c r="Q314" s="2">
        <v>0.5</v>
      </c>
      <c r="R314" s="2">
        <v>2</v>
      </c>
      <c r="S314" s="2">
        <v>2</v>
      </c>
      <c r="T314" s="2">
        <v>1</v>
      </c>
      <c r="U314" s="2">
        <v>0.5</v>
      </c>
      <c r="V314" s="2">
        <v>0.5</v>
      </c>
      <c r="W314" s="2">
        <v>1</v>
      </c>
      <c r="X314" s="2">
        <v>1</v>
      </c>
      <c r="Y314" s="2">
        <v>1</v>
      </c>
      <c r="Z314" s="2">
        <v>1</v>
      </c>
      <c r="AA314" s="2">
        <v>2</v>
      </c>
      <c r="AB314" s="2">
        <v>1</v>
      </c>
      <c r="AC314" s="2">
        <v>1</v>
      </c>
      <c r="AD314" s="2">
        <v>73</v>
      </c>
      <c r="AE314" s="2">
        <v>3840</v>
      </c>
      <c r="AF314" s="2">
        <v>70</v>
      </c>
      <c r="AG314" s="2">
        <v>430</v>
      </c>
      <c r="AH314" s="2">
        <v>150</v>
      </c>
      <c r="AI314" s="2">
        <v>75</v>
      </c>
      <c r="AJ314" s="1">
        <v>600000</v>
      </c>
      <c r="AK314" s="1">
        <v>0.7</v>
      </c>
      <c r="AL314" s="1">
        <v>65</v>
      </c>
      <c r="AM314" s="2">
        <v>100</v>
      </c>
      <c r="AN314" s="2">
        <f t="shared" si="4"/>
        <v>0</v>
      </c>
      <c r="AO314" s="3">
        <v>313</v>
      </c>
      <c r="AP314" s="3">
        <v>47</v>
      </c>
      <c r="AQ314" s="3">
        <v>85</v>
      </c>
      <c r="AR314" s="3">
        <v>85</v>
      </c>
      <c r="AS314" s="1">
        <v>17.7</v>
      </c>
      <c r="AT314" s="3">
        <v>3</v>
      </c>
      <c r="AU314" s="3" t="s">
        <v>3051</v>
      </c>
    </row>
    <row r="315" spans="1:47" x14ac:dyDescent="0.3">
      <c r="A315" s="1" t="s">
        <v>894</v>
      </c>
      <c r="B315" s="1" t="s">
        <v>893</v>
      </c>
      <c r="C315" s="1" t="s">
        <v>72</v>
      </c>
      <c r="D315" s="1" t="s">
        <v>52</v>
      </c>
      <c r="E315" s="1" t="s">
        <v>890</v>
      </c>
      <c r="F315" t="s">
        <v>3133</v>
      </c>
      <c r="G315" t="s">
        <v>3225</v>
      </c>
      <c r="H315" t="s">
        <v>3182</v>
      </c>
      <c r="I315" t="s">
        <v>52</v>
      </c>
      <c r="J315" t="s">
        <v>52</v>
      </c>
      <c r="K315" t="s">
        <v>52</v>
      </c>
      <c r="L315" s="2">
        <v>1</v>
      </c>
      <c r="M315" s="2">
        <v>1</v>
      </c>
      <c r="N315" s="2">
        <v>1</v>
      </c>
      <c r="O315" s="2">
        <v>1</v>
      </c>
      <c r="P315" s="2">
        <v>1</v>
      </c>
      <c r="Q315" s="2">
        <v>0.5</v>
      </c>
      <c r="R315" s="2">
        <v>2</v>
      </c>
      <c r="S315" s="2">
        <v>2</v>
      </c>
      <c r="T315" s="2">
        <v>1</v>
      </c>
      <c r="U315" s="2">
        <v>0.5</v>
      </c>
      <c r="V315" s="2">
        <v>0.5</v>
      </c>
      <c r="W315" s="2">
        <v>1</v>
      </c>
      <c r="X315" s="2">
        <v>1</v>
      </c>
      <c r="Y315" s="2">
        <v>1</v>
      </c>
      <c r="Z315" s="2">
        <v>1</v>
      </c>
      <c r="AA315" s="2">
        <v>2</v>
      </c>
      <c r="AB315" s="2">
        <v>1</v>
      </c>
      <c r="AC315" s="2">
        <v>1</v>
      </c>
      <c r="AD315" s="2">
        <v>47</v>
      </c>
      <c r="AE315" s="2">
        <v>3840</v>
      </c>
      <c r="AF315" s="2">
        <v>70</v>
      </c>
      <c r="AG315" s="2">
        <v>430</v>
      </c>
      <c r="AH315" s="2">
        <v>150</v>
      </c>
      <c r="AI315" s="2">
        <v>75</v>
      </c>
      <c r="AJ315" s="1">
        <v>1640000</v>
      </c>
      <c r="AK315" s="1">
        <v>0.6</v>
      </c>
      <c r="AL315" s="1">
        <v>65</v>
      </c>
      <c r="AM315" s="2">
        <v>0</v>
      </c>
      <c r="AN315" s="2">
        <f t="shared" si="4"/>
        <v>100</v>
      </c>
      <c r="AO315" s="3">
        <v>314</v>
      </c>
      <c r="AP315" s="3">
        <v>73</v>
      </c>
      <c r="AQ315" s="3">
        <v>85</v>
      </c>
      <c r="AR315" s="3">
        <v>85</v>
      </c>
      <c r="AS315" s="1">
        <v>17.7</v>
      </c>
      <c r="AT315" s="3">
        <v>3</v>
      </c>
      <c r="AU315" s="3" t="s">
        <v>3051</v>
      </c>
    </row>
    <row r="316" spans="1:47" x14ac:dyDescent="0.3">
      <c r="A316" s="1" t="s">
        <v>897</v>
      </c>
      <c r="B316" s="1" t="s">
        <v>896</v>
      </c>
      <c r="C316" s="1" t="s">
        <v>42</v>
      </c>
      <c r="D316" s="1" t="s">
        <v>43</v>
      </c>
      <c r="E316" s="1" t="s">
        <v>895</v>
      </c>
      <c r="F316" t="s">
        <v>3058</v>
      </c>
      <c r="G316" t="s">
        <v>3123</v>
      </c>
      <c r="H316" t="s">
        <v>3174</v>
      </c>
      <c r="I316" t="s">
        <v>52</v>
      </c>
      <c r="J316" t="s">
        <v>52</v>
      </c>
      <c r="K316" t="s">
        <v>52</v>
      </c>
      <c r="L316" s="2">
        <v>1</v>
      </c>
      <c r="M316" s="2">
        <v>1</v>
      </c>
      <c r="N316" s="2">
        <v>1</v>
      </c>
      <c r="O316" s="2">
        <v>0.5</v>
      </c>
      <c r="P316" s="2">
        <v>0.5</v>
      </c>
      <c r="Q316" s="2">
        <v>0.5</v>
      </c>
      <c r="R316" s="2">
        <v>2</v>
      </c>
      <c r="S316" s="2">
        <v>2</v>
      </c>
      <c r="T316" s="2">
        <v>1</v>
      </c>
      <c r="U316" s="2">
        <v>0.25</v>
      </c>
      <c r="V316" s="2">
        <v>1</v>
      </c>
      <c r="W316" s="2">
        <v>2</v>
      </c>
      <c r="X316" s="2">
        <v>1</v>
      </c>
      <c r="Y316" s="2">
        <v>1</v>
      </c>
      <c r="Z316" s="2">
        <v>2</v>
      </c>
      <c r="AA316" s="2">
        <v>1</v>
      </c>
      <c r="AB316" s="2">
        <v>1</v>
      </c>
      <c r="AC316" s="2">
        <v>0.5</v>
      </c>
      <c r="AD316" s="2">
        <v>60</v>
      </c>
      <c r="AE316" s="2">
        <v>5120</v>
      </c>
      <c r="AF316" s="2">
        <v>70</v>
      </c>
      <c r="AG316" s="2">
        <v>400</v>
      </c>
      <c r="AH316" s="2">
        <v>150</v>
      </c>
      <c r="AI316" s="2">
        <v>45</v>
      </c>
      <c r="AJ316" s="1">
        <v>1059860</v>
      </c>
      <c r="AK316" s="1">
        <v>0.3</v>
      </c>
      <c r="AL316" s="1">
        <v>50</v>
      </c>
      <c r="AM316" s="2">
        <v>50</v>
      </c>
      <c r="AN316" s="2">
        <f t="shared" si="4"/>
        <v>50</v>
      </c>
      <c r="AO316" s="3">
        <v>315</v>
      </c>
      <c r="AP316" s="3">
        <v>100</v>
      </c>
      <c r="AQ316" s="3">
        <v>80</v>
      </c>
      <c r="AR316" s="3">
        <v>65</v>
      </c>
      <c r="AS316" s="1">
        <v>2</v>
      </c>
      <c r="AT316" s="3">
        <v>3</v>
      </c>
      <c r="AU316" s="3" t="s">
        <v>3051</v>
      </c>
    </row>
    <row r="317" spans="1:47" x14ac:dyDescent="0.3">
      <c r="A317" s="1" t="s">
        <v>900</v>
      </c>
      <c r="B317" s="1" t="s">
        <v>899</v>
      </c>
      <c r="C317" s="1" t="s">
        <v>43</v>
      </c>
      <c r="D317" s="1" t="s">
        <v>52</v>
      </c>
      <c r="E317" s="1" t="s">
        <v>898</v>
      </c>
      <c r="F317" t="s">
        <v>3157</v>
      </c>
      <c r="G317" t="s">
        <v>3168</v>
      </c>
      <c r="H317" t="s">
        <v>3177</v>
      </c>
      <c r="I317" t="s">
        <v>52</v>
      </c>
      <c r="J317" t="s">
        <v>52</v>
      </c>
      <c r="K317" t="s">
        <v>52</v>
      </c>
      <c r="L317" s="2">
        <v>0.5</v>
      </c>
      <c r="M317" s="2">
        <v>1</v>
      </c>
      <c r="N317" s="2">
        <v>1</v>
      </c>
      <c r="O317" s="2">
        <v>1</v>
      </c>
      <c r="P317" s="2">
        <v>0.5</v>
      </c>
      <c r="Q317" s="2">
        <v>0.5</v>
      </c>
      <c r="R317" s="2">
        <v>1</v>
      </c>
      <c r="S317" s="2">
        <v>1</v>
      </c>
      <c r="T317" s="2">
        <v>1</v>
      </c>
      <c r="U317" s="2">
        <v>0.5</v>
      </c>
      <c r="V317" s="2">
        <v>2</v>
      </c>
      <c r="W317" s="2">
        <v>1</v>
      </c>
      <c r="X317" s="2">
        <v>1</v>
      </c>
      <c r="Y317" s="2">
        <v>0.5</v>
      </c>
      <c r="Z317" s="2">
        <v>2</v>
      </c>
      <c r="AA317" s="2">
        <v>1</v>
      </c>
      <c r="AB317" s="2">
        <v>1</v>
      </c>
      <c r="AC317" s="2">
        <v>1</v>
      </c>
      <c r="AD317" s="2">
        <v>43</v>
      </c>
      <c r="AE317" s="2">
        <v>5120</v>
      </c>
      <c r="AF317" s="2">
        <v>70</v>
      </c>
      <c r="AG317" s="2">
        <v>302</v>
      </c>
      <c r="AH317" s="2">
        <v>225</v>
      </c>
      <c r="AI317" s="2">
        <v>53</v>
      </c>
      <c r="AJ317" s="1">
        <v>1640000</v>
      </c>
      <c r="AK317" s="1">
        <v>0.4</v>
      </c>
      <c r="AL317" s="1">
        <v>70</v>
      </c>
      <c r="AM317" s="2">
        <v>50</v>
      </c>
      <c r="AN317" s="2">
        <f t="shared" si="4"/>
        <v>50</v>
      </c>
      <c r="AO317" s="3">
        <v>316</v>
      </c>
      <c r="AP317" s="3">
        <v>43</v>
      </c>
      <c r="AQ317" s="3">
        <v>53</v>
      </c>
      <c r="AR317" s="3">
        <v>40</v>
      </c>
      <c r="AS317" s="1">
        <v>10.3</v>
      </c>
      <c r="AT317" s="3">
        <v>3</v>
      </c>
      <c r="AU317" s="3" t="s">
        <v>3051</v>
      </c>
    </row>
    <row r="318" spans="1:47" x14ac:dyDescent="0.3">
      <c r="A318" s="1" t="s">
        <v>903</v>
      </c>
      <c r="B318" s="1" t="s">
        <v>902</v>
      </c>
      <c r="C318" s="1" t="s">
        <v>43</v>
      </c>
      <c r="D318" s="1" t="s">
        <v>52</v>
      </c>
      <c r="E318" s="1" t="s">
        <v>901</v>
      </c>
      <c r="F318" t="s">
        <v>3157</v>
      </c>
      <c r="G318" t="s">
        <v>3168</v>
      </c>
      <c r="H318" t="s">
        <v>3177</v>
      </c>
      <c r="I318" t="s">
        <v>52</v>
      </c>
      <c r="J318" t="s">
        <v>52</v>
      </c>
      <c r="K318" t="s">
        <v>52</v>
      </c>
      <c r="L318" s="2">
        <v>0.5</v>
      </c>
      <c r="M318" s="2">
        <v>1</v>
      </c>
      <c r="N318" s="2">
        <v>1</v>
      </c>
      <c r="O318" s="2">
        <v>1</v>
      </c>
      <c r="P318" s="2">
        <v>0.5</v>
      </c>
      <c r="Q318" s="2">
        <v>0.5</v>
      </c>
      <c r="R318" s="2">
        <v>1</v>
      </c>
      <c r="S318" s="2">
        <v>1</v>
      </c>
      <c r="T318" s="2">
        <v>1</v>
      </c>
      <c r="U318" s="2">
        <v>0.5</v>
      </c>
      <c r="V318" s="2">
        <v>2</v>
      </c>
      <c r="W318" s="2">
        <v>1</v>
      </c>
      <c r="X318" s="2">
        <v>1</v>
      </c>
      <c r="Y318" s="2">
        <v>0.5</v>
      </c>
      <c r="Z318" s="2">
        <v>2</v>
      </c>
      <c r="AA318" s="2">
        <v>1</v>
      </c>
      <c r="AB318" s="2">
        <v>1</v>
      </c>
      <c r="AC318" s="2">
        <v>1</v>
      </c>
      <c r="AD318" s="2">
        <v>73</v>
      </c>
      <c r="AE318" s="2">
        <v>5120</v>
      </c>
      <c r="AF318" s="2">
        <v>70</v>
      </c>
      <c r="AG318" s="2">
        <v>467</v>
      </c>
      <c r="AH318" s="2">
        <v>75</v>
      </c>
      <c r="AI318" s="2">
        <v>83</v>
      </c>
      <c r="AJ318" s="1">
        <v>1640000</v>
      </c>
      <c r="AK318" s="1">
        <v>1.7</v>
      </c>
      <c r="AL318" s="1">
        <v>100</v>
      </c>
      <c r="AM318" s="2">
        <v>50</v>
      </c>
      <c r="AN318" s="2">
        <f t="shared" si="4"/>
        <v>50</v>
      </c>
      <c r="AO318" s="3">
        <v>317</v>
      </c>
      <c r="AP318" s="3">
        <v>73</v>
      </c>
      <c r="AQ318" s="3">
        <v>83</v>
      </c>
      <c r="AR318" s="3">
        <v>55</v>
      </c>
      <c r="AS318" s="1">
        <v>80</v>
      </c>
      <c r="AT318" s="3">
        <v>3</v>
      </c>
      <c r="AU318" s="3" t="s">
        <v>3051</v>
      </c>
    </row>
    <row r="319" spans="1:47" x14ac:dyDescent="0.3">
      <c r="A319" s="1" t="s">
        <v>906</v>
      </c>
      <c r="B319" s="1" t="s">
        <v>905</v>
      </c>
      <c r="C319" s="1" t="s">
        <v>62</v>
      </c>
      <c r="D319" s="1" t="s">
        <v>99</v>
      </c>
      <c r="E319" s="1" t="s">
        <v>904</v>
      </c>
      <c r="F319" t="s">
        <v>3158</v>
      </c>
      <c r="G319" t="s">
        <v>3149</v>
      </c>
      <c r="H319" t="s">
        <v>52</v>
      </c>
      <c r="I319" t="s">
        <v>52</v>
      </c>
      <c r="J319" t="s">
        <v>52</v>
      </c>
      <c r="K319" t="s">
        <v>52</v>
      </c>
      <c r="L319" s="2">
        <v>2</v>
      </c>
      <c r="M319" s="2">
        <v>0.5</v>
      </c>
      <c r="N319" s="2">
        <v>1</v>
      </c>
      <c r="O319" s="2">
        <v>2</v>
      </c>
      <c r="P319" s="2">
        <v>2</v>
      </c>
      <c r="Q319" s="2">
        <v>2</v>
      </c>
      <c r="R319" s="2">
        <v>0.5</v>
      </c>
      <c r="S319" s="2">
        <v>1</v>
      </c>
      <c r="T319" s="2">
        <v>0.5</v>
      </c>
      <c r="U319" s="2">
        <v>2</v>
      </c>
      <c r="V319" s="2">
        <v>1</v>
      </c>
      <c r="W319" s="2">
        <v>0.5</v>
      </c>
      <c r="X319" s="2">
        <v>1</v>
      </c>
      <c r="Y319" s="2">
        <v>1</v>
      </c>
      <c r="Z319" s="2">
        <v>0</v>
      </c>
      <c r="AA319" s="2">
        <v>1</v>
      </c>
      <c r="AB319" s="2">
        <v>0.5</v>
      </c>
      <c r="AC319" s="2">
        <v>0.5</v>
      </c>
      <c r="AD319" s="2">
        <v>90</v>
      </c>
      <c r="AE319" s="2">
        <v>5120</v>
      </c>
      <c r="AF319" s="2">
        <v>35</v>
      </c>
      <c r="AG319" s="2">
        <v>305</v>
      </c>
      <c r="AH319" s="2">
        <v>225</v>
      </c>
      <c r="AI319" s="2">
        <v>20</v>
      </c>
      <c r="AJ319" s="1">
        <v>1250000</v>
      </c>
      <c r="AK319" s="1">
        <v>0.8</v>
      </c>
      <c r="AL319" s="1">
        <v>45</v>
      </c>
      <c r="AM319" s="2">
        <v>50</v>
      </c>
      <c r="AN319" s="2">
        <f t="shared" si="4"/>
        <v>50</v>
      </c>
      <c r="AO319" s="3">
        <v>318</v>
      </c>
      <c r="AP319" s="3">
        <v>65</v>
      </c>
      <c r="AQ319" s="3">
        <v>20</v>
      </c>
      <c r="AR319" s="3">
        <v>65</v>
      </c>
      <c r="AS319" s="1">
        <v>20.8</v>
      </c>
      <c r="AT319" s="3">
        <v>3</v>
      </c>
      <c r="AU319" s="3" t="s">
        <v>3051</v>
      </c>
    </row>
    <row r="320" spans="1:47" x14ac:dyDescent="0.3">
      <c r="A320" s="1" t="s">
        <v>909</v>
      </c>
      <c r="B320" s="1" t="s">
        <v>908</v>
      </c>
      <c r="C320" s="1" t="s">
        <v>62</v>
      </c>
      <c r="D320" s="1" t="s">
        <v>99</v>
      </c>
      <c r="E320" s="1" t="s">
        <v>907</v>
      </c>
      <c r="F320" t="s">
        <v>3158</v>
      </c>
      <c r="G320" t="s">
        <v>3149</v>
      </c>
      <c r="H320" t="s">
        <v>52</v>
      </c>
      <c r="I320" t="s">
        <v>52</v>
      </c>
      <c r="J320" t="s">
        <v>52</v>
      </c>
      <c r="K320" t="s">
        <v>52</v>
      </c>
      <c r="L320" s="2">
        <v>2</v>
      </c>
      <c r="M320" s="2">
        <v>0.5</v>
      </c>
      <c r="N320" s="2">
        <v>1</v>
      </c>
      <c r="O320" s="2">
        <v>2</v>
      </c>
      <c r="P320" s="2">
        <v>2</v>
      </c>
      <c r="Q320" s="2">
        <v>2</v>
      </c>
      <c r="R320" s="2">
        <v>0.5</v>
      </c>
      <c r="S320" s="2">
        <v>1</v>
      </c>
      <c r="T320" s="2">
        <v>0.5</v>
      </c>
      <c r="U320" s="2">
        <v>2</v>
      </c>
      <c r="V320" s="2">
        <v>1</v>
      </c>
      <c r="W320" s="2">
        <v>0.5</v>
      </c>
      <c r="X320" s="2">
        <v>1</v>
      </c>
      <c r="Y320" s="2">
        <v>1</v>
      </c>
      <c r="Z320" s="2">
        <v>0</v>
      </c>
      <c r="AA320" s="2">
        <v>1</v>
      </c>
      <c r="AB320" s="2">
        <v>0.5</v>
      </c>
      <c r="AC320" s="2">
        <v>0.5</v>
      </c>
      <c r="AD320" s="2">
        <v>140</v>
      </c>
      <c r="AE320" s="2">
        <v>5120</v>
      </c>
      <c r="AF320" s="2">
        <v>35</v>
      </c>
      <c r="AG320" s="2">
        <v>560</v>
      </c>
      <c r="AH320" s="2">
        <v>60</v>
      </c>
      <c r="AI320" s="2">
        <v>70</v>
      </c>
      <c r="AJ320" s="1">
        <v>1250000</v>
      </c>
      <c r="AK320" s="1">
        <v>1.8</v>
      </c>
      <c r="AL320" s="1">
        <v>70</v>
      </c>
      <c r="AM320" s="2">
        <v>50</v>
      </c>
      <c r="AN320" s="2">
        <f t="shared" si="4"/>
        <v>50</v>
      </c>
      <c r="AO320" s="3">
        <v>319</v>
      </c>
      <c r="AP320" s="3">
        <v>110</v>
      </c>
      <c r="AQ320" s="3">
        <v>65</v>
      </c>
      <c r="AR320" s="3">
        <v>105</v>
      </c>
      <c r="AS320" s="1">
        <v>88.8</v>
      </c>
      <c r="AT320" s="3">
        <v>3</v>
      </c>
      <c r="AU320" s="3" t="s">
        <v>3051</v>
      </c>
    </row>
    <row r="321" spans="1:47" x14ac:dyDescent="0.3">
      <c r="A321" s="1" t="s">
        <v>912</v>
      </c>
      <c r="B321" s="1" t="s">
        <v>911</v>
      </c>
      <c r="C321" s="1" t="s">
        <v>62</v>
      </c>
      <c r="D321" s="1" t="s">
        <v>52</v>
      </c>
      <c r="E321" s="1" t="s">
        <v>910</v>
      </c>
      <c r="F321" t="s">
        <v>3159</v>
      </c>
      <c r="G321" t="s">
        <v>3133</v>
      </c>
      <c r="H321" t="s">
        <v>3067</v>
      </c>
      <c r="I321" t="s">
        <v>52</v>
      </c>
      <c r="J321" t="s">
        <v>52</v>
      </c>
      <c r="K321" t="s">
        <v>52</v>
      </c>
      <c r="L321" s="2">
        <v>1</v>
      </c>
      <c r="M321" s="2">
        <v>1</v>
      </c>
      <c r="N321" s="2">
        <v>1</v>
      </c>
      <c r="O321" s="2">
        <v>2</v>
      </c>
      <c r="P321" s="2">
        <v>1</v>
      </c>
      <c r="Q321" s="2">
        <v>1</v>
      </c>
      <c r="R321" s="2">
        <v>0.5</v>
      </c>
      <c r="S321" s="2">
        <v>1</v>
      </c>
      <c r="T321" s="2">
        <v>1</v>
      </c>
      <c r="U321" s="2">
        <v>2</v>
      </c>
      <c r="V321" s="2">
        <v>1</v>
      </c>
      <c r="W321" s="2">
        <v>0.5</v>
      </c>
      <c r="X321" s="2">
        <v>1</v>
      </c>
      <c r="Y321" s="2">
        <v>1</v>
      </c>
      <c r="Z321" s="2">
        <v>1</v>
      </c>
      <c r="AA321" s="2">
        <v>1</v>
      </c>
      <c r="AB321" s="2">
        <v>0.5</v>
      </c>
      <c r="AC321" s="2">
        <v>0.5</v>
      </c>
      <c r="AD321" s="2">
        <v>70</v>
      </c>
      <c r="AE321" s="2">
        <v>10240</v>
      </c>
      <c r="AF321" s="2">
        <v>70</v>
      </c>
      <c r="AG321" s="2">
        <v>400</v>
      </c>
      <c r="AH321" s="2">
        <v>125</v>
      </c>
      <c r="AI321" s="2">
        <v>35</v>
      </c>
      <c r="AJ321" s="1">
        <v>1640000</v>
      </c>
      <c r="AK321" s="1">
        <v>2</v>
      </c>
      <c r="AL321" s="1">
        <v>130</v>
      </c>
      <c r="AM321" s="2">
        <v>50</v>
      </c>
      <c r="AN321" s="2">
        <f t="shared" si="4"/>
        <v>50</v>
      </c>
      <c r="AO321" s="3">
        <v>320</v>
      </c>
      <c r="AP321" s="3">
        <v>70</v>
      </c>
      <c r="AQ321" s="3">
        <v>35</v>
      </c>
      <c r="AR321" s="3">
        <v>60</v>
      </c>
      <c r="AS321" s="1">
        <v>130</v>
      </c>
      <c r="AT321" s="3">
        <v>3</v>
      </c>
      <c r="AU321" s="3" t="s">
        <v>3051</v>
      </c>
    </row>
    <row r="322" spans="1:47" x14ac:dyDescent="0.3">
      <c r="A322" s="1" t="s">
        <v>915</v>
      </c>
      <c r="B322" s="1" t="s">
        <v>914</v>
      </c>
      <c r="C322" s="1" t="s">
        <v>62</v>
      </c>
      <c r="D322" s="1" t="s">
        <v>52</v>
      </c>
      <c r="E322" s="1" t="s">
        <v>913</v>
      </c>
      <c r="F322" t="s">
        <v>3159</v>
      </c>
      <c r="G322" t="s">
        <v>3133</v>
      </c>
      <c r="H322" t="s">
        <v>3067</v>
      </c>
      <c r="I322" t="s">
        <v>52</v>
      </c>
      <c r="J322" t="s">
        <v>52</v>
      </c>
      <c r="K322" t="s">
        <v>52</v>
      </c>
      <c r="L322" s="2">
        <v>1</v>
      </c>
      <c r="M322" s="2">
        <v>1</v>
      </c>
      <c r="N322" s="2">
        <v>1</v>
      </c>
      <c r="O322" s="2">
        <v>2</v>
      </c>
      <c r="P322" s="2">
        <v>1</v>
      </c>
      <c r="Q322" s="2">
        <v>1</v>
      </c>
      <c r="R322" s="2">
        <v>0.5</v>
      </c>
      <c r="S322" s="2">
        <v>1</v>
      </c>
      <c r="T322" s="2">
        <v>1</v>
      </c>
      <c r="U322" s="2">
        <v>2</v>
      </c>
      <c r="V322" s="2">
        <v>1</v>
      </c>
      <c r="W322" s="2">
        <v>0.5</v>
      </c>
      <c r="X322" s="2">
        <v>1</v>
      </c>
      <c r="Y322" s="2">
        <v>1</v>
      </c>
      <c r="Z322" s="2">
        <v>1</v>
      </c>
      <c r="AA322" s="2">
        <v>1</v>
      </c>
      <c r="AB322" s="2">
        <v>0.5</v>
      </c>
      <c r="AC322" s="2">
        <v>0.5</v>
      </c>
      <c r="AD322" s="2">
        <v>90</v>
      </c>
      <c r="AE322" s="2">
        <v>10240</v>
      </c>
      <c r="AF322" s="2">
        <v>70</v>
      </c>
      <c r="AG322" s="2">
        <v>500</v>
      </c>
      <c r="AH322" s="2">
        <v>60</v>
      </c>
      <c r="AI322" s="2">
        <v>45</v>
      </c>
      <c r="AJ322" s="1">
        <v>1640000</v>
      </c>
      <c r="AK322" s="1">
        <v>14.5</v>
      </c>
      <c r="AL322" s="1">
        <v>170</v>
      </c>
      <c r="AM322" s="2">
        <v>50</v>
      </c>
      <c r="AN322" s="2">
        <f t="shared" si="4"/>
        <v>50</v>
      </c>
      <c r="AO322" s="3">
        <v>321</v>
      </c>
      <c r="AP322" s="3">
        <v>90</v>
      </c>
      <c r="AQ322" s="3">
        <v>45</v>
      </c>
      <c r="AR322" s="3">
        <v>60</v>
      </c>
      <c r="AS322" s="1">
        <v>398</v>
      </c>
      <c r="AT322" s="3">
        <v>3</v>
      </c>
      <c r="AU322" s="3" t="s">
        <v>3051</v>
      </c>
    </row>
    <row r="323" spans="1:47" x14ac:dyDescent="0.3">
      <c r="A323" s="1" t="s">
        <v>918</v>
      </c>
      <c r="B323" s="1" t="s">
        <v>917</v>
      </c>
      <c r="C323" s="1" t="s">
        <v>51</v>
      </c>
      <c r="D323" s="1" t="s">
        <v>120</v>
      </c>
      <c r="E323" s="1" t="s">
        <v>916</v>
      </c>
      <c r="F323" t="s">
        <v>3133</v>
      </c>
      <c r="G323" t="s">
        <v>3163</v>
      </c>
      <c r="H323" t="s">
        <v>3140</v>
      </c>
      <c r="I323" t="s">
        <v>52</v>
      </c>
      <c r="J323" t="s">
        <v>52</v>
      </c>
      <c r="K323" t="s">
        <v>52</v>
      </c>
      <c r="L323" s="2">
        <v>0.5</v>
      </c>
      <c r="M323" s="2">
        <v>1</v>
      </c>
      <c r="N323" s="2">
        <v>1</v>
      </c>
      <c r="O323" s="2">
        <v>0</v>
      </c>
      <c r="P323" s="2">
        <v>0.5</v>
      </c>
      <c r="Q323" s="2">
        <v>1</v>
      </c>
      <c r="R323" s="2">
        <v>0.5</v>
      </c>
      <c r="S323" s="2">
        <v>1</v>
      </c>
      <c r="T323" s="2">
        <v>1</v>
      </c>
      <c r="U323" s="2">
        <v>1</v>
      </c>
      <c r="V323" s="2">
        <v>2</v>
      </c>
      <c r="W323" s="2">
        <v>1</v>
      </c>
      <c r="X323" s="2">
        <v>1</v>
      </c>
      <c r="Y323" s="2">
        <v>0.5</v>
      </c>
      <c r="Z323" s="2">
        <v>1</v>
      </c>
      <c r="AA323" s="2">
        <v>1</v>
      </c>
      <c r="AB323" s="2">
        <v>0.5</v>
      </c>
      <c r="AC323" s="2">
        <v>4</v>
      </c>
      <c r="AD323" s="2">
        <v>60</v>
      </c>
      <c r="AE323" s="2">
        <v>5120</v>
      </c>
      <c r="AF323" s="2">
        <v>70</v>
      </c>
      <c r="AG323" s="2">
        <v>305</v>
      </c>
      <c r="AH323" s="2">
        <v>255</v>
      </c>
      <c r="AI323" s="2">
        <v>40</v>
      </c>
      <c r="AJ323" s="1">
        <v>1000000</v>
      </c>
      <c r="AK323" s="1">
        <v>0.7</v>
      </c>
      <c r="AL323" s="1">
        <v>60</v>
      </c>
      <c r="AM323" s="2">
        <v>50</v>
      </c>
      <c r="AN323" s="2">
        <f t="shared" ref="AN323:AN386" si="5">IF(AM323="","",100-AM323)</f>
        <v>50</v>
      </c>
      <c r="AO323" s="3">
        <v>322</v>
      </c>
      <c r="AP323" s="3">
        <v>65</v>
      </c>
      <c r="AQ323" s="3">
        <v>45</v>
      </c>
      <c r="AR323" s="3">
        <v>35</v>
      </c>
      <c r="AS323" s="1">
        <v>24</v>
      </c>
      <c r="AT323" s="3">
        <v>3</v>
      </c>
      <c r="AU323" s="3" t="s">
        <v>3051</v>
      </c>
    </row>
    <row r="324" spans="1:47" x14ac:dyDescent="0.3">
      <c r="A324" s="1" t="s">
        <v>921</v>
      </c>
      <c r="B324" s="1" t="s">
        <v>920</v>
      </c>
      <c r="C324" s="1" t="s">
        <v>51</v>
      </c>
      <c r="D324" s="1" t="s">
        <v>120</v>
      </c>
      <c r="E324" s="1" t="s">
        <v>919</v>
      </c>
      <c r="F324" t="s">
        <v>3151</v>
      </c>
      <c r="G324" t="s">
        <v>3185</v>
      </c>
      <c r="H324" t="s">
        <v>3240</v>
      </c>
      <c r="I324" t="s">
        <v>52</v>
      </c>
      <c r="J324" t="s">
        <v>52</v>
      </c>
      <c r="K324" t="s">
        <v>52</v>
      </c>
      <c r="L324" s="2">
        <v>0.5</v>
      </c>
      <c r="M324" s="2">
        <v>1</v>
      </c>
      <c r="N324" s="2">
        <v>1</v>
      </c>
      <c r="O324" s="2">
        <v>0</v>
      </c>
      <c r="P324" s="2">
        <v>0.5</v>
      </c>
      <c r="Q324" s="2">
        <v>1</v>
      </c>
      <c r="R324" s="2">
        <v>0.5</v>
      </c>
      <c r="S324" s="2">
        <v>1</v>
      </c>
      <c r="T324" s="2">
        <v>1</v>
      </c>
      <c r="U324" s="2">
        <v>1</v>
      </c>
      <c r="V324" s="2">
        <v>2</v>
      </c>
      <c r="W324" s="2">
        <v>1</v>
      </c>
      <c r="X324" s="2">
        <v>1</v>
      </c>
      <c r="Y324" s="2">
        <v>0.5</v>
      </c>
      <c r="Z324" s="2">
        <v>1</v>
      </c>
      <c r="AA324" s="2">
        <v>1</v>
      </c>
      <c r="AB324" s="2">
        <v>0.5</v>
      </c>
      <c r="AC324" s="2">
        <v>4</v>
      </c>
      <c r="AD324" s="2">
        <v>120</v>
      </c>
      <c r="AE324" s="2">
        <v>5120</v>
      </c>
      <c r="AF324" s="2">
        <v>70</v>
      </c>
      <c r="AG324" s="2">
        <v>560</v>
      </c>
      <c r="AH324" s="2">
        <v>150</v>
      </c>
      <c r="AI324" s="2">
        <v>100</v>
      </c>
      <c r="AJ324" s="1">
        <v>1000000</v>
      </c>
      <c r="AK324" s="1">
        <v>1.9</v>
      </c>
      <c r="AL324" s="1">
        <v>70</v>
      </c>
      <c r="AM324" s="2">
        <v>50</v>
      </c>
      <c r="AN324" s="2">
        <f t="shared" si="5"/>
        <v>50</v>
      </c>
      <c r="AO324" s="3">
        <v>323</v>
      </c>
      <c r="AP324" s="3">
        <v>145</v>
      </c>
      <c r="AQ324" s="3">
        <v>105</v>
      </c>
      <c r="AR324" s="3">
        <v>20</v>
      </c>
      <c r="AS324" s="1">
        <v>220</v>
      </c>
      <c r="AT324" s="3">
        <v>3</v>
      </c>
      <c r="AU324" s="3" t="s">
        <v>3051</v>
      </c>
    </row>
    <row r="325" spans="1:47" x14ac:dyDescent="0.3">
      <c r="A325" s="1" t="s">
        <v>924</v>
      </c>
      <c r="B325" s="1" t="s">
        <v>923</v>
      </c>
      <c r="C325" s="1" t="s">
        <v>51</v>
      </c>
      <c r="D325" s="1" t="s">
        <v>52</v>
      </c>
      <c r="E325" s="1" t="s">
        <v>922</v>
      </c>
      <c r="F325" t="s">
        <v>3160</v>
      </c>
      <c r="G325" t="s">
        <v>3064</v>
      </c>
      <c r="H325" t="s">
        <v>3103</v>
      </c>
      <c r="I325" t="s">
        <v>52</v>
      </c>
      <c r="J325" t="s">
        <v>52</v>
      </c>
      <c r="K325" t="s">
        <v>52</v>
      </c>
      <c r="L325" s="2">
        <v>0.5</v>
      </c>
      <c r="M325" s="2">
        <v>1</v>
      </c>
      <c r="N325" s="2">
        <v>1</v>
      </c>
      <c r="O325" s="2">
        <v>1</v>
      </c>
      <c r="P325" s="2">
        <v>0.5</v>
      </c>
      <c r="Q325" s="2">
        <v>1</v>
      </c>
      <c r="R325" s="2">
        <v>0.5</v>
      </c>
      <c r="S325" s="2">
        <v>1</v>
      </c>
      <c r="T325" s="2">
        <v>1</v>
      </c>
      <c r="U325" s="2">
        <v>0.5</v>
      </c>
      <c r="V325" s="2">
        <v>2</v>
      </c>
      <c r="W325" s="2">
        <v>0.5</v>
      </c>
      <c r="X325" s="2">
        <v>1</v>
      </c>
      <c r="Y325" s="2">
        <v>1</v>
      </c>
      <c r="Z325" s="2">
        <v>1</v>
      </c>
      <c r="AA325" s="2">
        <v>2</v>
      </c>
      <c r="AB325" s="2">
        <v>0.5</v>
      </c>
      <c r="AC325" s="2">
        <v>2</v>
      </c>
      <c r="AD325" s="2">
        <v>85</v>
      </c>
      <c r="AE325" s="2">
        <v>5120</v>
      </c>
      <c r="AF325" s="2">
        <v>70</v>
      </c>
      <c r="AG325" s="2">
        <v>470</v>
      </c>
      <c r="AH325" s="2">
        <v>90</v>
      </c>
      <c r="AI325" s="2">
        <v>140</v>
      </c>
      <c r="AJ325" s="1">
        <v>1000000</v>
      </c>
      <c r="AK325" s="1">
        <v>0.5</v>
      </c>
      <c r="AL325" s="1">
        <v>70</v>
      </c>
      <c r="AM325" s="2">
        <v>50</v>
      </c>
      <c r="AN325" s="2">
        <f t="shared" si="5"/>
        <v>50</v>
      </c>
      <c r="AO325" s="3">
        <v>324</v>
      </c>
      <c r="AP325" s="3">
        <v>85</v>
      </c>
      <c r="AQ325" s="3">
        <v>70</v>
      </c>
      <c r="AR325" s="3">
        <v>20</v>
      </c>
      <c r="AS325" s="1">
        <v>80.400000000000006</v>
      </c>
      <c r="AT325" s="3">
        <v>3</v>
      </c>
      <c r="AU325" s="3" t="s">
        <v>3051</v>
      </c>
    </row>
    <row r="326" spans="1:47" x14ac:dyDescent="0.3">
      <c r="A326" s="1" t="s">
        <v>927</v>
      </c>
      <c r="B326" s="1" t="s">
        <v>926</v>
      </c>
      <c r="C326" s="1" t="s">
        <v>216</v>
      </c>
      <c r="D326" s="1" t="s">
        <v>52</v>
      </c>
      <c r="E326" s="1" t="s">
        <v>925</v>
      </c>
      <c r="F326" t="s">
        <v>3135</v>
      </c>
      <c r="G326" t="s">
        <v>3140</v>
      </c>
      <c r="H326" t="s">
        <v>3177</v>
      </c>
      <c r="I326" t="s">
        <v>52</v>
      </c>
      <c r="J326" t="s">
        <v>52</v>
      </c>
      <c r="K326" t="s">
        <v>52</v>
      </c>
      <c r="L326" s="2">
        <v>2</v>
      </c>
      <c r="M326" s="2">
        <v>2</v>
      </c>
      <c r="N326" s="2">
        <v>1</v>
      </c>
      <c r="O326" s="2">
        <v>1</v>
      </c>
      <c r="P326" s="2">
        <v>1</v>
      </c>
      <c r="Q326" s="2">
        <v>0.5</v>
      </c>
      <c r="R326" s="2">
        <v>1</v>
      </c>
      <c r="S326" s="2">
        <v>1</v>
      </c>
      <c r="T326" s="2">
        <v>2</v>
      </c>
      <c r="U326" s="2">
        <v>1</v>
      </c>
      <c r="V326" s="2">
        <v>1</v>
      </c>
      <c r="W326" s="2">
        <v>1</v>
      </c>
      <c r="X326" s="2">
        <v>1</v>
      </c>
      <c r="Y326" s="2">
        <v>1</v>
      </c>
      <c r="Z326" s="2">
        <v>0.5</v>
      </c>
      <c r="AA326" s="2">
        <v>1</v>
      </c>
      <c r="AB326" s="2">
        <v>1</v>
      </c>
      <c r="AC326" s="2">
        <v>1</v>
      </c>
      <c r="AD326" s="2">
        <v>25</v>
      </c>
      <c r="AE326" s="2">
        <v>5120</v>
      </c>
      <c r="AF326" s="2">
        <v>70</v>
      </c>
      <c r="AG326" s="2">
        <v>330</v>
      </c>
      <c r="AH326" s="2">
        <v>255</v>
      </c>
      <c r="AI326" s="2">
        <v>35</v>
      </c>
      <c r="AJ326" s="1">
        <v>800000</v>
      </c>
      <c r="AK326" s="1">
        <v>0.7</v>
      </c>
      <c r="AL326" s="1">
        <v>60</v>
      </c>
      <c r="AM326" s="2">
        <v>50</v>
      </c>
      <c r="AN326" s="2">
        <f t="shared" si="5"/>
        <v>50</v>
      </c>
      <c r="AO326" s="3">
        <v>325</v>
      </c>
      <c r="AP326" s="3">
        <v>70</v>
      </c>
      <c r="AQ326" s="3">
        <v>80</v>
      </c>
      <c r="AR326" s="3">
        <v>60</v>
      </c>
      <c r="AS326" s="1">
        <v>30.6</v>
      </c>
      <c r="AT326" s="3">
        <v>3</v>
      </c>
      <c r="AU326" s="3" t="s">
        <v>3051</v>
      </c>
    </row>
    <row r="327" spans="1:47" x14ac:dyDescent="0.3">
      <c r="A327" s="1" t="s">
        <v>930</v>
      </c>
      <c r="B327" s="1" t="s">
        <v>929</v>
      </c>
      <c r="C327" s="1" t="s">
        <v>216</v>
      </c>
      <c r="D327" s="1" t="s">
        <v>52</v>
      </c>
      <c r="E327" s="1" t="s">
        <v>928</v>
      </c>
      <c r="F327" t="s">
        <v>3135</v>
      </c>
      <c r="G327" t="s">
        <v>3140</v>
      </c>
      <c r="H327" t="s">
        <v>3177</v>
      </c>
      <c r="I327" t="s">
        <v>52</v>
      </c>
      <c r="J327" t="s">
        <v>52</v>
      </c>
      <c r="K327" t="s">
        <v>52</v>
      </c>
      <c r="L327" s="2">
        <v>2</v>
      </c>
      <c r="M327" s="2">
        <v>2</v>
      </c>
      <c r="N327" s="2">
        <v>1</v>
      </c>
      <c r="O327" s="2">
        <v>1</v>
      </c>
      <c r="P327" s="2">
        <v>1</v>
      </c>
      <c r="Q327" s="2">
        <v>0.5</v>
      </c>
      <c r="R327" s="2">
        <v>1</v>
      </c>
      <c r="S327" s="2">
        <v>1</v>
      </c>
      <c r="T327" s="2">
        <v>2</v>
      </c>
      <c r="U327" s="2">
        <v>1</v>
      </c>
      <c r="V327" s="2">
        <v>1</v>
      </c>
      <c r="W327" s="2">
        <v>1</v>
      </c>
      <c r="X327" s="2">
        <v>1</v>
      </c>
      <c r="Y327" s="2">
        <v>1</v>
      </c>
      <c r="Z327" s="2">
        <v>0.5</v>
      </c>
      <c r="AA327" s="2">
        <v>1</v>
      </c>
      <c r="AB327" s="2">
        <v>1</v>
      </c>
      <c r="AC327" s="2">
        <v>1</v>
      </c>
      <c r="AD327" s="2">
        <v>45</v>
      </c>
      <c r="AE327" s="2">
        <v>5120</v>
      </c>
      <c r="AF327" s="2">
        <v>70</v>
      </c>
      <c r="AG327" s="2">
        <v>470</v>
      </c>
      <c r="AH327" s="2">
        <v>60</v>
      </c>
      <c r="AI327" s="2">
        <v>65</v>
      </c>
      <c r="AJ327" s="1">
        <v>800000</v>
      </c>
      <c r="AK327" s="1">
        <v>0.9</v>
      </c>
      <c r="AL327" s="1">
        <v>80</v>
      </c>
      <c r="AM327" s="2">
        <v>50</v>
      </c>
      <c r="AN327" s="2">
        <f t="shared" si="5"/>
        <v>50</v>
      </c>
      <c r="AO327" s="3">
        <v>326</v>
      </c>
      <c r="AP327" s="3">
        <v>90</v>
      </c>
      <c r="AQ327" s="3">
        <v>110</v>
      </c>
      <c r="AR327" s="3">
        <v>80</v>
      </c>
      <c r="AS327" s="1">
        <v>71.5</v>
      </c>
      <c r="AT327" s="3">
        <v>3</v>
      </c>
      <c r="AU327" s="3" t="s">
        <v>3051</v>
      </c>
    </row>
    <row r="328" spans="1:47" x14ac:dyDescent="0.3">
      <c r="A328" s="1" t="s">
        <v>933</v>
      </c>
      <c r="B328" s="1" t="s">
        <v>932</v>
      </c>
      <c r="C328" s="1" t="s">
        <v>90</v>
      </c>
      <c r="D328" s="1" t="s">
        <v>52</v>
      </c>
      <c r="E328" s="1" t="s">
        <v>931</v>
      </c>
      <c r="F328" t="s">
        <v>3140</v>
      </c>
      <c r="G328" t="s">
        <v>3227</v>
      </c>
      <c r="H328" t="s">
        <v>3196</v>
      </c>
      <c r="I328" t="s">
        <v>52</v>
      </c>
      <c r="J328" t="s">
        <v>52</v>
      </c>
      <c r="K328" t="s">
        <v>52</v>
      </c>
      <c r="L328" s="2">
        <v>1</v>
      </c>
      <c r="M328" s="2">
        <v>1</v>
      </c>
      <c r="N328" s="2">
        <v>1</v>
      </c>
      <c r="O328" s="2">
        <v>1</v>
      </c>
      <c r="P328" s="2">
        <v>1</v>
      </c>
      <c r="Q328" s="2">
        <v>2</v>
      </c>
      <c r="R328" s="2">
        <v>1</v>
      </c>
      <c r="S328" s="2">
        <v>1</v>
      </c>
      <c r="T328" s="2">
        <v>0</v>
      </c>
      <c r="U328" s="2">
        <v>1</v>
      </c>
      <c r="V328" s="2">
        <v>1</v>
      </c>
      <c r="W328" s="2">
        <v>1</v>
      </c>
      <c r="X328" s="2">
        <v>1</v>
      </c>
      <c r="Y328" s="2">
        <v>1</v>
      </c>
      <c r="Z328" s="2">
        <v>1</v>
      </c>
      <c r="AA328" s="2">
        <v>1</v>
      </c>
      <c r="AB328" s="2">
        <v>1</v>
      </c>
      <c r="AC328" s="2">
        <v>1</v>
      </c>
      <c r="AD328" s="2">
        <v>60</v>
      </c>
      <c r="AE328" s="2">
        <v>3840</v>
      </c>
      <c r="AF328" s="2">
        <v>70</v>
      </c>
      <c r="AG328" s="2">
        <v>360</v>
      </c>
      <c r="AH328" s="2">
        <v>255</v>
      </c>
      <c r="AI328" s="2">
        <v>60</v>
      </c>
      <c r="AJ328" s="1">
        <v>800000</v>
      </c>
      <c r="AK328" s="1">
        <v>1.1000000000000001</v>
      </c>
      <c r="AL328" s="1">
        <v>60</v>
      </c>
      <c r="AM328" s="2">
        <v>50</v>
      </c>
      <c r="AN328" s="2">
        <f t="shared" si="5"/>
        <v>50</v>
      </c>
      <c r="AO328" s="3">
        <v>327</v>
      </c>
      <c r="AP328" s="3">
        <v>60</v>
      </c>
      <c r="AQ328" s="3">
        <v>60</v>
      </c>
      <c r="AR328" s="3">
        <v>60</v>
      </c>
      <c r="AS328" s="1">
        <v>5</v>
      </c>
      <c r="AT328" s="3">
        <v>3</v>
      </c>
      <c r="AU328" s="3" t="s">
        <v>3051</v>
      </c>
    </row>
    <row r="329" spans="1:47" x14ac:dyDescent="0.3">
      <c r="A329" s="1" t="s">
        <v>936</v>
      </c>
      <c r="B329" s="1" t="s">
        <v>935</v>
      </c>
      <c r="C329" s="1" t="s">
        <v>120</v>
      </c>
      <c r="D329" s="1" t="s">
        <v>52</v>
      </c>
      <c r="E329" s="1" t="s">
        <v>934</v>
      </c>
      <c r="F329" t="s">
        <v>3138</v>
      </c>
      <c r="G329" t="s">
        <v>3236</v>
      </c>
      <c r="H329" t="s">
        <v>3184</v>
      </c>
      <c r="I329" t="s">
        <v>52</v>
      </c>
      <c r="J329" t="s">
        <v>52</v>
      </c>
      <c r="K329" t="s">
        <v>52</v>
      </c>
      <c r="L329" s="2">
        <v>1</v>
      </c>
      <c r="M329" s="2">
        <v>1</v>
      </c>
      <c r="N329" s="2">
        <v>1</v>
      </c>
      <c r="O329" s="2">
        <v>0</v>
      </c>
      <c r="P329" s="2">
        <v>1</v>
      </c>
      <c r="Q329" s="2">
        <v>1</v>
      </c>
      <c r="R329" s="2">
        <v>1</v>
      </c>
      <c r="S329" s="2">
        <v>1</v>
      </c>
      <c r="T329" s="2">
        <v>1</v>
      </c>
      <c r="U329" s="2">
        <v>2</v>
      </c>
      <c r="V329" s="2">
        <v>1</v>
      </c>
      <c r="W329" s="2">
        <v>2</v>
      </c>
      <c r="X329" s="2">
        <v>1</v>
      </c>
      <c r="Y329" s="2">
        <v>0.5</v>
      </c>
      <c r="Z329" s="2">
        <v>1</v>
      </c>
      <c r="AA329" s="2">
        <v>0.5</v>
      </c>
      <c r="AB329" s="2">
        <v>1</v>
      </c>
      <c r="AC329" s="2">
        <v>2</v>
      </c>
      <c r="AD329" s="2">
        <v>100</v>
      </c>
      <c r="AE329" s="2">
        <v>5120</v>
      </c>
      <c r="AF329" s="2">
        <v>70</v>
      </c>
      <c r="AG329" s="2">
        <v>290</v>
      </c>
      <c r="AH329" s="2">
        <v>255</v>
      </c>
      <c r="AI329" s="2">
        <v>45</v>
      </c>
      <c r="AJ329" s="1">
        <v>1059860</v>
      </c>
      <c r="AK329" s="1">
        <v>0.7</v>
      </c>
      <c r="AL329" s="1">
        <v>45</v>
      </c>
      <c r="AM329" s="2">
        <v>50</v>
      </c>
      <c r="AN329" s="2">
        <f t="shared" si="5"/>
        <v>50</v>
      </c>
      <c r="AO329" s="3">
        <v>328</v>
      </c>
      <c r="AP329" s="3">
        <v>45</v>
      </c>
      <c r="AQ329" s="3">
        <v>45</v>
      </c>
      <c r="AR329" s="3">
        <v>10</v>
      </c>
      <c r="AS329" s="1">
        <v>15</v>
      </c>
      <c r="AT329" s="3">
        <v>3</v>
      </c>
      <c r="AU329" s="3" t="s">
        <v>3051</v>
      </c>
    </row>
    <row r="330" spans="1:47" x14ac:dyDescent="0.3">
      <c r="A330" s="1" t="s">
        <v>939</v>
      </c>
      <c r="B330" s="1" t="s">
        <v>938</v>
      </c>
      <c r="C330" s="1" t="s">
        <v>120</v>
      </c>
      <c r="D330" s="1" t="s">
        <v>443</v>
      </c>
      <c r="E330" s="1" t="s">
        <v>937</v>
      </c>
      <c r="F330" t="s">
        <v>3055</v>
      </c>
      <c r="G330" t="s">
        <v>52</v>
      </c>
      <c r="H330" t="s">
        <v>52</v>
      </c>
      <c r="I330" t="s">
        <v>52</v>
      </c>
      <c r="J330" t="s">
        <v>52</v>
      </c>
      <c r="K330" t="s">
        <v>52</v>
      </c>
      <c r="L330" s="2">
        <v>1</v>
      </c>
      <c r="M330" s="2">
        <v>1</v>
      </c>
      <c r="N330" s="2">
        <v>2</v>
      </c>
      <c r="O330" s="2">
        <v>0</v>
      </c>
      <c r="P330" s="2">
        <v>2</v>
      </c>
      <c r="Q330" s="2">
        <v>1</v>
      </c>
      <c r="R330" s="2">
        <v>0.5</v>
      </c>
      <c r="S330" s="2">
        <v>1</v>
      </c>
      <c r="T330" s="2">
        <v>1</v>
      </c>
      <c r="U330" s="2">
        <v>1</v>
      </c>
      <c r="V330" s="2">
        <v>1</v>
      </c>
      <c r="W330" s="2">
        <v>4</v>
      </c>
      <c r="X330" s="2">
        <v>1</v>
      </c>
      <c r="Y330" s="2">
        <v>0.5</v>
      </c>
      <c r="Z330" s="2">
        <v>1</v>
      </c>
      <c r="AA330" s="2">
        <v>0.5</v>
      </c>
      <c r="AB330" s="2">
        <v>1</v>
      </c>
      <c r="AC330" s="2">
        <v>1</v>
      </c>
      <c r="AD330" s="2">
        <v>70</v>
      </c>
      <c r="AE330" s="2">
        <v>5120</v>
      </c>
      <c r="AF330" s="2">
        <v>70</v>
      </c>
      <c r="AG330" s="2">
        <v>340</v>
      </c>
      <c r="AH330" s="2">
        <v>120</v>
      </c>
      <c r="AI330" s="2">
        <v>50</v>
      </c>
      <c r="AJ330" s="1">
        <v>1059860</v>
      </c>
      <c r="AK330" s="1">
        <v>1.1000000000000001</v>
      </c>
      <c r="AL330" s="1">
        <v>50</v>
      </c>
      <c r="AM330" s="2">
        <v>50</v>
      </c>
      <c r="AN330" s="2">
        <f t="shared" si="5"/>
        <v>50</v>
      </c>
      <c r="AO330" s="3">
        <v>329</v>
      </c>
      <c r="AP330" s="3">
        <v>50</v>
      </c>
      <c r="AQ330" s="3">
        <v>50</v>
      </c>
      <c r="AR330" s="3">
        <v>70</v>
      </c>
      <c r="AS330" s="1">
        <v>15.3</v>
      </c>
      <c r="AT330" s="3">
        <v>3</v>
      </c>
      <c r="AU330" s="3" t="s">
        <v>3051</v>
      </c>
    </row>
    <row r="331" spans="1:47" x14ac:dyDescent="0.3">
      <c r="A331" s="1" t="s">
        <v>941</v>
      </c>
      <c r="B331" s="1" t="s">
        <v>940</v>
      </c>
      <c r="C331" s="1" t="s">
        <v>120</v>
      </c>
      <c r="D331" s="1" t="s">
        <v>443</v>
      </c>
      <c r="E331" s="1" t="s">
        <v>524</v>
      </c>
      <c r="F331" t="s">
        <v>3055</v>
      </c>
      <c r="G331" t="s">
        <v>52</v>
      </c>
      <c r="H331" t="s">
        <v>52</v>
      </c>
      <c r="I331" t="s">
        <v>52</v>
      </c>
      <c r="J331" t="s">
        <v>52</v>
      </c>
      <c r="K331" t="s">
        <v>52</v>
      </c>
      <c r="L331" s="2">
        <v>1</v>
      </c>
      <c r="M331" s="2">
        <v>1</v>
      </c>
      <c r="N331" s="2">
        <v>2</v>
      </c>
      <c r="O331" s="2">
        <v>0</v>
      </c>
      <c r="P331" s="2">
        <v>2</v>
      </c>
      <c r="Q331" s="2">
        <v>1</v>
      </c>
      <c r="R331" s="2">
        <v>0.5</v>
      </c>
      <c r="S331" s="2">
        <v>1</v>
      </c>
      <c r="T331" s="2">
        <v>1</v>
      </c>
      <c r="U331" s="2">
        <v>1</v>
      </c>
      <c r="V331" s="2">
        <v>1</v>
      </c>
      <c r="W331" s="2">
        <v>4</v>
      </c>
      <c r="X331" s="2">
        <v>1</v>
      </c>
      <c r="Y331" s="2">
        <v>0.5</v>
      </c>
      <c r="Z331" s="2">
        <v>1</v>
      </c>
      <c r="AA331" s="2">
        <v>0.5</v>
      </c>
      <c r="AB331" s="2">
        <v>1</v>
      </c>
      <c r="AC331" s="2">
        <v>1</v>
      </c>
      <c r="AD331" s="2">
        <v>100</v>
      </c>
      <c r="AE331" s="2">
        <v>5120</v>
      </c>
      <c r="AF331" s="2">
        <v>70</v>
      </c>
      <c r="AG331" s="2">
        <v>520</v>
      </c>
      <c r="AH331" s="2">
        <v>45</v>
      </c>
      <c r="AI331" s="2">
        <v>80</v>
      </c>
      <c r="AJ331" s="1">
        <v>1059860</v>
      </c>
      <c r="AK331" s="1">
        <v>2</v>
      </c>
      <c r="AL331" s="1">
        <v>80</v>
      </c>
      <c r="AM331" s="2">
        <v>50</v>
      </c>
      <c r="AN331" s="2">
        <f t="shared" si="5"/>
        <v>50</v>
      </c>
      <c r="AO331" s="3">
        <v>330</v>
      </c>
      <c r="AP331" s="3">
        <v>80</v>
      </c>
      <c r="AQ331" s="3">
        <v>80</v>
      </c>
      <c r="AR331" s="3">
        <v>100</v>
      </c>
      <c r="AS331" s="1">
        <v>82</v>
      </c>
      <c r="AT331" s="3">
        <v>3</v>
      </c>
      <c r="AU331" s="3" t="s">
        <v>3051</v>
      </c>
    </row>
    <row r="332" spans="1:47" x14ac:dyDescent="0.3">
      <c r="A332" s="1" t="s">
        <v>944</v>
      </c>
      <c r="B332" s="1" t="s">
        <v>943</v>
      </c>
      <c r="C332" s="1" t="s">
        <v>42</v>
      </c>
      <c r="D332" s="1" t="s">
        <v>52</v>
      </c>
      <c r="E332" s="1" t="s">
        <v>942</v>
      </c>
      <c r="F332" t="s">
        <v>3122</v>
      </c>
      <c r="G332" t="s">
        <v>3092</v>
      </c>
      <c r="H332" t="s">
        <v>52</v>
      </c>
      <c r="I332" t="s">
        <v>52</v>
      </c>
      <c r="J332" t="s">
        <v>52</v>
      </c>
      <c r="K332" t="s">
        <v>52</v>
      </c>
      <c r="L332" s="2">
        <v>2</v>
      </c>
      <c r="M332" s="2">
        <v>1</v>
      </c>
      <c r="N332" s="2">
        <v>1</v>
      </c>
      <c r="O332" s="2">
        <v>0.5</v>
      </c>
      <c r="P332" s="2">
        <v>1</v>
      </c>
      <c r="Q332" s="2">
        <v>1</v>
      </c>
      <c r="R332" s="2">
        <v>2</v>
      </c>
      <c r="S332" s="2">
        <v>2</v>
      </c>
      <c r="T332" s="2">
        <v>1</v>
      </c>
      <c r="U332" s="2">
        <v>0.5</v>
      </c>
      <c r="V332" s="2">
        <v>0.5</v>
      </c>
      <c r="W332" s="2">
        <v>2</v>
      </c>
      <c r="X332" s="2">
        <v>1</v>
      </c>
      <c r="Y332" s="2">
        <v>2</v>
      </c>
      <c r="Z332" s="2">
        <v>1</v>
      </c>
      <c r="AA332" s="2">
        <v>1</v>
      </c>
      <c r="AB332" s="2">
        <v>1</v>
      </c>
      <c r="AC332" s="2">
        <v>0.5</v>
      </c>
      <c r="AD332" s="2">
        <v>85</v>
      </c>
      <c r="AE332" s="2">
        <v>5120</v>
      </c>
      <c r="AF332" s="2">
        <v>35</v>
      </c>
      <c r="AG332" s="2">
        <v>335</v>
      </c>
      <c r="AH332" s="2">
        <v>190</v>
      </c>
      <c r="AI332" s="2">
        <v>40</v>
      </c>
      <c r="AJ332" s="1">
        <v>1059860</v>
      </c>
      <c r="AK332" s="1">
        <v>0.4</v>
      </c>
      <c r="AL332" s="1">
        <v>50</v>
      </c>
      <c r="AM332" s="2">
        <v>50</v>
      </c>
      <c r="AN332" s="2">
        <f t="shared" si="5"/>
        <v>50</v>
      </c>
      <c r="AO332" s="3">
        <v>331</v>
      </c>
      <c r="AP332" s="3">
        <v>85</v>
      </c>
      <c r="AQ332" s="3">
        <v>40</v>
      </c>
      <c r="AR332" s="3">
        <v>35</v>
      </c>
      <c r="AS332" s="1">
        <v>51.3</v>
      </c>
      <c r="AT332" s="3">
        <v>3</v>
      </c>
      <c r="AU332" s="3" t="s">
        <v>3051</v>
      </c>
    </row>
    <row r="333" spans="1:47" x14ac:dyDescent="0.3">
      <c r="A333" s="1" t="s">
        <v>947</v>
      </c>
      <c r="B333" s="1" t="s">
        <v>946</v>
      </c>
      <c r="C333" s="1" t="s">
        <v>42</v>
      </c>
      <c r="D333" s="1" t="s">
        <v>99</v>
      </c>
      <c r="E333" s="1" t="s">
        <v>945</v>
      </c>
      <c r="F333" t="s">
        <v>3122</v>
      </c>
      <c r="G333" t="s">
        <v>3092</v>
      </c>
      <c r="H333" t="s">
        <v>52</v>
      </c>
      <c r="I333" t="s">
        <v>52</v>
      </c>
      <c r="J333" t="s">
        <v>52</v>
      </c>
      <c r="K333" t="s">
        <v>52</v>
      </c>
      <c r="L333" s="2">
        <v>4</v>
      </c>
      <c r="M333" s="2">
        <v>0.5</v>
      </c>
      <c r="N333" s="2">
        <v>1</v>
      </c>
      <c r="O333" s="2">
        <v>0.5</v>
      </c>
      <c r="P333" s="2">
        <v>2</v>
      </c>
      <c r="Q333" s="2">
        <v>2</v>
      </c>
      <c r="R333" s="2">
        <v>2</v>
      </c>
      <c r="S333" s="2">
        <v>2</v>
      </c>
      <c r="T333" s="2">
        <v>0.5</v>
      </c>
      <c r="U333" s="2">
        <v>0.5</v>
      </c>
      <c r="V333" s="2">
        <v>0.5</v>
      </c>
      <c r="W333" s="2">
        <v>2</v>
      </c>
      <c r="X333" s="2">
        <v>1</v>
      </c>
      <c r="Y333" s="2">
        <v>2</v>
      </c>
      <c r="Z333" s="2">
        <v>0</v>
      </c>
      <c r="AA333" s="2">
        <v>1</v>
      </c>
      <c r="AB333" s="2">
        <v>1</v>
      </c>
      <c r="AC333" s="2">
        <v>0.5</v>
      </c>
      <c r="AD333" s="2">
        <v>115</v>
      </c>
      <c r="AE333" s="2">
        <v>5120</v>
      </c>
      <c r="AF333" s="2">
        <v>35</v>
      </c>
      <c r="AG333" s="2">
        <v>475</v>
      </c>
      <c r="AH333" s="2">
        <v>60</v>
      </c>
      <c r="AI333" s="2">
        <v>60</v>
      </c>
      <c r="AJ333" s="1">
        <v>1059860</v>
      </c>
      <c r="AK333" s="1">
        <v>1.3</v>
      </c>
      <c r="AL333" s="1">
        <v>70</v>
      </c>
      <c r="AM333" s="2">
        <v>50</v>
      </c>
      <c r="AN333" s="2">
        <f t="shared" si="5"/>
        <v>50</v>
      </c>
      <c r="AO333" s="3">
        <v>332</v>
      </c>
      <c r="AP333" s="3">
        <v>115</v>
      </c>
      <c r="AQ333" s="3">
        <v>60</v>
      </c>
      <c r="AR333" s="3">
        <v>55</v>
      </c>
      <c r="AS333" s="1">
        <v>77.400000000000006</v>
      </c>
      <c r="AT333" s="3">
        <v>3</v>
      </c>
      <c r="AU333" s="3" t="s">
        <v>3051</v>
      </c>
    </row>
    <row r="334" spans="1:47" x14ac:dyDescent="0.3">
      <c r="A334" s="1" t="s">
        <v>950</v>
      </c>
      <c r="B334" s="1" t="s">
        <v>949</v>
      </c>
      <c r="C334" s="1" t="s">
        <v>90</v>
      </c>
      <c r="D334" s="1" t="s">
        <v>58</v>
      </c>
      <c r="E334" s="1" t="s">
        <v>948</v>
      </c>
      <c r="F334" t="s">
        <v>3058</v>
      </c>
      <c r="G334" t="s">
        <v>3239</v>
      </c>
      <c r="H334" t="s">
        <v>52</v>
      </c>
      <c r="I334" t="s">
        <v>52</v>
      </c>
      <c r="J334" t="s">
        <v>52</v>
      </c>
      <c r="K334" t="s">
        <v>52</v>
      </c>
      <c r="L334" s="2">
        <v>0.5</v>
      </c>
      <c r="M334" s="2">
        <v>1</v>
      </c>
      <c r="N334" s="2">
        <v>1</v>
      </c>
      <c r="O334" s="2">
        <v>2</v>
      </c>
      <c r="P334" s="2">
        <v>1</v>
      </c>
      <c r="Q334" s="2">
        <v>1</v>
      </c>
      <c r="R334" s="2">
        <v>1</v>
      </c>
      <c r="S334" s="2">
        <v>1</v>
      </c>
      <c r="T334" s="2">
        <v>0</v>
      </c>
      <c r="U334" s="2">
        <v>0.5</v>
      </c>
      <c r="V334" s="2">
        <v>0</v>
      </c>
      <c r="W334" s="2">
        <v>2</v>
      </c>
      <c r="X334" s="2">
        <v>1</v>
      </c>
      <c r="Y334" s="2">
        <v>1</v>
      </c>
      <c r="Z334" s="2">
        <v>1</v>
      </c>
      <c r="AA334" s="2">
        <v>2</v>
      </c>
      <c r="AB334" s="2">
        <v>1</v>
      </c>
      <c r="AC334" s="2">
        <v>1</v>
      </c>
      <c r="AD334" s="2">
        <v>40</v>
      </c>
      <c r="AE334" s="2">
        <v>5120</v>
      </c>
      <c r="AF334" s="2">
        <v>70</v>
      </c>
      <c r="AG334" s="2">
        <v>310</v>
      </c>
      <c r="AH334" s="2">
        <v>255</v>
      </c>
      <c r="AI334" s="2">
        <v>60</v>
      </c>
      <c r="AJ334" s="1">
        <v>600000</v>
      </c>
      <c r="AK334" s="1">
        <v>0.4</v>
      </c>
      <c r="AL334" s="1">
        <v>45</v>
      </c>
      <c r="AM334" s="2">
        <v>50</v>
      </c>
      <c r="AN334" s="2">
        <f t="shared" si="5"/>
        <v>50</v>
      </c>
      <c r="AO334" s="3">
        <v>333</v>
      </c>
      <c r="AP334" s="3">
        <v>40</v>
      </c>
      <c r="AQ334" s="3">
        <v>75</v>
      </c>
      <c r="AR334" s="3">
        <v>50</v>
      </c>
      <c r="AS334" s="1">
        <v>1.2</v>
      </c>
      <c r="AT334" s="3">
        <v>3</v>
      </c>
      <c r="AU334" s="3" t="s">
        <v>3051</v>
      </c>
    </row>
    <row r="335" spans="1:47" x14ac:dyDescent="0.3">
      <c r="A335" s="1" t="s">
        <v>953</v>
      </c>
      <c r="B335" s="1" t="s">
        <v>952</v>
      </c>
      <c r="C335" s="1" t="s">
        <v>443</v>
      </c>
      <c r="D335" s="1" t="s">
        <v>58</v>
      </c>
      <c r="E335" s="1" t="s">
        <v>951</v>
      </c>
      <c r="F335" t="s">
        <v>3058</v>
      </c>
      <c r="G335" t="s">
        <v>3239</v>
      </c>
      <c r="H335" t="s">
        <v>52</v>
      </c>
      <c r="I335" t="s">
        <v>52</v>
      </c>
      <c r="J335" t="s">
        <v>52</v>
      </c>
      <c r="K335" t="s">
        <v>52</v>
      </c>
      <c r="L335" s="2">
        <v>0.5</v>
      </c>
      <c r="M335" s="2">
        <v>1</v>
      </c>
      <c r="N335" s="2">
        <v>2</v>
      </c>
      <c r="O335" s="2">
        <v>1</v>
      </c>
      <c r="P335" s="2">
        <v>2</v>
      </c>
      <c r="Q335" s="2">
        <v>0.5</v>
      </c>
      <c r="R335" s="2">
        <v>0.5</v>
      </c>
      <c r="S335" s="2">
        <v>1</v>
      </c>
      <c r="T335" s="2">
        <v>1</v>
      </c>
      <c r="U335" s="2">
        <v>0.25</v>
      </c>
      <c r="V335" s="2">
        <v>0</v>
      </c>
      <c r="W335" s="2">
        <v>4</v>
      </c>
      <c r="X335" s="2">
        <v>1</v>
      </c>
      <c r="Y335" s="2">
        <v>1</v>
      </c>
      <c r="Z335" s="2">
        <v>1</v>
      </c>
      <c r="AA335" s="2">
        <v>2</v>
      </c>
      <c r="AB335" s="2">
        <v>1</v>
      </c>
      <c r="AC335" s="2">
        <v>0.5</v>
      </c>
      <c r="AD335" s="2">
        <v>110</v>
      </c>
      <c r="AE335" s="2">
        <v>5120</v>
      </c>
      <c r="AF335" s="2">
        <v>70</v>
      </c>
      <c r="AG335" s="2">
        <v>590</v>
      </c>
      <c r="AH335" s="2">
        <v>45</v>
      </c>
      <c r="AI335" s="2">
        <v>110</v>
      </c>
      <c r="AJ335" s="1">
        <v>600000</v>
      </c>
      <c r="AK335" s="1">
        <v>1.1000000000000001</v>
      </c>
      <c r="AL335" s="1">
        <v>75</v>
      </c>
      <c r="AM335" s="2">
        <v>50</v>
      </c>
      <c r="AN335" s="2">
        <f t="shared" si="5"/>
        <v>50</v>
      </c>
      <c r="AO335" s="3">
        <v>334</v>
      </c>
      <c r="AP335" s="3">
        <v>110</v>
      </c>
      <c r="AQ335" s="3">
        <v>105</v>
      </c>
      <c r="AR335" s="3">
        <v>80</v>
      </c>
      <c r="AS335" s="1">
        <v>20.6</v>
      </c>
      <c r="AT335" s="3">
        <v>3</v>
      </c>
      <c r="AU335" s="3" t="s">
        <v>3051</v>
      </c>
    </row>
    <row r="336" spans="1:47" x14ac:dyDescent="0.3">
      <c r="A336" s="1" t="s">
        <v>956</v>
      </c>
      <c r="B336" s="1" t="s">
        <v>955</v>
      </c>
      <c r="C336" s="1" t="s">
        <v>90</v>
      </c>
      <c r="D336" s="1" t="s">
        <v>52</v>
      </c>
      <c r="E336" s="1" t="s">
        <v>954</v>
      </c>
      <c r="F336" t="s">
        <v>3148</v>
      </c>
      <c r="G336" t="s">
        <v>3266</v>
      </c>
      <c r="H336" t="s">
        <v>52</v>
      </c>
      <c r="I336" t="s">
        <v>52</v>
      </c>
      <c r="J336" t="s">
        <v>52</v>
      </c>
      <c r="K336" t="s">
        <v>52</v>
      </c>
      <c r="L336" s="2">
        <v>1</v>
      </c>
      <c r="M336" s="2">
        <v>1</v>
      </c>
      <c r="N336" s="2">
        <v>1</v>
      </c>
      <c r="O336" s="2">
        <v>1</v>
      </c>
      <c r="P336" s="2">
        <v>1</v>
      </c>
      <c r="Q336" s="2">
        <v>2</v>
      </c>
      <c r="R336" s="2">
        <v>1</v>
      </c>
      <c r="S336" s="2">
        <v>1</v>
      </c>
      <c r="T336" s="2">
        <v>0</v>
      </c>
      <c r="U336" s="2">
        <v>1</v>
      </c>
      <c r="V336" s="2">
        <v>1</v>
      </c>
      <c r="W336" s="2">
        <v>1</v>
      </c>
      <c r="X336" s="2">
        <v>1</v>
      </c>
      <c r="Y336" s="2">
        <v>1</v>
      </c>
      <c r="Z336" s="2">
        <v>1</v>
      </c>
      <c r="AA336" s="2">
        <v>1</v>
      </c>
      <c r="AB336" s="2">
        <v>1</v>
      </c>
      <c r="AC336" s="2">
        <v>1</v>
      </c>
      <c r="AD336" s="2">
        <v>115</v>
      </c>
      <c r="AE336" s="2">
        <v>5120</v>
      </c>
      <c r="AF336" s="2">
        <v>70</v>
      </c>
      <c r="AG336" s="2">
        <v>458</v>
      </c>
      <c r="AH336" s="2">
        <v>90</v>
      </c>
      <c r="AI336" s="2">
        <v>60</v>
      </c>
      <c r="AJ336" s="1">
        <v>600000</v>
      </c>
      <c r="AK336" s="1">
        <v>1.3</v>
      </c>
      <c r="AL336" s="1">
        <v>73</v>
      </c>
      <c r="AM336" s="2">
        <v>50</v>
      </c>
      <c r="AN336" s="2">
        <f t="shared" si="5"/>
        <v>50</v>
      </c>
      <c r="AO336" s="3">
        <v>335</v>
      </c>
      <c r="AP336" s="3">
        <v>60</v>
      </c>
      <c r="AQ336" s="3">
        <v>60</v>
      </c>
      <c r="AR336" s="3">
        <v>90</v>
      </c>
      <c r="AS336" s="1">
        <v>40.299999999999997</v>
      </c>
      <c r="AT336" s="3">
        <v>3</v>
      </c>
      <c r="AU336" s="3" t="s">
        <v>3051</v>
      </c>
    </row>
    <row r="337" spans="1:47" x14ac:dyDescent="0.3">
      <c r="A337" s="1" t="s">
        <v>959</v>
      </c>
      <c r="B337" s="1" t="s">
        <v>958</v>
      </c>
      <c r="C337" s="1" t="s">
        <v>43</v>
      </c>
      <c r="D337" s="1" t="s">
        <v>52</v>
      </c>
      <c r="E337" s="1" t="s">
        <v>957</v>
      </c>
      <c r="F337" t="s">
        <v>3054</v>
      </c>
      <c r="G337" t="s">
        <v>3234</v>
      </c>
      <c r="H337" t="s">
        <v>52</v>
      </c>
      <c r="I337" t="s">
        <v>52</v>
      </c>
      <c r="J337" t="s">
        <v>52</v>
      </c>
      <c r="K337" t="s">
        <v>52</v>
      </c>
      <c r="L337" s="2">
        <v>0.5</v>
      </c>
      <c r="M337" s="2">
        <v>1</v>
      </c>
      <c r="N337" s="2">
        <v>1</v>
      </c>
      <c r="O337" s="2">
        <v>1</v>
      </c>
      <c r="P337" s="2">
        <v>0.5</v>
      </c>
      <c r="Q337" s="2">
        <v>0.5</v>
      </c>
      <c r="R337" s="2">
        <v>1</v>
      </c>
      <c r="S337" s="2">
        <v>1</v>
      </c>
      <c r="T337" s="2">
        <v>1</v>
      </c>
      <c r="U337" s="2">
        <v>0.5</v>
      </c>
      <c r="V337" s="2">
        <v>2</v>
      </c>
      <c r="W337" s="2">
        <v>1</v>
      </c>
      <c r="X337" s="2">
        <v>1</v>
      </c>
      <c r="Y337" s="2">
        <v>0.5</v>
      </c>
      <c r="Z337" s="2">
        <v>2</v>
      </c>
      <c r="AA337" s="2">
        <v>1</v>
      </c>
      <c r="AB337" s="2">
        <v>1</v>
      </c>
      <c r="AC337" s="2">
        <v>1</v>
      </c>
      <c r="AD337" s="2">
        <v>100</v>
      </c>
      <c r="AE337" s="2">
        <v>5120</v>
      </c>
      <c r="AF337" s="2">
        <v>70</v>
      </c>
      <c r="AG337" s="2">
        <v>458</v>
      </c>
      <c r="AH337" s="2">
        <v>90</v>
      </c>
      <c r="AI337" s="2">
        <v>60</v>
      </c>
      <c r="AJ337" s="1">
        <v>1640000</v>
      </c>
      <c r="AK337" s="1">
        <v>2.7</v>
      </c>
      <c r="AL337" s="1">
        <v>73</v>
      </c>
      <c r="AM337" s="2">
        <v>50</v>
      </c>
      <c r="AN337" s="2">
        <f t="shared" si="5"/>
        <v>50</v>
      </c>
      <c r="AO337" s="3">
        <v>336</v>
      </c>
      <c r="AP337" s="3">
        <v>100</v>
      </c>
      <c r="AQ337" s="3">
        <v>60</v>
      </c>
      <c r="AR337" s="3">
        <v>65</v>
      </c>
      <c r="AS337" s="1">
        <v>52.5</v>
      </c>
      <c r="AT337" s="3">
        <v>3</v>
      </c>
      <c r="AU337" s="3" t="s">
        <v>3051</v>
      </c>
    </row>
    <row r="338" spans="1:47" x14ac:dyDescent="0.3">
      <c r="A338" s="1" t="s">
        <v>962</v>
      </c>
      <c r="B338" s="1" t="s">
        <v>961</v>
      </c>
      <c r="C338" s="1" t="s">
        <v>243</v>
      </c>
      <c r="D338" s="1" t="s">
        <v>216</v>
      </c>
      <c r="E338" s="1" t="s">
        <v>960</v>
      </c>
      <c r="F338" t="s">
        <v>3055</v>
      </c>
      <c r="G338" t="s">
        <v>52</v>
      </c>
      <c r="H338" t="s">
        <v>52</v>
      </c>
      <c r="I338" t="s">
        <v>52</v>
      </c>
      <c r="J338" t="s">
        <v>52</v>
      </c>
      <c r="K338" t="s">
        <v>52</v>
      </c>
      <c r="L338" s="2">
        <v>2</v>
      </c>
      <c r="M338" s="2">
        <v>2</v>
      </c>
      <c r="N338" s="2">
        <v>1</v>
      </c>
      <c r="O338" s="2">
        <v>1</v>
      </c>
      <c r="P338" s="2">
        <v>1</v>
      </c>
      <c r="Q338" s="2">
        <v>1</v>
      </c>
      <c r="R338" s="2">
        <v>0.5</v>
      </c>
      <c r="S338" s="2">
        <v>0.5</v>
      </c>
      <c r="T338" s="2">
        <v>2</v>
      </c>
      <c r="U338" s="2">
        <v>2</v>
      </c>
      <c r="V338" s="2">
        <v>2</v>
      </c>
      <c r="W338" s="2">
        <v>1</v>
      </c>
      <c r="X338" s="2">
        <v>0.5</v>
      </c>
      <c r="Y338" s="2">
        <v>0.5</v>
      </c>
      <c r="Z338" s="2">
        <v>0.5</v>
      </c>
      <c r="AA338" s="2">
        <v>1</v>
      </c>
      <c r="AB338" s="2">
        <v>2</v>
      </c>
      <c r="AC338" s="2">
        <v>2</v>
      </c>
      <c r="AD338" s="2">
        <v>55</v>
      </c>
      <c r="AE338" s="2">
        <v>6400</v>
      </c>
      <c r="AF338" s="2">
        <v>70</v>
      </c>
      <c r="AG338" s="2">
        <v>460</v>
      </c>
      <c r="AH338" s="2">
        <v>45</v>
      </c>
      <c r="AI338" s="2">
        <v>65</v>
      </c>
      <c r="AJ338" s="1">
        <v>800000</v>
      </c>
      <c r="AK338" s="1">
        <v>1</v>
      </c>
      <c r="AL338" s="1">
        <v>90</v>
      </c>
      <c r="AM338" s="2" t="s">
        <v>52</v>
      </c>
      <c r="AN338" s="2" t="str">
        <f t="shared" si="5"/>
        <v/>
      </c>
      <c r="AO338" s="3">
        <v>337</v>
      </c>
      <c r="AP338" s="3">
        <v>95</v>
      </c>
      <c r="AQ338" s="3">
        <v>85</v>
      </c>
      <c r="AR338" s="3">
        <v>70</v>
      </c>
      <c r="AS338" s="1">
        <v>168</v>
      </c>
      <c r="AT338" s="3">
        <v>3</v>
      </c>
      <c r="AU338" s="3" t="s">
        <v>3051</v>
      </c>
    </row>
    <row r="339" spans="1:47" x14ac:dyDescent="0.3">
      <c r="A339" s="1" t="s">
        <v>964</v>
      </c>
      <c r="B339" s="1" t="s">
        <v>963</v>
      </c>
      <c r="C339" s="1" t="s">
        <v>243</v>
      </c>
      <c r="D339" s="1" t="s">
        <v>216</v>
      </c>
      <c r="E339" s="1" t="s">
        <v>960</v>
      </c>
      <c r="F339" t="s">
        <v>3055</v>
      </c>
      <c r="G339" t="s">
        <v>52</v>
      </c>
      <c r="H339" t="s">
        <v>52</v>
      </c>
      <c r="I339" t="s">
        <v>52</v>
      </c>
      <c r="J339" t="s">
        <v>52</v>
      </c>
      <c r="K339" t="s">
        <v>52</v>
      </c>
      <c r="L339" s="2">
        <v>2</v>
      </c>
      <c r="M339" s="2">
        <v>2</v>
      </c>
      <c r="N339" s="2">
        <v>1</v>
      </c>
      <c r="O339" s="2">
        <v>1</v>
      </c>
      <c r="P339" s="2">
        <v>1</v>
      </c>
      <c r="Q339" s="2">
        <v>1</v>
      </c>
      <c r="R339" s="2">
        <v>0.5</v>
      </c>
      <c r="S339" s="2">
        <v>0.5</v>
      </c>
      <c r="T339" s="2">
        <v>2</v>
      </c>
      <c r="U339" s="2">
        <v>2</v>
      </c>
      <c r="V339" s="2">
        <v>2</v>
      </c>
      <c r="W339" s="2">
        <v>1</v>
      </c>
      <c r="X339" s="2">
        <v>0.5</v>
      </c>
      <c r="Y339" s="2">
        <v>0.5</v>
      </c>
      <c r="Z339" s="2">
        <v>0.5</v>
      </c>
      <c r="AA339" s="2">
        <v>1</v>
      </c>
      <c r="AB339" s="2">
        <v>2</v>
      </c>
      <c r="AC339" s="2">
        <v>2</v>
      </c>
      <c r="AD339" s="2">
        <v>95</v>
      </c>
      <c r="AE339" s="2">
        <v>6400</v>
      </c>
      <c r="AF339" s="2">
        <v>70</v>
      </c>
      <c r="AG339" s="2">
        <v>460</v>
      </c>
      <c r="AH339" s="2">
        <v>45</v>
      </c>
      <c r="AI339" s="2">
        <v>85</v>
      </c>
      <c r="AJ339" s="1">
        <v>800000</v>
      </c>
      <c r="AK339" s="1">
        <v>1.2</v>
      </c>
      <c r="AL339" s="1">
        <v>90</v>
      </c>
      <c r="AM339" s="2" t="s">
        <v>52</v>
      </c>
      <c r="AN339" s="2" t="str">
        <f t="shared" si="5"/>
        <v/>
      </c>
      <c r="AO339" s="3">
        <v>338</v>
      </c>
      <c r="AP339" s="3">
        <v>55</v>
      </c>
      <c r="AQ339" s="3">
        <v>65</v>
      </c>
      <c r="AR339" s="3">
        <v>70</v>
      </c>
      <c r="AS339" s="1">
        <v>154</v>
      </c>
      <c r="AT339" s="3">
        <v>3</v>
      </c>
      <c r="AU339" s="3" t="s">
        <v>3051</v>
      </c>
    </row>
    <row r="340" spans="1:47" x14ac:dyDescent="0.3">
      <c r="A340" s="1" t="s">
        <v>967</v>
      </c>
      <c r="B340" s="1" t="s">
        <v>966</v>
      </c>
      <c r="C340" s="1" t="s">
        <v>62</v>
      </c>
      <c r="D340" s="1" t="s">
        <v>120</v>
      </c>
      <c r="E340" s="1" t="s">
        <v>965</v>
      </c>
      <c r="F340" t="s">
        <v>3133</v>
      </c>
      <c r="G340" t="s">
        <v>3166</v>
      </c>
      <c r="H340" t="s">
        <v>3071</v>
      </c>
      <c r="I340" t="s">
        <v>52</v>
      </c>
      <c r="J340" t="s">
        <v>52</v>
      </c>
      <c r="K340" t="s">
        <v>52</v>
      </c>
      <c r="L340" s="2">
        <v>1</v>
      </c>
      <c r="M340" s="2">
        <v>1</v>
      </c>
      <c r="N340" s="2">
        <v>1</v>
      </c>
      <c r="O340" s="2">
        <v>0</v>
      </c>
      <c r="P340" s="2">
        <v>1</v>
      </c>
      <c r="Q340" s="2">
        <v>1</v>
      </c>
      <c r="R340" s="2">
        <v>0.5</v>
      </c>
      <c r="S340" s="2">
        <v>1</v>
      </c>
      <c r="T340" s="2">
        <v>1</v>
      </c>
      <c r="U340" s="2">
        <v>4</v>
      </c>
      <c r="V340" s="2">
        <v>1</v>
      </c>
      <c r="W340" s="2">
        <v>1</v>
      </c>
      <c r="X340" s="2">
        <v>1</v>
      </c>
      <c r="Y340" s="2">
        <v>0.5</v>
      </c>
      <c r="Z340" s="2">
        <v>1</v>
      </c>
      <c r="AA340" s="2">
        <v>0.5</v>
      </c>
      <c r="AB340" s="2">
        <v>0.5</v>
      </c>
      <c r="AC340" s="2">
        <v>1</v>
      </c>
      <c r="AD340" s="2">
        <v>48</v>
      </c>
      <c r="AE340" s="2">
        <v>5120</v>
      </c>
      <c r="AF340" s="2">
        <v>70</v>
      </c>
      <c r="AG340" s="2">
        <v>288</v>
      </c>
      <c r="AH340" s="2">
        <v>190</v>
      </c>
      <c r="AI340" s="2">
        <v>43</v>
      </c>
      <c r="AJ340" s="1">
        <v>1000000</v>
      </c>
      <c r="AK340" s="1">
        <v>0.4</v>
      </c>
      <c r="AL340" s="1">
        <v>50</v>
      </c>
      <c r="AM340" s="2">
        <v>50</v>
      </c>
      <c r="AN340" s="2">
        <f t="shared" si="5"/>
        <v>50</v>
      </c>
      <c r="AO340" s="3">
        <v>339</v>
      </c>
      <c r="AP340" s="3">
        <v>46</v>
      </c>
      <c r="AQ340" s="3">
        <v>41</v>
      </c>
      <c r="AR340" s="3">
        <v>60</v>
      </c>
      <c r="AS340" s="1">
        <v>1.9</v>
      </c>
      <c r="AT340" s="3">
        <v>3</v>
      </c>
      <c r="AU340" s="3" t="s">
        <v>3051</v>
      </c>
    </row>
    <row r="341" spans="1:47" x14ac:dyDescent="0.3">
      <c r="A341" s="1" t="s">
        <v>969</v>
      </c>
      <c r="B341" s="1" t="s">
        <v>968</v>
      </c>
      <c r="C341" s="1" t="s">
        <v>62</v>
      </c>
      <c r="D341" s="1" t="s">
        <v>120</v>
      </c>
      <c r="E341" s="1" t="s">
        <v>965</v>
      </c>
      <c r="F341" t="s">
        <v>3133</v>
      </c>
      <c r="G341" t="s">
        <v>3166</v>
      </c>
      <c r="H341" t="s">
        <v>3071</v>
      </c>
      <c r="I341" t="s">
        <v>52</v>
      </c>
      <c r="J341" t="s">
        <v>52</v>
      </c>
      <c r="K341" t="s">
        <v>52</v>
      </c>
      <c r="L341" s="2">
        <v>1</v>
      </c>
      <c r="M341" s="2">
        <v>1</v>
      </c>
      <c r="N341" s="2">
        <v>1</v>
      </c>
      <c r="O341" s="2">
        <v>0</v>
      </c>
      <c r="P341" s="2">
        <v>1</v>
      </c>
      <c r="Q341" s="2">
        <v>1</v>
      </c>
      <c r="R341" s="2">
        <v>0.5</v>
      </c>
      <c r="S341" s="2">
        <v>1</v>
      </c>
      <c r="T341" s="2">
        <v>1</v>
      </c>
      <c r="U341" s="2">
        <v>4</v>
      </c>
      <c r="V341" s="2">
        <v>1</v>
      </c>
      <c r="W341" s="2">
        <v>1</v>
      </c>
      <c r="X341" s="2">
        <v>1</v>
      </c>
      <c r="Y341" s="2">
        <v>0.5</v>
      </c>
      <c r="Z341" s="2">
        <v>1</v>
      </c>
      <c r="AA341" s="2">
        <v>0.5</v>
      </c>
      <c r="AB341" s="2">
        <v>0.5</v>
      </c>
      <c r="AC341" s="2">
        <v>1</v>
      </c>
      <c r="AD341" s="2">
        <v>78</v>
      </c>
      <c r="AE341" s="2">
        <v>5120</v>
      </c>
      <c r="AF341" s="2">
        <v>70</v>
      </c>
      <c r="AG341" s="2">
        <v>468</v>
      </c>
      <c r="AH341" s="2">
        <v>75</v>
      </c>
      <c r="AI341" s="2">
        <v>73</v>
      </c>
      <c r="AJ341" s="1">
        <v>1000000</v>
      </c>
      <c r="AK341" s="1">
        <v>0.9</v>
      </c>
      <c r="AL341" s="1">
        <v>110</v>
      </c>
      <c r="AM341" s="2">
        <v>50</v>
      </c>
      <c r="AN341" s="2">
        <f t="shared" si="5"/>
        <v>50</v>
      </c>
      <c r="AO341" s="3">
        <v>340</v>
      </c>
      <c r="AP341" s="3">
        <v>76</v>
      </c>
      <c r="AQ341" s="3">
        <v>71</v>
      </c>
      <c r="AR341" s="3">
        <v>60</v>
      </c>
      <c r="AS341" s="1">
        <v>23.6</v>
      </c>
      <c r="AT341" s="3">
        <v>3</v>
      </c>
      <c r="AU341" s="3" t="s">
        <v>3051</v>
      </c>
    </row>
    <row r="342" spans="1:47" x14ac:dyDescent="0.3">
      <c r="A342" s="1" t="s">
        <v>972</v>
      </c>
      <c r="B342" s="1" t="s">
        <v>971</v>
      </c>
      <c r="C342" s="1" t="s">
        <v>62</v>
      </c>
      <c r="D342" s="1" t="s">
        <v>52</v>
      </c>
      <c r="E342" s="1" t="s">
        <v>970</v>
      </c>
      <c r="F342" t="s">
        <v>3138</v>
      </c>
      <c r="G342" t="s">
        <v>3103</v>
      </c>
      <c r="H342" t="s">
        <v>3176</v>
      </c>
      <c r="I342" t="s">
        <v>52</v>
      </c>
      <c r="J342" t="s">
        <v>52</v>
      </c>
      <c r="K342" t="s">
        <v>52</v>
      </c>
      <c r="L342" s="2">
        <v>1</v>
      </c>
      <c r="M342" s="2">
        <v>1</v>
      </c>
      <c r="N342" s="2">
        <v>1</v>
      </c>
      <c r="O342" s="2">
        <v>2</v>
      </c>
      <c r="P342" s="2">
        <v>1</v>
      </c>
      <c r="Q342" s="2">
        <v>1</v>
      </c>
      <c r="R342" s="2">
        <v>0.5</v>
      </c>
      <c r="S342" s="2">
        <v>1</v>
      </c>
      <c r="T342" s="2">
        <v>1</v>
      </c>
      <c r="U342" s="2">
        <v>2</v>
      </c>
      <c r="V342" s="2">
        <v>1</v>
      </c>
      <c r="W342" s="2">
        <v>0.5</v>
      </c>
      <c r="X342" s="2">
        <v>1</v>
      </c>
      <c r="Y342" s="2">
        <v>1</v>
      </c>
      <c r="Z342" s="2">
        <v>1</v>
      </c>
      <c r="AA342" s="2">
        <v>1</v>
      </c>
      <c r="AB342" s="2">
        <v>0.5</v>
      </c>
      <c r="AC342" s="2">
        <v>0.5</v>
      </c>
      <c r="AD342" s="2">
        <v>80</v>
      </c>
      <c r="AE342" s="2">
        <v>3840</v>
      </c>
      <c r="AF342" s="2">
        <v>70</v>
      </c>
      <c r="AG342" s="2">
        <v>308</v>
      </c>
      <c r="AH342" s="2">
        <v>205</v>
      </c>
      <c r="AI342" s="2">
        <v>65</v>
      </c>
      <c r="AJ342" s="1">
        <v>1640000</v>
      </c>
      <c r="AK342" s="1">
        <v>0.6</v>
      </c>
      <c r="AL342" s="1">
        <v>43</v>
      </c>
      <c r="AM342" s="2">
        <v>50</v>
      </c>
      <c r="AN342" s="2">
        <f t="shared" si="5"/>
        <v>50</v>
      </c>
      <c r="AO342" s="3">
        <v>341</v>
      </c>
      <c r="AP342" s="3">
        <v>50</v>
      </c>
      <c r="AQ342" s="3">
        <v>35</v>
      </c>
      <c r="AR342" s="3">
        <v>35</v>
      </c>
      <c r="AS342" s="1">
        <v>11.5</v>
      </c>
      <c r="AT342" s="3">
        <v>3</v>
      </c>
      <c r="AU342" s="3" t="s">
        <v>3051</v>
      </c>
    </row>
    <row r="343" spans="1:47" x14ac:dyDescent="0.3">
      <c r="A343" s="1" t="s">
        <v>975</v>
      </c>
      <c r="B343" s="1" t="s">
        <v>974</v>
      </c>
      <c r="C343" s="1" t="s">
        <v>62</v>
      </c>
      <c r="D343" s="1" t="s">
        <v>99</v>
      </c>
      <c r="E343" s="1" t="s">
        <v>973</v>
      </c>
      <c r="F343" t="s">
        <v>3138</v>
      </c>
      <c r="G343" t="s">
        <v>3103</v>
      </c>
      <c r="H343" t="s">
        <v>3176</v>
      </c>
      <c r="I343" t="s">
        <v>52</v>
      </c>
      <c r="J343" t="s">
        <v>52</v>
      </c>
      <c r="K343" t="s">
        <v>52</v>
      </c>
      <c r="L343" s="2">
        <v>2</v>
      </c>
      <c r="M343" s="2">
        <v>0.5</v>
      </c>
      <c r="N343" s="2">
        <v>1</v>
      </c>
      <c r="O343" s="2">
        <v>2</v>
      </c>
      <c r="P343" s="2">
        <v>2</v>
      </c>
      <c r="Q343" s="2">
        <v>2</v>
      </c>
      <c r="R343" s="2">
        <v>0.5</v>
      </c>
      <c r="S343" s="2">
        <v>1</v>
      </c>
      <c r="T343" s="2">
        <v>0.5</v>
      </c>
      <c r="U343" s="2">
        <v>2</v>
      </c>
      <c r="V343" s="2">
        <v>1</v>
      </c>
      <c r="W343" s="2">
        <v>0.5</v>
      </c>
      <c r="X343" s="2">
        <v>1</v>
      </c>
      <c r="Y343" s="2">
        <v>1</v>
      </c>
      <c r="Z343" s="2">
        <v>0</v>
      </c>
      <c r="AA343" s="2">
        <v>1</v>
      </c>
      <c r="AB343" s="2">
        <v>0.5</v>
      </c>
      <c r="AC343" s="2">
        <v>0.5</v>
      </c>
      <c r="AD343" s="2">
        <v>120</v>
      </c>
      <c r="AE343" s="2">
        <v>3840</v>
      </c>
      <c r="AF343" s="2">
        <v>70</v>
      </c>
      <c r="AG343" s="2">
        <v>468</v>
      </c>
      <c r="AH343" s="2">
        <v>155</v>
      </c>
      <c r="AI343" s="2">
        <v>85</v>
      </c>
      <c r="AJ343" s="1">
        <v>1640000</v>
      </c>
      <c r="AK343" s="1">
        <v>1.1000000000000001</v>
      </c>
      <c r="AL343" s="1">
        <v>63</v>
      </c>
      <c r="AM343" s="2">
        <v>50</v>
      </c>
      <c r="AN343" s="2">
        <f t="shared" si="5"/>
        <v>50</v>
      </c>
      <c r="AO343" s="3">
        <v>342</v>
      </c>
      <c r="AP343" s="3">
        <v>90</v>
      </c>
      <c r="AQ343" s="3">
        <v>55</v>
      </c>
      <c r="AR343" s="3">
        <v>55</v>
      </c>
      <c r="AS343" s="1">
        <v>32.799999999999997</v>
      </c>
      <c r="AT343" s="3">
        <v>3</v>
      </c>
      <c r="AU343" s="3" t="s">
        <v>3051</v>
      </c>
    </row>
    <row r="344" spans="1:47" x14ac:dyDescent="0.3">
      <c r="A344" s="1" t="s">
        <v>978</v>
      </c>
      <c r="B344" s="1" t="s">
        <v>977</v>
      </c>
      <c r="C344" s="1" t="s">
        <v>120</v>
      </c>
      <c r="D344" s="1" t="s">
        <v>216</v>
      </c>
      <c r="E344" s="1" t="s">
        <v>976</v>
      </c>
      <c r="F344" t="s">
        <v>3055</v>
      </c>
      <c r="G344" t="s">
        <v>52</v>
      </c>
      <c r="H344" t="s">
        <v>52</v>
      </c>
      <c r="I344" t="s">
        <v>52</v>
      </c>
      <c r="J344" t="s">
        <v>52</v>
      </c>
      <c r="K344" t="s">
        <v>52</v>
      </c>
      <c r="L344" s="2">
        <v>2</v>
      </c>
      <c r="M344" s="2">
        <v>2</v>
      </c>
      <c r="N344" s="2">
        <v>1</v>
      </c>
      <c r="O344" s="2">
        <v>0</v>
      </c>
      <c r="P344" s="2">
        <v>1</v>
      </c>
      <c r="Q344" s="2">
        <v>0.5</v>
      </c>
      <c r="R344" s="2">
        <v>1</v>
      </c>
      <c r="S344" s="2">
        <v>1</v>
      </c>
      <c r="T344" s="2">
        <v>2</v>
      </c>
      <c r="U344" s="2">
        <v>2</v>
      </c>
      <c r="V344" s="2">
        <v>1</v>
      </c>
      <c r="W344" s="2">
        <v>2</v>
      </c>
      <c r="X344" s="2">
        <v>1</v>
      </c>
      <c r="Y344" s="2">
        <v>0.5</v>
      </c>
      <c r="Z344" s="2">
        <v>0.5</v>
      </c>
      <c r="AA344" s="2">
        <v>0.5</v>
      </c>
      <c r="AB344" s="2">
        <v>1</v>
      </c>
      <c r="AC344" s="2">
        <v>2</v>
      </c>
      <c r="AD344" s="2">
        <v>40</v>
      </c>
      <c r="AE344" s="2">
        <v>5120</v>
      </c>
      <c r="AF344" s="2">
        <v>70</v>
      </c>
      <c r="AG344" s="2">
        <v>300</v>
      </c>
      <c r="AH344" s="2">
        <v>255</v>
      </c>
      <c r="AI344" s="2">
        <v>55</v>
      </c>
      <c r="AJ344" s="1">
        <v>1000000</v>
      </c>
      <c r="AK344" s="1">
        <v>0.5</v>
      </c>
      <c r="AL344" s="1">
        <v>40</v>
      </c>
      <c r="AM344" s="2" t="s">
        <v>52</v>
      </c>
      <c r="AN344" s="2" t="str">
        <f t="shared" si="5"/>
        <v/>
      </c>
      <c r="AO344" s="3">
        <v>343</v>
      </c>
      <c r="AP344" s="3">
        <v>40</v>
      </c>
      <c r="AQ344" s="3">
        <v>70</v>
      </c>
      <c r="AR344" s="3">
        <v>55</v>
      </c>
      <c r="AS344" s="1">
        <v>21.5</v>
      </c>
      <c r="AT344" s="3">
        <v>3</v>
      </c>
      <c r="AU344" s="3" t="s">
        <v>3051</v>
      </c>
    </row>
    <row r="345" spans="1:47" x14ac:dyDescent="0.3">
      <c r="A345" s="1" t="s">
        <v>980</v>
      </c>
      <c r="B345" s="1" t="s">
        <v>979</v>
      </c>
      <c r="C345" s="1" t="s">
        <v>120</v>
      </c>
      <c r="D345" s="1" t="s">
        <v>216</v>
      </c>
      <c r="E345" s="1" t="s">
        <v>976</v>
      </c>
      <c r="F345" t="s">
        <v>3055</v>
      </c>
      <c r="G345" t="s">
        <v>52</v>
      </c>
      <c r="H345" t="s">
        <v>52</v>
      </c>
      <c r="I345" t="s">
        <v>52</v>
      </c>
      <c r="J345" t="s">
        <v>52</v>
      </c>
      <c r="K345" t="s">
        <v>52</v>
      </c>
      <c r="L345" s="2">
        <v>2</v>
      </c>
      <c r="M345" s="2">
        <v>2</v>
      </c>
      <c r="N345" s="2">
        <v>1</v>
      </c>
      <c r="O345" s="2">
        <v>0</v>
      </c>
      <c r="P345" s="2">
        <v>1</v>
      </c>
      <c r="Q345" s="2">
        <v>0.5</v>
      </c>
      <c r="R345" s="2">
        <v>1</v>
      </c>
      <c r="S345" s="2">
        <v>1</v>
      </c>
      <c r="T345" s="2">
        <v>2</v>
      </c>
      <c r="U345" s="2">
        <v>2</v>
      </c>
      <c r="V345" s="2">
        <v>1</v>
      </c>
      <c r="W345" s="2">
        <v>2</v>
      </c>
      <c r="X345" s="2">
        <v>1</v>
      </c>
      <c r="Y345" s="2">
        <v>0.5</v>
      </c>
      <c r="Z345" s="2">
        <v>0.5</v>
      </c>
      <c r="AA345" s="2">
        <v>0.5</v>
      </c>
      <c r="AB345" s="2">
        <v>1</v>
      </c>
      <c r="AC345" s="2">
        <v>2</v>
      </c>
      <c r="AD345" s="2">
        <v>70</v>
      </c>
      <c r="AE345" s="2">
        <v>5120</v>
      </c>
      <c r="AF345" s="2">
        <v>70</v>
      </c>
      <c r="AG345" s="2">
        <v>500</v>
      </c>
      <c r="AH345" s="2">
        <v>90</v>
      </c>
      <c r="AI345" s="2">
        <v>105</v>
      </c>
      <c r="AJ345" s="1">
        <v>1000000</v>
      </c>
      <c r="AK345" s="1">
        <v>1.5</v>
      </c>
      <c r="AL345" s="1">
        <v>60</v>
      </c>
      <c r="AM345" s="2" t="s">
        <v>52</v>
      </c>
      <c r="AN345" s="2" t="str">
        <f t="shared" si="5"/>
        <v/>
      </c>
      <c r="AO345" s="3">
        <v>344</v>
      </c>
      <c r="AP345" s="3">
        <v>70</v>
      </c>
      <c r="AQ345" s="3">
        <v>120</v>
      </c>
      <c r="AR345" s="3">
        <v>75</v>
      </c>
      <c r="AS345" s="1">
        <v>108</v>
      </c>
      <c r="AT345" s="3">
        <v>3</v>
      </c>
      <c r="AU345" s="3" t="s">
        <v>3051</v>
      </c>
    </row>
    <row r="346" spans="1:47" x14ac:dyDescent="0.3">
      <c r="A346" s="1" t="s">
        <v>983</v>
      </c>
      <c r="B346" s="1" t="s">
        <v>982</v>
      </c>
      <c r="C346" s="1" t="s">
        <v>243</v>
      </c>
      <c r="D346" s="1" t="s">
        <v>42</v>
      </c>
      <c r="E346" s="1" t="s">
        <v>981</v>
      </c>
      <c r="F346" t="s">
        <v>3152</v>
      </c>
      <c r="G346" t="s">
        <v>3267</v>
      </c>
      <c r="H346" t="s">
        <v>52</v>
      </c>
      <c r="I346" t="s">
        <v>52</v>
      </c>
      <c r="J346" t="s">
        <v>52</v>
      </c>
      <c r="K346" t="s">
        <v>52</v>
      </c>
      <c r="L346" s="2">
        <v>2</v>
      </c>
      <c r="M346" s="2">
        <v>1</v>
      </c>
      <c r="N346" s="2">
        <v>1</v>
      </c>
      <c r="O346" s="2">
        <v>0.5</v>
      </c>
      <c r="P346" s="2">
        <v>1</v>
      </c>
      <c r="Q346" s="2">
        <v>2</v>
      </c>
      <c r="R346" s="2">
        <v>1</v>
      </c>
      <c r="S346" s="2">
        <v>1</v>
      </c>
      <c r="T346" s="2">
        <v>1</v>
      </c>
      <c r="U346" s="2">
        <v>1</v>
      </c>
      <c r="V346" s="2">
        <v>1</v>
      </c>
      <c r="W346" s="2">
        <v>2</v>
      </c>
      <c r="X346" s="2">
        <v>0.5</v>
      </c>
      <c r="Y346" s="2">
        <v>1</v>
      </c>
      <c r="Z346" s="2">
        <v>1</v>
      </c>
      <c r="AA346" s="2">
        <v>1</v>
      </c>
      <c r="AB346" s="2">
        <v>2</v>
      </c>
      <c r="AC346" s="2">
        <v>1</v>
      </c>
      <c r="AD346" s="2">
        <v>41</v>
      </c>
      <c r="AE346" s="2">
        <v>7680</v>
      </c>
      <c r="AF346" s="2">
        <v>70</v>
      </c>
      <c r="AG346" s="2">
        <v>355</v>
      </c>
      <c r="AH346" s="2">
        <v>45</v>
      </c>
      <c r="AI346" s="2">
        <v>77</v>
      </c>
      <c r="AJ346" s="1">
        <v>600000</v>
      </c>
      <c r="AK346" s="1">
        <v>1</v>
      </c>
      <c r="AL346" s="1">
        <v>66</v>
      </c>
      <c r="AM346" s="2">
        <v>88.1</v>
      </c>
      <c r="AN346" s="2">
        <f t="shared" si="5"/>
        <v>11.900000000000006</v>
      </c>
      <c r="AO346" s="3">
        <v>345</v>
      </c>
      <c r="AP346" s="3">
        <v>61</v>
      </c>
      <c r="AQ346" s="3">
        <v>87</v>
      </c>
      <c r="AR346" s="3">
        <v>23</v>
      </c>
      <c r="AS346" s="1">
        <v>23.8</v>
      </c>
      <c r="AT346" s="3">
        <v>3</v>
      </c>
      <c r="AU346" s="3" t="s">
        <v>3051</v>
      </c>
    </row>
    <row r="347" spans="1:47" x14ac:dyDescent="0.3">
      <c r="A347" s="1" t="s">
        <v>986</v>
      </c>
      <c r="B347" s="1" t="s">
        <v>985</v>
      </c>
      <c r="C347" s="1" t="s">
        <v>243</v>
      </c>
      <c r="D347" s="1" t="s">
        <v>42</v>
      </c>
      <c r="E347" s="1" t="s">
        <v>984</v>
      </c>
      <c r="F347" t="s">
        <v>3152</v>
      </c>
      <c r="G347" t="s">
        <v>3267</v>
      </c>
      <c r="H347" t="s">
        <v>52</v>
      </c>
      <c r="I347" t="s">
        <v>52</v>
      </c>
      <c r="J347" t="s">
        <v>52</v>
      </c>
      <c r="K347" t="s">
        <v>52</v>
      </c>
      <c r="L347" s="2">
        <v>2</v>
      </c>
      <c r="M347" s="2">
        <v>1</v>
      </c>
      <c r="N347" s="2">
        <v>1</v>
      </c>
      <c r="O347" s="2">
        <v>0.5</v>
      </c>
      <c r="P347" s="2">
        <v>1</v>
      </c>
      <c r="Q347" s="2">
        <v>2</v>
      </c>
      <c r="R347" s="2">
        <v>1</v>
      </c>
      <c r="S347" s="2">
        <v>1</v>
      </c>
      <c r="T347" s="2">
        <v>1</v>
      </c>
      <c r="U347" s="2">
        <v>1</v>
      </c>
      <c r="V347" s="2">
        <v>1</v>
      </c>
      <c r="W347" s="2">
        <v>2</v>
      </c>
      <c r="X347" s="2">
        <v>0.5</v>
      </c>
      <c r="Y347" s="2">
        <v>1</v>
      </c>
      <c r="Z347" s="2">
        <v>1</v>
      </c>
      <c r="AA347" s="2">
        <v>1</v>
      </c>
      <c r="AB347" s="2">
        <v>2</v>
      </c>
      <c r="AC347" s="2">
        <v>1</v>
      </c>
      <c r="AD347" s="2">
        <v>81</v>
      </c>
      <c r="AE347" s="2">
        <v>7680</v>
      </c>
      <c r="AF347" s="2">
        <v>70</v>
      </c>
      <c r="AG347" s="2">
        <v>495</v>
      </c>
      <c r="AH347" s="2">
        <v>45</v>
      </c>
      <c r="AI347" s="2">
        <v>97</v>
      </c>
      <c r="AJ347" s="1">
        <v>600000</v>
      </c>
      <c r="AK347" s="1">
        <v>1.5</v>
      </c>
      <c r="AL347" s="1">
        <v>86</v>
      </c>
      <c r="AM347" s="2">
        <v>88.1</v>
      </c>
      <c r="AN347" s="2">
        <f t="shared" si="5"/>
        <v>11.900000000000006</v>
      </c>
      <c r="AO347" s="3">
        <v>346</v>
      </c>
      <c r="AP347" s="3">
        <v>81</v>
      </c>
      <c r="AQ347" s="3">
        <v>107</v>
      </c>
      <c r="AR347" s="3">
        <v>43</v>
      </c>
      <c r="AS347" s="1">
        <v>60.4</v>
      </c>
      <c r="AT347" s="3">
        <v>3</v>
      </c>
      <c r="AU347" s="3" t="s">
        <v>3051</v>
      </c>
    </row>
    <row r="348" spans="1:47" x14ac:dyDescent="0.3">
      <c r="A348" s="1" t="s">
        <v>989</v>
      </c>
      <c r="B348" s="1" t="s">
        <v>988</v>
      </c>
      <c r="C348" s="1" t="s">
        <v>243</v>
      </c>
      <c r="D348" s="1" t="s">
        <v>72</v>
      </c>
      <c r="E348" s="1" t="s">
        <v>987</v>
      </c>
      <c r="F348" t="s">
        <v>3099</v>
      </c>
      <c r="G348" t="s">
        <v>3143</v>
      </c>
      <c r="H348" t="s">
        <v>52</v>
      </c>
      <c r="I348" t="s">
        <v>52</v>
      </c>
      <c r="J348" t="s">
        <v>52</v>
      </c>
      <c r="K348" t="s">
        <v>52</v>
      </c>
      <c r="L348" s="2">
        <v>1</v>
      </c>
      <c r="M348" s="2">
        <v>1</v>
      </c>
      <c r="N348" s="2">
        <v>1</v>
      </c>
      <c r="O348" s="2">
        <v>1</v>
      </c>
      <c r="P348" s="2">
        <v>1</v>
      </c>
      <c r="Q348" s="2">
        <v>1</v>
      </c>
      <c r="R348" s="2">
        <v>1</v>
      </c>
      <c r="S348" s="2">
        <v>1</v>
      </c>
      <c r="T348" s="2">
        <v>1</v>
      </c>
      <c r="U348" s="2">
        <v>1</v>
      </c>
      <c r="V348" s="2">
        <v>1</v>
      </c>
      <c r="W348" s="2">
        <v>1</v>
      </c>
      <c r="X348" s="2">
        <v>0.5</v>
      </c>
      <c r="Y348" s="2">
        <v>0.5</v>
      </c>
      <c r="Z348" s="2">
        <v>1</v>
      </c>
      <c r="AA348" s="2">
        <v>2</v>
      </c>
      <c r="AB348" s="2">
        <v>2</v>
      </c>
      <c r="AC348" s="2">
        <v>2</v>
      </c>
      <c r="AD348" s="2">
        <v>95</v>
      </c>
      <c r="AE348" s="2">
        <v>7680</v>
      </c>
      <c r="AF348" s="2">
        <v>70</v>
      </c>
      <c r="AG348" s="2">
        <v>355</v>
      </c>
      <c r="AH348" s="2">
        <v>45</v>
      </c>
      <c r="AI348" s="2">
        <v>50</v>
      </c>
      <c r="AJ348" s="1">
        <v>600000</v>
      </c>
      <c r="AK348" s="1">
        <v>0.7</v>
      </c>
      <c r="AL348" s="1">
        <v>45</v>
      </c>
      <c r="AM348" s="2">
        <v>88.1</v>
      </c>
      <c r="AN348" s="2">
        <f t="shared" si="5"/>
        <v>11.900000000000006</v>
      </c>
      <c r="AO348" s="3">
        <v>347</v>
      </c>
      <c r="AP348" s="3">
        <v>40</v>
      </c>
      <c r="AQ348" s="3">
        <v>50</v>
      </c>
      <c r="AR348" s="3">
        <v>75</v>
      </c>
      <c r="AS348" s="1">
        <v>12.5</v>
      </c>
      <c r="AT348" s="3">
        <v>3</v>
      </c>
      <c r="AU348" s="3" t="s">
        <v>3051</v>
      </c>
    </row>
    <row r="349" spans="1:47" x14ac:dyDescent="0.3">
      <c r="A349" s="1" t="s">
        <v>992</v>
      </c>
      <c r="B349" s="1" t="s">
        <v>991</v>
      </c>
      <c r="C349" s="1" t="s">
        <v>243</v>
      </c>
      <c r="D349" s="1" t="s">
        <v>72</v>
      </c>
      <c r="E349" s="1" t="s">
        <v>990</v>
      </c>
      <c r="F349" t="s">
        <v>3099</v>
      </c>
      <c r="G349" t="s">
        <v>3143</v>
      </c>
      <c r="H349" t="s">
        <v>52</v>
      </c>
      <c r="I349" t="s">
        <v>52</v>
      </c>
      <c r="J349" t="s">
        <v>52</v>
      </c>
      <c r="K349" t="s">
        <v>52</v>
      </c>
      <c r="L349" s="2">
        <v>1</v>
      </c>
      <c r="M349" s="2">
        <v>1</v>
      </c>
      <c r="N349" s="2">
        <v>1</v>
      </c>
      <c r="O349" s="2">
        <v>1</v>
      </c>
      <c r="P349" s="2">
        <v>1</v>
      </c>
      <c r="Q349" s="2">
        <v>1</v>
      </c>
      <c r="R349" s="2">
        <v>1</v>
      </c>
      <c r="S349" s="2">
        <v>1</v>
      </c>
      <c r="T349" s="2">
        <v>1</v>
      </c>
      <c r="U349" s="2">
        <v>1</v>
      </c>
      <c r="V349" s="2">
        <v>1</v>
      </c>
      <c r="W349" s="2">
        <v>1</v>
      </c>
      <c r="X349" s="2">
        <v>0.5</v>
      </c>
      <c r="Y349" s="2">
        <v>0.5</v>
      </c>
      <c r="Z349" s="2">
        <v>1</v>
      </c>
      <c r="AA349" s="2">
        <v>2</v>
      </c>
      <c r="AB349" s="2">
        <v>2</v>
      </c>
      <c r="AC349" s="2">
        <v>2</v>
      </c>
      <c r="AD349" s="2">
        <v>125</v>
      </c>
      <c r="AE349" s="2">
        <v>7680</v>
      </c>
      <c r="AF349" s="2">
        <v>70</v>
      </c>
      <c r="AG349" s="2">
        <v>495</v>
      </c>
      <c r="AH349" s="2">
        <v>45</v>
      </c>
      <c r="AI349" s="2">
        <v>100</v>
      </c>
      <c r="AJ349" s="1">
        <v>600000</v>
      </c>
      <c r="AK349" s="1">
        <v>1.5</v>
      </c>
      <c r="AL349" s="1">
        <v>75</v>
      </c>
      <c r="AM349" s="2">
        <v>88.1</v>
      </c>
      <c r="AN349" s="2">
        <f t="shared" si="5"/>
        <v>11.900000000000006</v>
      </c>
      <c r="AO349" s="3">
        <v>348</v>
      </c>
      <c r="AP349" s="3">
        <v>70</v>
      </c>
      <c r="AQ349" s="3">
        <v>80</v>
      </c>
      <c r="AR349" s="3">
        <v>45</v>
      </c>
      <c r="AS349" s="1">
        <v>68.2</v>
      </c>
      <c r="AT349" s="3">
        <v>3</v>
      </c>
      <c r="AU349" s="3" t="s">
        <v>3051</v>
      </c>
    </row>
    <row r="350" spans="1:47" x14ac:dyDescent="0.3">
      <c r="A350" s="1" t="s">
        <v>994</v>
      </c>
      <c r="B350" s="1" t="s">
        <v>993</v>
      </c>
      <c r="C350" s="1" t="s">
        <v>62</v>
      </c>
      <c r="D350" s="1" t="s">
        <v>52</v>
      </c>
      <c r="E350" s="1" t="s">
        <v>393</v>
      </c>
      <c r="F350" t="s">
        <v>3143</v>
      </c>
      <c r="G350" t="s">
        <v>3133</v>
      </c>
      <c r="H350" t="s">
        <v>3176</v>
      </c>
      <c r="I350" t="s">
        <v>52</v>
      </c>
      <c r="J350" t="s">
        <v>52</v>
      </c>
      <c r="K350" t="s">
        <v>52</v>
      </c>
      <c r="L350" s="2">
        <v>1</v>
      </c>
      <c r="M350" s="2">
        <v>1</v>
      </c>
      <c r="N350" s="2">
        <v>1</v>
      </c>
      <c r="O350" s="2">
        <v>2</v>
      </c>
      <c r="P350" s="2">
        <v>1</v>
      </c>
      <c r="Q350" s="2">
        <v>1</v>
      </c>
      <c r="R350" s="2">
        <v>0.5</v>
      </c>
      <c r="S350" s="2">
        <v>1</v>
      </c>
      <c r="T350" s="2">
        <v>1</v>
      </c>
      <c r="U350" s="2">
        <v>2</v>
      </c>
      <c r="V350" s="2">
        <v>1</v>
      </c>
      <c r="W350" s="2">
        <v>0.5</v>
      </c>
      <c r="X350" s="2">
        <v>1</v>
      </c>
      <c r="Y350" s="2">
        <v>1</v>
      </c>
      <c r="Z350" s="2">
        <v>1</v>
      </c>
      <c r="AA350" s="2">
        <v>1</v>
      </c>
      <c r="AB350" s="2">
        <v>0.5</v>
      </c>
      <c r="AC350" s="2">
        <v>0.5</v>
      </c>
      <c r="AD350" s="2">
        <v>15</v>
      </c>
      <c r="AE350" s="2">
        <v>5120</v>
      </c>
      <c r="AF350" s="2">
        <v>70</v>
      </c>
      <c r="AG350" s="2">
        <v>200</v>
      </c>
      <c r="AH350" s="2">
        <v>255</v>
      </c>
      <c r="AI350" s="2">
        <v>20</v>
      </c>
      <c r="AJ350" s="1">
        <v>600000</v>
      </c>
      <c r="AK350" s="1">
        <v>0.6</v>
      </c>
      <c r="AL350" s="1">
        <v>20</v>
      </c>
      <c r="AM350" s="2">
        <v>50</v>
      </c>
      <c r="AN350" s="2">
        <f t="shared" si="5"/>
        <v>50</v>
      </c>
      <c r="AO350" s="3">
        <v>349</v>
      </c>
      <c r="AP350" s="3">
        <v>10</v>
      </c>
      <c r="AQ350" s="3">
        <v>55</v>
      </c>
      <c r="AR350" s="3">
        <v>80</v>
      </c>
      <c r="AS350" s="1">
        <v>7.4</v>
      </c>
      <c r="AT350" s="3">
        <v>3</v>
      </c>
      <c r="AU350" s="3" t="s">
        <v>3051</v>
      </c>
    </row>
    <row r="351" spans="1:47" x14ac:dyDescent="0.3">
      <c r="A351" s="1" t="s">
        <v>997</v>
      </c>
      <c r="B351" s="1" t="s">
        <v>996</v>
      </c>
      <c r="C351" s="1" t="s">
        <v>62</v>
      </c>
      <c r="D351" s="1" t="s">
        <v>52</v>
      </c>
      <c r="E351" s="1" t="s">
        <v>995</v>
      </c>
      <c r="F351" t="s">
        <v>3161</v>
      </c>
      <c r="G351" t="s">
        <v>3233</v>
      </c>
      <c r="H351" t="s">
        <v>3124</v>
      </c>
      <c r="I351" t="s">
        <v>52</v>
      </c>
      <c r="J351" t="s">
        <v>52</v>
      </c>
      <c r="K351" t="s">
        <v>52</v>
      </c>
      <c r="L351" s="2">
        <v>1</v>
      </c>
      <c r="M351" s="2">
        <v>1</v>
      </c>
      <c r="N351" s="2">
        <v>1</v>
      </c>
      <c r="O351" s="2">
        <v>2</v>
      </c>
      <c r="P351" s="2">
        <v>1</v>
      </c>
      <c r="Q351" s="2">
        <v>1</v>
      </c>
      <c r="R351" s="2">
        <v>0.5</v>
      </c>
      <c r="S351" s="2">
        <v>1</v>
      </c>
      <c r="T351" s="2">
        <v>1</v>
      </c>
      <c r="U351" s="2">
        <v>2</v>
      </c>
      <c r="V351" s="2">
        <v>1</v>
      </c>
      <c r="W351" s="2">
        <v>0.5</v>
      </c>
      <c r="X351" s="2">
        <v>1</v>
      </c>
      <c r="Y351" s="2">
        <v>1</v>
      </c>
      <c r="Z351" s="2">
        <v>1</v>
      </c>
      <c r="AA351" s="2">
        <v>1</v>
      </c>
      <c r="AB351" s="2">
        <v>0.5</v>
      </c>
      <c r="AC351" s="2">
        <v>0.5</v>
      </c>
      <c r="AD351" s="2">
        <v>60</v>
      </c>
      <c r="AE351" s="2">
        <v>5120</v>
      </c>
      <c r="AF351" s="2">
        <v>70</v>
      </c>
      <c r="AG351" s="2">
        <v>540</v>
      </c>
      <c r="AH351" s="2">
        <v>60</v>
      </c>
      <c r="AI351" s="2">
        <v>79</v>
      </c>
      <c r="AJ351" s="1">
        <v>600000</v>
      </c>
      <c r="AK351" s="1">
        <v>6.2</v>
      </c>
      <c r="AL351" s="1">
        <v>95</v>
      </c>
      <c r="AM351" s="2">
        <v>50</v>
      </c>
      <c r="AN351" s="2">
        <f t="shared" si="5"/>
        <v>50</v>
      </c>
      <c r="AO351" s="3">
        <v>350</v>
      </c>
      <c r="AP351" s="3">
        <v>100</v>
      </c>
      <c r="AQ351" s="3">
        <v>125</v>
      </c>
      <c r="AR351" s="3">
        <v>81</v>
      </c>
      <c r="AS351" s="1">
        <v>162</v>
      </c>
      <c r="AT351" s="3">
        <v>3</v>
      </c>
      <c r="AU351" s="3" t="s">
        <v>3051</v>
      </c>
    </row>
    <row r="352" spans="1:47" x14ac:dyDescent="0.3">
      <c r="A352" s="1" t="s">
        <v>1000</v>
      </c>
      <c r="B352" s="1" t="s">
        <v>999</v>
      </c>
      <c r="C352" s="1" t="s">
        <v>90</v>
      </c>
      <c r="D352" s="1" t="s">
        <v>52</v>
      </c>
      <c r="E352" s="1" t="s">
        <v>998</v>
      </c>
      <c r="F352" t="s">
        <v>3062</v>
      </c>
      <c r="G352" t="s">
        <v>52</v>
      </c>
      <c r="H352" t="s">
        <v>52</v>
      </c>
      <c r="I352" t="s">
        <v>52</v>
      </c>
      <c r="J352" t="s">
        <v>52</v>
      </c>
      <c r="K352" t="s">
        <v>52</v>
      </c>
      <c r="L352" s="2">
        <v>1</v>
      </c>
      <c r="M352" s="2">
        <v>1</v>
      </c>
      <c r="N352" s="2">
        <v>1</v>
      </c>
      <c r="O352" s="2">
        <v>1</v>
      </c>
      <c r="P352" s="2">
        <v>1</v>
      </c>
      <c r="Q352" s="2">
        <v>2</v>
      </c>
      <c r="R352" s="2">
        <v>1</v>
      </c>
      <c r="S352" s="2">
        <v>1</v>
      </c>
      <c r="T352" s="2">
        <v>0</v>
      </c>
      <c r="U352" s="2">
        <v>1</v>
      </c>
      <c r="V352" s="2">
        <v>1</v>
      </c>
      <c r="W352" s="2">
        <v>1</v>
      </c>
      <c r="X352" s="2">
        <v>1</v>
      </c>
      <c r="Y352" s="2">
        <v>1</v>
      </c>
      <c r="Z352" s="2">
        <v>1</v>
      </c>
      <c r="AA352" s="2">
        <v>1</v>
      </c>
      <c r="AB352" s="2">
        <v>1</v>
      </c>
      <c r="AC352" s="2">
        <v>1</v>
      </c>
      <c r="AD352" s="2">
        <v>70</v>
      </c>
      <c r="AE352" s="2">
        <v>6400</v>
      </c>
      <c r="AF352" s="2">
        <v>70</v>
      </c>
      <c r="AG352" s="2">
        <v>420</v>
      </c>
      <c r="AH352" s="2">
        <v>45</v>
      </c>
      <c r="AI352" s="2">
        <v>70</v>
      </c>
      <c r="AJ352" s="1">
        <v>1000000</v>
      </c>
      <c r="AK352" s="1">
        <v>0.3</v>
      </c>
      <c r="AL352" s="1">
        <v>70</v>
      </c>
      <c r="AM352" s="2">
        <v>50</v>
      </c>
      <c r="AN352" s="2">
        <f t="shared" si="5"/>
        <v>50</v>
      </c>
      <c r="AO352" s="3">
        <v>351</v>
      </c>
      <c r="AP352" s="3">
        <v>70</v>
      </c>
      <c r="AQ352" s="3">
        <v>70</v>
      </c>
      <c r="AR352" s="3">
        <v>70</v>
      </c>
      <c r="AS352" s="1">
        <v>0.8</v>
      </c>
      <c r="AT352" s="3">
        <v>3</v>
      </c>
      <c r="AU352" s="3" t="s">
        <v>3051</v>
      </c>
    </row>
    <row r="353" spans="1:47" x14ac:dyDescent="0.3">
      <c r="A353" s="1" t="s">
        <v>1003</v>
      </c>
      <c r="B353" s="1" t="s">
        <v>1002</v>
      </c>
      <c r="C353" s="1" t="s">
        <v>90</v>
      </c>
      <c r="D353" s="1" t="s">
        <v>52</v>
      </c>
      <c r="E353" s="1" t="s">
        <v>1001</v>
      </c>
      <c r="F353" t="s">
        <v>3162</v>
      </c>
      <c r="G353" t="s">
        <v>3268</v>
      </c>
      <c r="H353" t="s">
        <v>52</v>
      </c>
      <c r="I353" t="s">
        <v>52</v>
      </c>
      <c r="J353" t="s">
        <v>52</v>
      </c>
      <c r="K353" t="s">
        <v>52</v>
      </c>
      <c r="L353" s="2">
        <v>1</v>
      </c>
      <c r="M353" s="2">
        <v>1</v>
      </c>
      <c r="N353" s="2">
        <v>1</v>
      </c>
      <c r="O353" s="2">
        <v>1</v>
      </c>
      <c r="P353" s="2">
        <v>1</v>
      </c>
      <c r="Q353" s="2">
        <v>2</v>
      </c>
      <c r="R353" s="2">
        <v>1</v>
      </c>
      <c r="S353" s="2">
        <v>1</v>
      </c>
      <c r="T353" s="2">
        <v>0</v>
      </c>
      <c r="U353" s="2">
        <v>1</v>
      </c>
      <c r="V353" s="2">
        <v>1</v>
      </c>
      <c r="W353" s="2">
        <v>1</v>
      </c>
      <c r="X353" s="2">
        <v>1</v>
      </c>
      <c r="Y353" s="2">
        <v>1</v>
      </c>
      <c r="Z353" s="2">
        <v>1</v>
      </c>
      <c r="AA353" s="2">
        <v>1</v>
      </c>
      <c r="AB353" s="2">
        <v>1</v>
      </c>
      <c r="AC353" s="2">
        <v>1</v>
      </c>
      <c r="AD353" s="2">
        <v>90</v>
      </c>
      <c r="AE353" s="2">
        <v>5120</v>
      </c>
      <c r="AF353" s="2">
        <v>70</v>
      </c>
      <c r="AG353" s="2">
        <v>440</v>
      </c>
      <c r="AH353" s="2">
        <v>200</v>
      </c>
      <c r="AI353" s="2">
        <v>70</v>
      </c>
      <c r="AJ353" s="1">
        <v>1059860</v>
      </c>
      <c r="AK353" s="1">
        <v>1</v>
      </c>
      <c r="AL353" s="1">
        <v>60</v>
      </c>
      <c r="AM353" s="2">
        <v>50</v>
      </c>
      <c r="AN353" s="2">
        <f t="shared" si="5"/>
        <v>50</v>
      </c>
      <c r="AO353" s="3">
        <v>352</v>
      </c>
      <c r="AP353" s="3">
        <v>60</v>
      </c>
      <c r="AQ353" s="3">
        <v>120</v>
      </c>
      <c r="AR353" s="3">
        <v>40</v>
      </c>
      <c r="AS353" s="1">
        <v>22</v>
      </c>
      <c r="AT353" s="3">
        <v>3</v>
      </c>
      <c r="AU353" s="3" t="s">
        <v>3051</v>
      </c>
    </row>
    <row r="354" spans="1:47" x14ac:dyDescent="0.3">
      <c r="A354" s="1" t="s">
        <v>1006</v>
      </c>
      <c r="B354" s="1" t="s">
        <v>1005</v>
      </c>
      <c r="C354" s="1" t="s">
        <v>293</v>
      </c>
      <c r="D354" s="1" t="s">
        <v>52</v>
      </c>
      <c r="E354" s="1" t="s">
        <v>1004</v>
      </c>
      <c r="F354" t="s">
        <v>3137</v>
      </c>
      <c r="G354" t="s">
        <v>3186</v>
      </c>
      <c r="H354" t="s">
        <v>3056</v>
      </c>
      <c r="I354" t="s">
        <v>52</v>
      </c>
      <c r="J354" t="s">
        <v>52</v>
      </c>
      <c r="K354" t="s">
        <v>52</v>
      </c>
      <c r="L354" s="2">
        <v>0.5</v>
      </c>
      <c r="M354" s="2">
        <v>2</v>
      </c>
      <c r="N354" s="2">
        <v>1</v>
      </c>
      <c r="O354" s="2">
        <v>1</v>
      </c>
      <c r="P354" s="2">
        <v>1</v>
      </c>
      <c r="Q354" s="2">
        <v>0</v>
      </c>
      <c r="R354" s="2">
        <v>1</v>
      </c>
      <c r="S354" s="2">
        <v>1</v>
      </c>
      <c r="T354" s="2">
        <v>2</v>
      </c>
      <c r="U354" s="2">
        <v>1</v>
      </c>
      <c r="V354" s="2">
        <v>1</v>
      </c>
      <c r="W354" s="2">
        <v>1</v>
      </c>
      <c r="X354" s="2">
        <v>0</v>
      </c>
      <c r="Y354" s="2">
        <v>0.5</v>
      </c>
      <c r="Z354" s="2">
        <v>1</v>
      </c>
      <c r="AA354" s="2">
        <v>1</v>
      </c>
      <c r="AB354" s="2">
        <v>1</v>
      </c>
      <c r="AC354" s="2">
        <v>1</v>
      </c>
      <c r="AD354" s="2">
        <v>75</v>
      </c>
      <c r="AE354" s="2">
        <v>6400</v>
      </c>
      <c r="AF354" s="2">
        <v>35</v>
      </c>
      <c r="AG354" s="2">
        <v>295</v>
      </c>
      <c r="AH354" s="2">
        <v>225</v>
      </c>
      <c r="AI354" s="2">
        <v>35</v>
      </c>
      <c r="AJ354" s="1">
        <v>800000</v>
      </c>
      <c r="AK354" s="1">
        <v>0.6</v>
      </c>
      <c r="AL354" s="1">
        <v>44</v>
      </c>
      <c r="AM354" s="2">
        <v>50</v>
      </c>
      <c r="AN354" s="2">
        <f t="shared" si="5"/>
        <v>50</v>
      </c>
      <c r="AO354" s="3">
        <v>353</v>
      </c>
      <c r="AP354" s="3">
        <v>63</v>
      </c>
      <c r="AQ354" s="3">
        <v>33</v>
      </c>
      <c r="AR354" s="3">
        <v>45</v>
      </c>
      <c r="AS354" s="1">
        <v>2.2999999999999998</v>
      </c>
      <c r="AT354" s="3">
        <v>3</v>
      </c>
      <c r="AU354" s="3" t="s">
        <v>3051</v>
      </c>
    </row>
    <row r="355" spans="1:47" x14ac:dyDescent="0.3">
      <c r="A355" s="1" t="s">
        <v>1009</v>
      </c>
      <c r="B355" s="1" t="s">
        <v>1008</v>
      </c>
      <c r="C355" s="1" t="s">
        <v>293</v>
      </c>
      <c r="D355" s="1" t="s">
        <v>52</v>
      </c>
      <c r="E355" s="1" t="s">
        <v>1007</v>
      </c>
      <c r="F355" t="s">
        <v>3137</v>
      </c>
      <c r="G355" t="s">
        <v>3186</v>
      </c>
      <c r="H355" t="s">
        <v>3056</v>
      </c>
      <c r="I355" t="s">
        <v>52</v>
      </c>
      <c r="J355" t="s">
        <v>52</v>
      </c>
      <c r="K355" t="s">
        <v>52</v>
      </c>
      <c r="L355" s="2">
        <v>0.5</v>
      </c>
      <c r="M355" s="2">
        <v>2</v>
      </c>
      <c r="N355" s="2">
        <v>1</v>
      </c>
      <c r="O355" s="2">
        <v>1</v>
      </c>
      <c r="P355" s="2">
        <v>1</v>
      </c>
      <c r="Q355" s="2">
        <v>0</v>
      </c>
      <c r="R355" s="2">
        <v>1</v>
      </c>
      <c r="S355" s="2">
        <v>1</v>
      </c>
      <c r="T355" s="2">
        <v>2</v>
      </c>
      <c r="U355" s="2">
        <v>1</v>
      </c>
      <c r="V355" s="2">
        <v>1</v>
      </c>
      <c r="W355" s="2">
        <v>1</v>
      </c>
      <c r="X355" s="2">
        <v>0</v>
      </c>
      <c r="Y355" s="2">
        <v>0.5</v>
      </c>
      <c r="Z355" s="2">
        <v>1</v>
      </c>
      <c r="AA355" s="2">
        <v>1</v>
      </c>
      <c r="AB355" s="2">
        <v>1</v>
      </c>
      <c r="AC355" s="2">
        <v>1</v>
      </c>
      <c r="AD355" s="2">
        <v>165</v>
      </c>
      <c r="AE355" s="2">
        <v>6400</v>
      </c>
      <c r="AF355" s="2">
        <v>35</v>
      </c>
      <c r="AG355" s="2">
        <v>555</v>
      </c>
      <c r="AH355" s="2">
        <v>45</v>
      </c>
      <c r="AI355" s="2">
        <v>75</v>
      </c>
      <c r="AJ355" s="1">
        <v>800000</v>
      </c>
      <c r="AK355" s="1">
        <v>1.1000000000000001</v>
      </c>
      <c r="AL355" s="1">
        <v>64</v>
      </c>
      <c r="AM355" s="2">
        <v>50</v>
      </c>
      <c r="AN355" s="2">
        <f t="shared" si="5"/>
        <v>50</v>
      </c>
      <c r="AO355" s="3">
        <v>354</v>
      </c>
      <c r="AP355" s="3">
        <v>93</v>
      </c>
      <c r="AQ355" s="3">
        <v>83</v>
      </c>
      <c r="AR355" s="3">
        <v>75</v>
      </c>
      <c r="AS355" s="1">
        <v>12.5</v>
      </c>
      <c r="AT355" s="3">
        <v>3</v>
      </c>
      <c r="AU355" s="3" t="s">
        <v>3051</v>
      </c>
    </row>
    <row r="356" spans="1:47" x14ac:dyDescent="0.3">
      <c r="A356" s="1" t="s">
        <v>1012</v>
      </c>
      <c r="B356" s="1" t="s">
        <v>1011</v>
      </c>
      <c r="C356" s="1" t="s">
        <v>293</v>
      </c>
      <c r="D356" s="1" t="s">
        <v>52</v>
      </c>
      <c r="E356" s="1" t="s">
        <v>1010</v>
      </c>
      <c r="F356" t="s">
        <v>3055</v>
      </c>
      <c r="G356" t="s">
        <v>3186</v>
      </c>
      <c r="H356" t="s">
        <v>52</v>
      </c>
      <c r="I356" t="s">
        <v>52</v>
      </c>
      <c r="J356" t="s">
        <v>52</v>
      </c>
      <c r="K356" t="s">
        <v>52</v>
      </c>
      <c r="L356" s="2">
        <v>0.5</v>
      </c>
      <c r="M356" s="2">
        <v>2</v>
      </c>
      <c r="N356" s="2">
        <v>1</v>
      </c>
      <c r="O356" s="2">
        <v>1</v>
      </c>
      <c r="P356" s="2">
        <v>1</v>
      </c>
      <c r="Q356" s="2">
        <v>0</v>
      </c>
      <c r="R356" s="2">
        <v>1</v>
      </c>
      <c r="S356" s="2">
        <v>1</v>
      </c>
      <c r="T356" s="2">
        <v>2</v>
      </c>
      <c r="U356" s="2">
        <v>1</v>
      </c>
      <c r="V356" s="2">
        <v>1</v>
      </c>
      <c r="W356" s="2">
        <v>1</v>
      </c>
      <c r="X356" s="2">
        <v>0</v>
      </c>
      <c r="Y356" s="2">
        <v>0.5</v>
      </c>
      <c r="Z356" s="2">
        <v>1</v>
      </c>
      <c r="AA356" s="2">
        <v>1</v>
      </c>
      <c r="AB356" s="2">
        <v>1</v>
      </c>
      <c r="AC356" s="2">
        <v>1</v>
      </c>
      <c r="AD356" s="2">
        <v>40</v>
      </c>
      <c r="AE356" s="2">
        <v>6400</v>
      </c>
      <c r="AF356" s="2">
        <v>35</v>
      </c>
      <c r="AG356" s="2">
        <v>295</v>
      </c>
      <c r="AH356" s="2">
        <v>190</v>
      </c>
      <c r="AI356" s="2">
        <v>90</v>
      </c>
      <c r="AJ356" s="1">
        <v>800000</v>
      </c>
      <c r="AK356" s="1">
        <v>0.8</v>
      </c>
      <c r="AL356" s="1">
        <v>20</v>
      </c>
      <c r="AM356" s="2">
        <v>50</v>
      </c>
      <c r="AN356" s="2">
        <f t="shared" si="5"/>
        <v>50</v>
      </c>
      <c r="AO356" s="3">
        <v>355</v>
      </c>
      <c r="AP356" s="3">
        <v>30</v>
      </c>
      <c r="AQ356" s="3">
        <v>90</v>
      </c>
      <c r="AR356" s="3">
        <v>25</v>
      </c>
      <c r="AS356" s="1">
        <v>15</v>
      </c>
      <c r="AT356" s="3">
        <v>3</v>
      </c>
      <c r="AU356" s="3" t="s">
        <v>3051</v>
      </c>
    </row>
    <row r="357" spans="1:47" x14ac:dyDescent="0.3">
      <c r="A357" s="1" t="s">
        <v>1015</v>
      </c>
      <c r="B357" s="1" t="s">
        <v>1014</v>
      </c>
      <c r="C357" s="1" t="s">
        <v>293</v>
      </c>
      <c r="D357" s="1" t="s">
        <v>52</v>
      </c>
      <c r="E357" s="1" t="s">
        <v>1013</v>
      </c>
      <c r="F357" t="s">
        <v>3067</v>
      </c>
      <c r="G357" t="s">
        <v>3186</v>
      </c>
      <c r="H357" t="s">
        <v>52</v>
      </c>
      <c r="I357" t="s">
        <v>52</v>
      </c>
      <c r="J357" t="s">
        <v>52</v>
      </c>
      <c r="K357" t="s">
        <v>52</v>
      </c>
      <c r="L357" s="2">
        <v>0.5</v>
      </c>
      <c r="M357" s="2">
        <v>2</v>
      </c>
      <c r="N357" s="2">
        <v>1</v>
      </c>
      <c r="O357" s="2">
        <v>1</v>
      </c>
      <c r="P357" s="2">
        <v>1</v>
      </c>
      <c r="Q357" s="2">
        <v>0</v>
      </c>
      <c r="R357" s="2">
        <v>1</v>
      </c>
      <c r="S357" s="2">
        <v>1</v>
      </c>
      <c r="T357" s="2">
        <v>2</v>
      </c>
      <c r="U357" s="2">
        <v>1</v>
      </c>
      <c r="V357" s="2">
        <v>1</v>
      </c>
      <c r="W357" s="2">
        <v>1</v>
      </c>
      <c r="X357" s="2">
        <v>0</v>
      </c>
      <c r="Y357" s="2">
        <v>0.5</v>
      </c>
      <c r="Z357" s="2">
        <v>1</v>
      </c>
      <c r="AA357" s="2">
        <v>1</v>
      </c>
      <c r="AB357" s="2">
        <v>1</v>
      </c>
      <c r="AC357" s="2">
        <v>1</v>
      </c>
      <c r="AD357" s="2">
        <v>70</v>
      </c>
      <c r="AE357" s="2">
        <v>6400</v>
      </c>
      <c r="AF357" s="2">
        <v>35</v>
      </c>
      <c r="AG357" s="2">
        <v>455</v>
      </c>
      <c r="AH357" s="2">
        <v>90</v>
      </c>
      <c r="AI357" s="2">
        <v>130</v>
      </c>
      <c r="AJ357" s="1">
        <v>800000</v>
      </c>
      <c r="AK357" s="1">
        <v>1.6</v>
      </c>
      <c r="AL357" s="1">
        <v>40</v>
      </c>
      <c r="AM357" s="2">
        <v>50</v>
      </c>
      <c r="AN357" s="2">
        <f t="shared" si="5"/>
        <v>50</v>
      </c>
      <c r="AO357" s="3">
        <v>356</v>
      </c>
      <c r="AP357" s="3">
        <v>60</v>
      </c>
      <c r="AQ357" s="3">
        <v>130</v>
      </c>
      <c r="AR357" s="3">
        <v>25</v>
      </c>
      <c r="AS357" s="1">
        <v>30.6</v>
      </c>
      <c r="AT357" s="3">
        <v>3</v>
      </c>
      <c r="AU357" s="3" t="s">
        <v>3051</v>
      </c>
    </row>
    <row r="358" spans="1:47" x14ac:dyDescent="0.3">
      <c r="A358" s="1" t="s">
        <v>1018</v>
      </c>
      <c r="B358" s="1" t="s">
        <v>1017</v>
      </c>
      <c r="C358" s="1" t="s">
        <v>42</v>
      </c>
      <c r="D358" s="1" t="s">
        <v>58</v>
      </c>
      <c r="E358" s="1" t="s">
        <v>1016</v>
      </c>
      <c r="F358" t="s">
        <v>3068</v>
      </c>
      <c r="G358" t="s">
        <v>3223</v>
      </c>
      <c r="H358" t="s">
        <v>3248</v>
      </c>
      <c r="I358" t="s">
        <v>52</v>
      </c>
      <c r="J358" t="s">
        <v>52</v>
      </c>
      <c r="K358" t="s">
        <v>52</v>
      </c>
      <c r="L358" s="2">
        <v>1</v>
      </c>
      <c r="M358" s="2">
        <v>1</v>
      </c>
      <c r="N358" s="2">
        <v>1</v>
      </c>
      <c r="O358" s="2">
        <v>1</v>
      </c>
      <c r="P358" s="2">
        <v>1</v>
      </c>
      <c r="Q358" s="2">
        <v>0.5</v>
      </c>
      <c r="R358" s="2">
        <v>2</v>
      </c>
      <c r="S358" s="2">
        <v>2</v>
      </c>
      <c r="T358" s="2">
        <v>1</v>
      </c>
      <c r="U358" s="2">
        <v>0.25</v>
      </c>
      <c r="V358" s="2">
        <v>0</v>
      </c>
      <c r="W358" s="2">
        <v>4</v>
      </c>
      <c r="X358" s="2">
        <v>1</v>
      </c>
      <c r="Y358" s="2">
        <v>2</v>
      </c>
      <c r="Z358" s="2">
        <v>1</v>
      </c>
      <c r="AA358" s="2">
        <v>2</v>
      </c>
      <c r="AB358" s="2">
        <v>1</v>
      </c>
      <c r="AC358" s="2">
        <v>0.5</v>
      </c>
      <c r="AD358" s="2">
        <v>68</v>
      </c>
      <c r="AE358" s="2">
        <v>6400</v>
      </c>
      <c r="AF358" s="2">
        <v>70</v>
      </c>
      <c r="AG358" s="2">
        <v>460</v>
      </c>
      <c r="AH358" s="2">
        <v>200</v>
      </c>
      <c r="AI358" s="2">
        <v>83</v>
      </c>
      <c r="AJ358" s="1">
        <v>1250000</v>
      </c>
      <c r="AK358" s="1">
        <v>2</v>
      </c>
      <c r="AL358" s="1">
        <v>99</v>
      </c>
      <c r="AM358" s="2">
        <v>50</v>
      </c>
      <c r="AN358" s="2">
        <f t="shared" si="5"/>
        <v>50</v>
      </c>
      <c r="AO358" s="3">
        <v>357</v>
      </c>
      <c r="AP358" s="3">
        <v>72</v>
      </c>
      <c r="AQ358" s="3">
        <v>87</v>
      </c>
      <c r="AR358" s="3">
        <v>51</v>
      </c>
      <c r="AS358" s="1">
        <v>100</v>
      </c>
      <c r="AT358" s="3">
        <v>3</v>
      </c>
      <c r="AU358" s="3" t="s">
        <v>3051</v>
      </c>
    </row>
    <row r="359" spans="1:47" x14ac:dyDescent="0.3">
      <c r="A359" s="1" t="s">
        <v>1021</v>
      </c>
      <c r="B359" s="1" t="s">
        <v>1020</v>
      </c>
      <c r="C359" s="1" t="s">
        <v>216</v>
      </c>
      <c r="D359" s="1" t="s">
        <v>52</v>
      </c>
      <c r="E359" s="1" t="s">
        <v>1019</v>
      </c>
      <c r="F359" t="s">
        <v>3055</v>
      </c>
      <c r="G359" t="s">
        <v>52</v>
      </c>
      <c r="H359" t="s">
        <v>52</v>
      </c>
      <c r="I359" t="s">
        <v>52</v>
      </c>
      <c r="J359" t="s">
        <v>52</v>
      </c>
      <c r="K359" t="s">
        <v>52</v>
      </c>
      <c r="L359" s="2">
        <v>2</v>
      </c>
      <c r="M359" s="2">
        <v>2</v>
      </c>
      <c r="N359" s="2">
        <v>1</v>
      </c>
      <c r="O359" s="2">
        <v>1</v>
      </c>
      <c r="P359" s="2">
        <v>1</v>
      </c>
      <c r="Q359" s="2">
        <v>0.5</v>
      </c>
      <c r="R359" s="2">
        <v>1</v>
      </c>
      <c r="S359" s="2">
        <v>1</v>
      </c>
      <c r="T359" s="2">
        <v>2</v>
      </c>
      <c r="U359" s="2">
        <v>1</v>
      </c>
      <c r="V359" s="2">
        <v>1</v>
      </c>
      <c r="W359" s="2">
        <v>1</v>
      </c>
      <c r="X359" s="2">
        <v>1</v>
      </c>
      <c r="Y359" s="2">
        <v>1</v>
      </c>
      <c r="Z359" s="2">
        <v>0.5</v>
      </c>
      <c r="AA359" s="2">
        <v>1</v>
      </c>
      <c r="AB359" s="2">
        <v>1</v>
      </c>
      <c r="AC359" s="2">
        <v>1</v>
      </c>
      <c r="AD359" s="2">
        <v>50</v>
      </c>
      <c r="AE359" s="2">
        <v>6400</v>
      </c>
      <c r="AF359" s="2">
        <v>70</v>
      </c>
      <c r="AG359" s="2">
        <v>455</v>
      </c>
      <c r="AH359" s="2">
        <v>45</v>
      </c>
      <c r="AI359" s="2">
        <v>80</v>
      </c>
      <c r="AJ359" s="1">
        <v>800000</v>
      </c>
      <c r="AK359" s="1">
        <v>0.6</v>
      </c>
      <c r="AL359" s="1">
        <v>75</v>
      </c>
      <c r="AM359" s="2">
        <v>50</v>
      </c>
      <c r="AN359" s="2">
        <f t="shared" si="5"/>
        <v>50</v>
      </c>
      <c r="AO359" s="3">
        <v>358</v>
      </c>
      <c r="AP359" s="3">
        <v>95</v>
      </c>
      <c r="AQ359" s="3">
        <v>90</v>
      </c>
      <c r="AR359" s="3">
        <v>65</v>
      </c>
      <c r="AS359" s="1">
        <v>1</v>
      </c>
      <c r="AT359" s="3">
        <v>3</v>
      </c>
      <c r="AU359" s="3" t="s">
        <v>3051</v>
      </c>
    </row>
    <row r="360" spans="1:47" x14ac:dyDescent="0.3">
      <c r="A360" s="1" t="s">
        <v>1024</v>
      </c>
      <c r="B360" s="1" t="s">
        <v>1023</v>
      </c>
      <c r="C360" s="1" t="s">
        <v>99</v>
      </c>
      <c r="D360" s="1" t="s">
        <v>52</v>
      </c>
      <c r="E360" s="1" t="s">
        <v>1022</v>
      </c>
      <c r="F360" t="s">
        <v>3067</v>
      </c>
      <c r="G360" t="s">
        <v>3256</v>
      </c>
      <c r="H360" t="s">
        <v>3080</v>
      </c>
      <c r="I360" t="s">
        <v>52</v>
      </c>
      <c r="J360" t="s">
        <v>52</v>
      </c>
      <c r="K360" t="s">
        <v>52</v>
      </c>
      <c r="L360" s="2">
        <v>2</v>
      </c>
      <c r="M360" s="2">
        <v>0.5</v>
      </c>
      <c r="N360" s="2">
        <v>1</v>
      </c>
      <c r="O360" s="2">
        <v>1</v>
      </c>
      <c r="P360" s="2">
        <v>2</v>
      </c>
      <c r="Q360" s="2">
        <v>2</v>
      </c>
      <c r="R360" s="2">
        <v>1</v>
      </c>
      <c r="S360" s="2">
        <v>1</v>
      </c>
      <c r="T360" s="2">
        <v>0.5</v>
      </c>
      <c r="U360" s="2">
        <v>1</v>
      </c>
      <c r="V360" s="2">
        <v>1</v>
      </c>
      <c r="W360" s="2">
        <v>1</v>
      </c>
      <c r="X360" s="2">
        <v>1</v>
      </c>
      <c r="Y360" s="2">
        <v>1</v>
      </c>
      <c r="Z360" s="2">
        <v>0</v>
      </c>
      <c r="AA360" s="2">
        <v>1</v>
      </c>
      <c r="AB360" s="2">
        <v>1</v>
      </c>
      <c r="AC360" s="2">
        <v>1</v>
      </c>
      <c r="AD360" s="2">
        <v>150</v>
      </c>
      <c r="AE360" s="2">
        <v>6400</v>
      </c>
      <c r="AF360" s="2">
        <v>35</v>
      </c>
      <c r="AG360" s="2">
        <v>565</v>
      </c>
      <c r="AH360" s="2">
        <v>30</v>
      </c>
      <c r="AI360" s="2">
        <v>60</v>
      </c>
      <c r="AJ360" s="1">
        <v>1059860</v>
      </c>
      <c r="AK360" s="1">
        <v>1.2</v>
      </c>
      <c r="AL360" s="1">
        <v>65</v>
      </c>
      <c r="AM360" s="2">
        <v>50</v>
      </c>
      <c r="AN360" s="2">
        <f t="shared" si="5"/>
        <v>50</v>
      </c>
      <c r="AO360" s="3">
        <v>359</v>
      </c>
      <c r="AP360" s="3">
        <v>115</v>
      </c>
      <c r="AQ360" s="3">
        <v>60</v>
      </c>
      <c r="AR360" s="3">
        <v>115</v>
      </c>
      <c r="AS360" s="1">
        <v>47</v>
      </c>
      <c r="AT360" s="3">
        <v>3</v>
      </c>
      <c r="AU360" s="3" t="s">
        <v>3051</v>
      </c>
    </row>
    <row r="361" spans="1:47" x14ac:dyDescent="0.3">
      <c r="A361" s="1" t="s">
        <v>1027</v>
      </c>
      <c r="B361" s="1" t="s">
        <v>1026</v>
      </c>
      <c r="C361" s="1" t="s">
        <v>216</v>
      </c>
      <c r="D361" s="1" t="s">
        <v>52</v>
      </c>
      <c r="E361" s="1" t="s">
        <v>1025</v>
      </c>
      <c r="F361" t="s">
        <v>3150</v>
      </c>
      <c r="G361" t="s">
        <v>3189</v>
      </c>
      <c r="H361" t="s">
        <v>52</v>
      </c>
      <c r="I361" t="s">
        <v>52</v>
      </c>
      <c r="J361" t="s">
        <v>52</v>
      </c>
      <c r="K361" t="s">
        <v>52</v>
      </c>
      <c r="L361" s="2">
        <v>2</v>
      </c>
      <c r="M361" s="2">
        <v>2</v>
      </c>
      <c r="N361" s="2">
        <v>1</v>
      </c>
      <c r="O361" s="2">
        <v>1</v>
      </c>
      <c r="P361" s="2">
        <v>1</v>
      </c>
      <c r="Q361" s="2">
        <v>0.5</v>
      </c>
      <c r="R361" s="2">
        <v>1</v>
      </c>
      <c r="S361" s="2">
        <v>1</v>
      </c>
      <c r="T361" s="2">
        <v>2</v>
      </c>
      <c r="U361" s="2">
        <v>1</v>
      </c>
      <c r="V361" s="2">
        <v>1</v>
      </c>
      <c r="W361" s="2">
        <v>1</v>
      </c>
      <c r="X361" s="2">
        <v>1</v>
      </c>
      <c r="Y361" s="2">
        <v>1</v>
      </c>
      <c r="Z361" s="2">
        <v>0.5</v>
      </c>
      <c r="AA361" s="2">
        <v>1</v>
      </c>
      <c r="AB361" s="2">
        <v>1</v>
      </c>
      <c r="AC361" s="2">
        <v>1</v>
      </c>
      <c r="AD361" s="2">
        <v>23</v>
      </c>
      <c r="AE361" s="2">
        <v>5120</v>
      </c>
      <c r="AF361" s="2">
        <v>70</v>
      </c>
      <c r="AG361" s="2">
        <v>260</v>
      </c>
      <c r="AH361" s="2">
        <v>125</v>
      </c>
      <c r="AI361" s="2">
        <v>48</v>
      </c>
      <c r="AJ361" s="1">
        <v>1000000</v>
      </c>
      <c r="AK361" s="1">
        <v>0.6</v>
      </c>
      <c r="AL361" s="1">
        <v>95</v>
      </c>
      <c r="AM361" s="2">
        <v>50</v>
      </c>
      <c r="AN361" s="2">
        <f t="shared" si="5"/>
        <v>50</v>
      </c>
      <c r="AO361" s="3">
        <v>360</v>
      </c>
      <c r="AP361" s="3">
        <v>23</v>
      </c>
      <c r="AQ361" s="3">
        <v>48</v>
      </c>
      <c r="AR361" s="3">
        <v>23</v>
      </c>
      <c r="AS361" s="1">
        <v>14</v>
      </c>
      <c r="AT361" s="3">
        <v>3</v>
      </c>
      <c r="AU361" s="3" t="s">
        <v>3051</v>
      </c>
    </row>
    <row r="362" spans="1:47" x14ac:dyDescent="0.3">
      <c r="A362" s="1" t="s">
        <v>1030</v>
      </c>
      <c r="B362" s="1" t="s">
        <v>1029</v>
      </c>
      <c r="C362" s="1" t="s">
        <v>121</v>
      </c>
      <c r="D362" s="1" t="s">
        <v>52</v>
      </c>
      <c r="E362" s="1" t="s">
        <v>1028</v>
      </c>
      <c r="F362" t="s">
        <v>3126</v>
      </c>
      <c r="G362" t="s">
        <v>3188</v>
      </c>
      <c r="H362" t="s">
        <v>3261</v>
      </c>
      <c r="I362" t="s">
        <v>52</v>
      </c>
      <c r="J362" t="s">
        <v>52</v>
      </c>
      <c r="K362" t="s">
        <v>52</v>
      </c>
      <c r="L362" s="2">
        <v>1</v>
      </c>
      <c r="M362" s="2">
        <v>1</v>
      </c>
      <c r="N362" s="2">
        <v>1</v>
      </c>
      <c r="O362" s="2">
        <v>1</v>
      </c>
      <c r="P362" s="2">
        <v>1</v>
      </c>
      <c r="Q362" s="2">
        <v>2</v>
      </c>
      <c r="R362" s="2">
        <v>2</v>
      </c>
      <c r="S362" s="2">
        <v>1</v>
      </c>
      <c r="T362" s="2">
        <v>1</v>
      </c>
      <c r="U362" s="2">
        <v>1</v>
      </c>
      <c r="V362" s="2">
        <v>1</v>
      </c>
      <c r="W362" s="2">
        <v>0.5</v>
      </c>
      <c r="X362" s="2">
        <v>1</v>
      </c>
      <c r="Y362" s="2">
        <v>1</v>
      </c>
      <c r="Z362" s="2">
        <v>1</v>
      </c>
      <c r="AA362" s="2">
        <v>2</v>
      </c>
      <c r="AB362" s="2">
        <v>2</v>
      </c>
      <c r="AC362" s="2">
        <v>1</v>
      </c>
      <c r="AD362" s="2">
        <v>50</v>
      </c>
      <c r="AE362" s="2">
        <v>5120</v>
      </c>
      <c r="AF362" s="2">
        <v>70</v>
      </c>
      <c r="AG362" s="2">
        <v>300</v>
      </c>
      <c r="AH362" s="2">
        <v>190</v>
      </c>
      <c r="AI362" s="2">
        <v>50</v>
      </c>
      <c r="AJ362" s="1">
        <v>1000000</v>
      </c>
      <c r="AK362" s="1">
        <v>0.7</v>
      </c>
      <c r="AL362" s="1">
        <v>50</v>
      </c>
      <c r="AM362" s="2">
        <v>50</v>
      </c>
      <c r="AN362" s="2">
        <f t="shared" si="5"/>
        <v>50</v>
      </c>
      <c r="AO362" s="3">
        <v>361</v>
      </c>
      <c r="AP362" s="3">
        <v>50</v>
      </c>
      <c r="AQ362" s="3">
        <v>50</v>
      </c>
      <c r="AR362" s="3">
        <v>50</v>
      </c>
      <c r="AS362" s="1">
        <v>16.8</v>
      </c>
      <c r="AT362" s="3">
        <v>3</v>
      </c>
      <c r="AU362" s="3" t="s">
        <v>3051</v>
      </c>
    </row>
    <row r="363" spans="1:47" x14ac:dyDescent="0.3">
      <c r="A363" s="1" t="s">
        <v>1033</v>
      </c>
      <c r="B363" s="1" t="s">
        <v>1032</v>
      </c>
      <c r="C363" s="1" t="s">
        <v>121</v>
      </c>
      <c r="D363" s="1" t="s">
        <v>52</v>
      </c>
      <c r="E363" s="1" t="s">
        <v>1031</v>
      </c>
      <c r="F363" t="s">
        <v>3126</v>
      </c>
      <c r="G363" t="s">
        <v>3188</v>
      </c>
      <c r="H363" t="s">
        <v>3261</v>
      </c>
      <c r="I363" t="s">
        <v>52</v>
      </c>
      <c r="J363" t="s">
        <v>52</v>
      </c>
      <c r="K363" t="s">
        <v>52</v>
      </c>
      <c r="L363" s="2">
        <v>1</v>
      </c>
      <c r="M363" s="2">
        <v>1</v>
      </c>
      <c r="N363" s="2">
        <v>1</v>
      </c>
      <c r="O363" s="2">
        <v>1</v>
      </c>
      <c r="P363" s="2">
        <v>1</v>
      </c>
      <c r="Q363" s="2">
        <v>2</v>
      </c>
      <c r="R363" s="2">
        <v>2</v>
      </c>
      <c r="S363" s="2">
        <v>1</v>
      </c>
      <c r="T363" s="2">
        <v>1</v>
      </c>
      <c r="U363" s="2">
        <v>1</v>
      </c>
      <c r="V363" s="2">
        <v>1</v>
      </c>
      <c r="W363" s="2">
        <v>0.5</v>
      </c>
      <c r="X363" s="2">
        <v>1</v>
      </c>
      <c r="Y363" s="2">
        <v>1</v>
      </c>
      <c r="Z363" s="2">
        <v>1</v>
      </c>
      <c r="AA363" s="2">
        <v>2</v>
      </c>
      <c r="AB363" s="2">
        <v>2</v>
      </c>
      <c r="AC363" s="2">
        <v>1</v>
      </c>
      <c r="AD363" s="2">
        <v>120</v>
      </c>
      <c r="AE363" s="2">
        <v>5120</v>
      </c>
      <c r="AF363" s="2">
        <v>70</v>
      </c>
      <c r="AG363" s="2">
        <v>580</v>
      </c>
      <c r="AH363" s="2">
        <v>75</v>
      </c>
      <c r="AI363" s="2">
        <v>80</v>
      </c>
      <c r="AJ363" s="1">
        <v>1000000</v>
      </c>
      <c r="AK363" s="1">
        <v>1.5</v>
      </c>
      <c r="AL363" s="1">
        <v>80</v>
      </c>
      <c r="AM363" s="2">
        <v>50</v>
      </c>
      <c r="AN363" s="2">
        <f t="shared" si="5"/>
        <v>50</v>
      </c>
      <c r="AO363" s="3">
        <v>362</v>
      </c>
      <c r="AP363" s="3">
        <v>120</v>
      </c>
      <c r="AQ363" s="3">
        <v>80</v>
      </c>
      <c r="AR363" s="3">
        <v>100</v>
      </c>
      <c r="AS363" s="1">
        <v>256.5</v>
      </c>
      <c r="AT363" s="3">
        <v>3</v>
      </c>
      <c r="AU363" s="3" t="s">
        <v>3051</v>
      </c>
    </row>
    <row r="364" spans="1:47" x14ac:dyDescent="0.3">
      <c r="A364" s="1" t="s">
        <v>1036</v>
      </c>
      <c r="B364" s="1" t="s">
        <v>1035</v>
      </c>
      <c r="C364" s="1" t="s">
        <v>121</v>
      </c>
      <c r="D364" s="1" t="s">
        <v>62</v>
      </c>
      <c r="E364" s="1" t="s">
        <v>1034</v>
      </c>
      <c r="F364" t="s">
        <v>3135</v>
      </c>
      <c r="G364" t="s">
        <v>3188</v>
      </c>
      <c r="H364" t="s">
        <v>3133</v>
      </c>
      <c r="I364" t="s">
        <v>52</v>
      </c>
      <c r="J364" t="s">
        <v>52</v>
      </c>
      <c r="K364" t="s">
        <v>52</v>
      </c>
      <c r="L364" s="2">
        <v>1</v>
      </c>
      <c r="M364" s="2">
        <v>1</v>
      </c>
      <c r="N364" s="2">
        <v>1</v>
      </c>
      <c r="O364" s="2">
        <v>2</v>
      </c>
      <c r="P364" s="2">
        <v>1</v>
      </c>
      <c r="Q364" s="2">
        <v>2</v>
      </c>
      <c r="R364" s="2">
        <v>1</v>
      </c>
      <c r="S364" s="2">
        <v>1</v>
      </c>
      <c r="T364" s="2">
        <v>1</v>
      </c>
      <c r="U364" s="2">
        <v>2</v>
      </c>
      <c r="V364" s="2">
        <v>1</v>
      </c>
      <c r="W364" s="2">
        <v>0.25</v>
      </c>
      <c r="X364" s="2">
        <v>1</v>
      </c>
      <c r="Y364" s="2">
        <v>1</v>
      </c>
      <c r="Z364" s="2">
        <v>1</v>
      </c>
      <c r="AA364" s="2">
        <v>2</v>
      </c>
      <c r="AB364" s="2">
        <v>1</v>
      </c>
      <c r="AC364" s="2">
        <v>0.5</v>
      </c>
      <c r="AD364" s="2">
        <v>40</v>
      </c>
      <c r="AE364" s="2">
        <v>5120</v>
      </c>
      <c r="AF364" s="2">
        <v>70</v>
      </c>
      <c r="AG364" s="2">
        <v>290</v>
      </c>
      <c r="AH364" s="2">
        <v>255</v>
      </c>
      <c r="AI364" s="2">
        <v>50</v>
      </c>
      <c r="AJ364" s="1">
        <v>1059860</v>
      </c>
      <c r="AK364" s="1">
        <v>0.8</v>
      </c>
      <c r="AL364" s="1">
        <v>70</v>
      </c>
      <c r="AM364" s="2">
        <v>50</v>
      </c>
      <c r="AN364" s="2">
        <f t="shared" si="5"/>
        <v>50</v>
      </c>
      <c r="AO364" s="3">
        <v>363</v>
      </c>
      <c r="AP364" s="3">
        <v>55</v>
      </c>
      <c r="AQ364" s="3">
        <v>50</v>
      </c>
      <c r="AR364" s="3">
        <v>25</v>
      </c>
      <c r="AS364" s="1">
        <v>39.5</v>
      </c>
      <c r="AT364" s="3">
        <v>3</v>
      </c>
      <c r="AU364" s="3" t="s">
        <v>3051</v>
      </c>
    </row>
    <row r="365" spans="1:47" x14ac:dyDescent="0.3">
      <c r="A365" s="1" t="s">
        <v>1039</v>
      </c>
      <c r="B365" s="1" t="s">
        <v>1038</v>
      </c>
      <c r="C365" s="1" t="s">
        <v>121</v>
      </c>
      <c r="D365" s="1" t="s">
        <v>62</v>
      </c>
      <c r="E365" s="1" t="s">
        <v>1037</v>
      </c>
      <c r="F365" t="s">
        <v>3135</v>
      </c>
      <c r="G365" t="s">
        <v>3188</v>
      </c>
      <c r="H365" t="s">
        <v>3133</v>
      </c>
      <c r="I365" t="s">
        <v>52</v>
      </c>
      <c r="J365" t="s">
        <v>52</v>
      </c>
      <c r="K365" t="s">
        <v>52</v>
      </c>
      <c r="L365" s="2">
        <v>1</v>
      </c>
      <c r="M365" s="2">
        <v>1</v>
      </c>
      <c r="N365" s="2">
        <v>1</v>
      </c>
      <c r="O365" s="2">
        <v>2</v>
      </c>
      <c r="P365" s="2">
        <v>1</v>
      </c>
      <c r="Q365" s="2">
        <v>2</v>
      </c>
      <c r="R365" s="2">
        <v>1</v>
      </c>
      <c r="S365" s="2">
        <v>1</v>
      </c>
      <c r="T365" s="2">
        <v>1</v>
      </c>
      <c r="U365" s="2">
        <v>2</v>
      </c>
      <c r="V365" s="2">
        <v>1</v>
      </c>
      <c r="W365" s="2">
        <v>0.25</v>
      </c>
      <c r="X365" s="2">
        <v>1</v>
      </c>
      <c r="Y365" s="2">
        <v>1</v>
      </c>
      <c r="Z365" s="2">
        <v>1</v>
      </c>
      <c r="AA365" s="2">
        <v>2</v>
      </c>
      <c r="AB365" s="2">
        <v>1</v>
      </c>
      <c r="AC365" s="2">
        <v>0.5</v>
      </c>
      <c r="AD365" s="2">
        <v>60</v>
      </c>
      <c r="AE365" s="2">
        <v>5120</v>
      </c>
      <c r="AF365" s="2">
        <v>70</v>
      </c>
      <c r="AG365" s="2">
        <v>410</v>
      </c>
      <c r="AH365" s="2">
        <v>120</v>
      </c>
      <c r="AI365" s="2">
        <v>70</v>
      </c>
      <c r="AJ365" s="1">
        <v>1059860</v>
      </c>
      <c r="AK365" s="1">
        <v>1.1000000000000001</v>
      </c>
      <c r="AL365" s="1">
        <v>90</v>
      </c>
      <c r="AM365" s="2">
        <v>50</v>
      </c>
      <c r="AN365" s="2">
        <f t="shared" si="5"/>
        <v>50</v>
      </c>
      <c r="AO365" s="3">
        <v>364</v>
      </c>
      <c r="AP365" s="3">
        <v>75</v>
      </c>
      <c r="AQ365" s="3">
        <v>70</v>
      </c>
      <c r="AR365" s="3">
        <v>45</v>
      </c>
      <c r="AS365" s="1">
        <v>87.6</v>
      </c>
      <c r="AT365" s="3">
        <v>3</v>
      </c>
      <c r="AU365" s="3" t="s">
        <v>3051</v>
      </c>
    </row>
    <row r="366" spans="1:47" x14ac:dyDescent="0.3">
      <c r="A366" s="1" t="s">
        <v>1042</v>
      </c>
      <c r="B366" s="1" t="s">
        <v>1041</v>
      </c>
      <c r="C366" s="1" t="s">
        <v>121</v>
      </c>
      <c r="D366" s="1" t="s">
        <v>62</v>
      </c>
      <c r="E366" s="1" t="s">
        <v>1040</v>
      </c>
      <c r="F366" t="s">
        <v>3135</v>
      </c>
      <c r="G366" t="s">
        <v>3188</v>
      </c>
      <c r="H366" t="s">
        <v>3133</v>
      </c>
      <c r="I366" t="s">
        <v>52</v>
      </c>
      <c r="J366" t="s">
        <v>52</v>
      </c>
      <c r="K366" t="s">
        <v>52</v>
      </c>
      <c r="L366" s="2">
        <v>1</v>
      </c>
      <c r="M366" s="2">
        <v>1</v>
      </c>
      <c r="N366" s="2">
        <v>1</v>
      </c>
      <c r="O366" s="2">
        <v>2</v>
      </c>
      <c r="P366" s="2">
        <v>1</v>
      </c>
      <c r="Q366" s="2">
        <v>2</v>
      </c>
      <c r="R366" s="2">
        <v>1</v>
      </c>
      <c r="S366" s="2">
        <v>1</v>
      </c>
      <c r="T366" s="2">
        <v>1</v>
      </c>
      <c r="U366" s="2">
        <v>2</v>
      </c>
      <c r="V366" s="2">
        <v>1</v>
      </c>
      <c r="W366" s="2">
        <v>0.25</v>
      </c>
      <c r="X366" s="2">
        <v>1</v>
      </c>
      <c r="Y366" s="2">
        <v>1</v>
      </c>
      <c r="Z366" s="2">
        <v>1</v>
      </c>
      <c r="AA366" s="2">
        <v>2</v>
      </c>
      <c r="AB366" s="2">
        <v>1</v>
      </c>
      <c r="AC366" s="2">
        <v>0.5</v>
      </c>
      <c r="AD366" s="2">
        <v>80</v>
      </c>
      <c r="AE366" s="2">
        <v>5120</v>
      </c>
      <c r="AF366" s="2">
        <v>70</v>
      </c>
      <c r="AG366" s="2">
        <v>530</v>
      </c>
      <c r="AH366" s="2">
        <v>45</v>
      </c>
      <c r="AI366" s="2">
        <v>90</v>
      </c>
      <c r="AJ366" s="1">
        <v>1059860</v>
      </c>
      <c r="AK366" s="1">
        <v>1.4</v>
      </c>
      <c r="AL366" s="1">
        <v>110</v>
      </c>
      <c r="AM366" s="2">
        <v>50</v>
      </c>
      <c r="AN366" s="2">
        <f t="shared" si="5"/>
        <v>50</v>
      </c>
      <c r="AO366" s="3">
        <v>365</v>
      </c>
      <c r="AP366" s="3">
        <v>95</v>
      </c>
      <c r="AQ366" s="3">
        <v>90</v>
      </c>
      <c r="AR366" s="3">
        <v>65</v>
      </c>
      <c r="AS366" s="1">
        <v>150.6</v>
      </c>
      <c r="AT366" s="3">
        <v>3</v>
      </c>
      <c r="AU366" s="3" t="s">
        <v>3051</v>
      </c>
    </row>
    <row r="367" spans="1:47" x14ac:dyDescent="0.3">
      <c r="A367" s="1" t="s">
        <v>1044</v>
      </c>
      <c r="B367" s="1" t="s">
        <v>1043</v>
      </c>
      <c r="C367" s="1" t="s">
        <v>62</v>
      </c>
      <c r="D367" s="1" t="s">
        <v>52</v>
      </c>
      <c r="E367" s="1" t="s">
        <v>285</v>
      </c>
      <c r="F367" t="s">
        <v>3103</v>
      </c>
      <c r="G367" t="s">
        <v>3238</v>
      </c>
      <c r="H367" t="s">
        <v>52</v>
      </c>
      <c r="I367" t="s">
        <v>52</v>
      </c>
      <c r="J367" t="s">
        <v>52</v>
      </c>
      <c r="K367" t="s">
        <v>52</v>
      </c>
      <c r="L367" s="2">
        <v>1</v>
      </c>
      <c r="M367" s="2">
        <v>1</v>
      </c>
      <c r="N367" s="2">
        <v>1</v>
      </c>
      <c r="O367" s="2">
        <v>2</v>
      </c>
      <c r="P367" s="2">
        <v>1</v>
      </c>
      <c r="Q367" s="2">
        <v>1</v>
      </c>
      <c r="R367" s="2">
        <v>0.5</v>
      </c>
      <c r="S367" s="2">
        <v>1</v>
      </c>
      <c r="T367" s="2">
        <v>1</v>
      </c>
      <c r="U367" s="2">
        <v>2</v>
      </c>
      <c r="V367" s="2">
        <v>1</v>
      </c>
      <c r="W367" s="2">
        <v>0.5</v>
      </c>
      <c r="X367" s="2">
        <v>1</v>
      </c>
      <c r="Y367" s="2">
        <v>1</v>
      </c>
      <c r="Z367" s="2">
        <v>1</v>
      </c>
      <c r="AA367" s="2">
        <v>1</v>
      </c>
      <c r="AB367" s="2">
        <v>0.5</v>
      </c>
      <c r="AC367" s="2">
        <v>0.5</v>
      </c>
      <c r="AD367" s="2">
        <v>64</v>
      </c>
      <c r="AE367" s="2">
        <v>5120</v>
      </c>
      <c r="AF367" s="2">
        <v>70</v>
      </c>
      <c r="AG367" s="2">
        <v>345</v>
      </c>
      <c r="AH367" s="2">
        <v>255</v>
      </c>
      <c r="AI367" s="2">
        <v>85</v>
      </c>
      <c r="AJ367" s="1">
        <v>600000</v>
      </c>
      <c r="AK367" s="1">
        <v>0.4</v>
      </c>
      <c r="AL367" s="1">
        <v>35</v>
      </c>
      <c r="AM367" s="2">
        <v>50</v>
      </c>
      <c r="AN367" s="2">
        <f t="shared" si="5"/>
        <v>50</v>
      </c>
      <c r="AO367" s="3">
        <v>366</v>
      </c>
      <c r="AP367" s="3">
        <v>74</v>
      </c>
      <c r="AQ367" s="3">
        <v>55</v>
      </c>
      <c r="AR367" s="3">
        <v>32</v>
      </c>
      <c r="AS367" s="1">
        <v>52.5</v>
      </c>
      <c r="AT367" s="3">
        <v>3</v>
      </c>
      <c r="AU367" s="3" t="s">
        <v>3051</v>
      </c>
    </row>
    <row r="368" spans="1:47" x14ac:dyDescent="0.3">
      <c r="A368" s="1" t="s">
        <v>1047</v>
      </c>
      <c r="B368" s="1" t="s">
        <v>1046</v>
      </c>
      <c r="C368" s="1" t="s">
        <v>62</v>
      </c>
      <c r="D368" s="1" t="s">
        <v>52</v>
      </c>
      <c r="E368" s="1" t="s">
        <v>1045</v>
      </c>
      <c r="F368" t="s">
        <v>3143</v>
      </c>
      <c r="G368" t="s">
        <v>3159</v>
      </c>
      <c r="H368" t="s">
        <v>52</v>
      </c>
      <c r="I368" t="s">
        <v>52</v>
      </c>
      <c r="J368" t="s">
        <v>52</v>
      </c>
      <c r="K368" t="s">
        <v>52</v>
      </c>
      <c r="L368" s="2">
        <v>1</v>
      </c>
      <c r="M368" s="2">
        <v>1</v>
      </c>
      <c r="N368" s="2">
        <v>1</v>
      </c>
      <c r="O368" s="2">
        <v>2</v>
      </c>
      <c r="P368" s="2">
        <v>1</v>
      </c>
      <c r="Q368" s="2">
        <v>1</v>
      </c>
      <c r="R368" s="2">
        <v>0.5</v>
      </c>
      <c r="S368" s="2">
        <v>1</v>
      </c>
      <c r="T368" s="2">
        <v>1</v>
      </c>
      <c r="U368" s="2">
        <v>2</v>
      </c>
      <c r="V368" s="2">
        <v>1</v>
      </c>
      <c r="W368" s="2">
        <v>0.5</v>
      </c>
      <c r="X368" s="2">
        <v>1</v>
      </c>
      <c r="Y368" s="2">
        <v>1</v>
      </c>
      <c r="Z368" s="2">
        <v>1</v>
      </c>
      <c r="AA368" s="2">
        <v>1</v>
      </c>
      <c r="AB368" s="2">
        <v>0.5</v>
      </c>
      <c r="AC368" s="2">
        <v>0.5</v>
      </c>
      <c r="AD368" s="2">
        <v>104</v>
      </c>
      <c r="AE368" s="2">
        <v>5120</v>
      </c>
      <c r="AF368" s="2">
        <v>70</v>
      </c>
      <c r="AG368" s="2">
        <v>485</v>
      </c>
      <c r="AH368" s="2">
        <v>60</v>
      </c>
      <c r="AI368" s="2">
        <v>105</v>
      </c>
      <c r="AJ368" s="1">
        <v>600000</v>
      </c>
      <c r="AK368" s="1">
        <v>1.7</v>
      </c>
      <c r="AL368" s="1">
        <v>55</v>
      </c>
      <c r="AM368" s="2">
        <v>50</v>
      </c>
      <c r="AN368" s="2">
        <f t="shared" si="5"/>
        <v>50</v>
      </c>
      <c r="AO368" s="3">
        <v>367</v>
      </c>
      <c r="AP368" s="3">
        <v>94</v>
      </c>
      <c r="AQ368" s="3">
        <v>75</v>
      </c>
      <c r="AR368" s="3">
        <v>52</v>
      </c>
      <c r="AS368" s="1">
        <v>27</v>
      </c>
      <c r="AT368" s="3">
        <v>3</v>
      </c>
      <c r="AU368" s="3" t="s">
        <v>3051</v>
      </c>
    </row>
    <row r="369" spans="1:47" x14ac:dyDescent="0.3">
      <c r="A369" s="1" t="s">
        <v>1050</v>
      </c>
      <c r="B369" s="1" t="s">
        <v>1049</v>
      </c>
      <c r="C369" s="1" t="s">
        <v>62</v>
      </c>
      <c r="D369" s="1" t="s">
        <v>52</v>
      </c>
      <c r="E369" s="1" t="s">
        <v>1048</v>
      </c>
      <c r="F369" t="s">
        <v>3143</v>
      </c>
      <c r="G369" t="s">
        <v>3071</v>
      </c>
      <c r="H369" t="s">
        <v>52</v>
      </c>
      <c r="I369" t="s">
        <v>52</v>
      </c>
      <c r="J369" t="s">
        <v>52</v>
      </c>
      <c r="K369" t="s">
        <v>52</v>
      </c>
      <c r="L369" s="2">
        <v>1</v>
      </c>
      <c r="M369" s="2">
        <v>1</v>
      </c>
      <c r="N369" s="2">
        <v>1</v>
      </c>
      <c r="O369" s="2">
        <v>2</v>
      </c>
      <c r="P369" s="2">
        <v>1</v>
      </c>
      <c r="Q369" s="2">
        <v>1</v>
      </c>
      <c r="R369" s="2">
        <v>0.5</v>
      </c>
      <c r="S369" s="2">
        <v>1</v>
      </c>
      <c r="T369" s="2">
        <v>1</v>
      </c>
      <c r="U369" s="2">
        <v>2</v>
      </c>
      <c r="V369" s="2">
        <v>1</v>
      </c>
      <c r="W369" s="2">
        <v>0.5</v>
      </c>
      <c r="X369" s="2">
        <v>1</v>
      </c>
      <c r="Y369" s="2">
        <v>1</v>
      </c>
      <c r="Z369" s="2">
        <v>1</v>
      </c>
      <c r="AA369" s="2">
        <v>1</v>
      </c>
      <c r="AB369" s="2">
        <v>0.5</v>
      </c>
      <c r="AC369" s="2">
        <v>0.5</v>
      </c>
      <c r="AD369" s="2">
        <v>84</v>
      </c>
      <c r="AE369" s="2">
        <v>5120</v>
      </c>
      <c r="AF369" s="2">
        <v>70</v>
      </c>
      <c r="AG369" s="2">
        <v>485</v>
      </c>
      <c r="AH369" s="2">
        <v>60</v>
      </c>
      <c r="AI369" s="2">
        <v>105</v>
      </c>
      <c r="AJ369" s="1">
        <v>600000</v>
      </c>
      <c r="AK369" s="1">
        <v>1.8</v>
      </c>
      <c r="AL369" s="1">
        <v>55</v>
      </c>
      <c r="AM369" s="2">
        <v>50</v>
      </c>
      <c r="AN369" s="2">
        <f t="shared" si="5"/>
        <v>50</v>
      </c>
      <c r="AO369" s="3">
        <v>368</v>
      </c>
      <c r="AP369" s="3">
        <v>114</v>
      </c>
      <c r="AQ369" s="3">
        <v>75</v>
      </c>
      <c r="AR369" s="3">
        <v>52</v>
      </c>
      <c r="AS369" s="1">
        <v>22.6</v>
      </c>
      <c r="AT369" s="3">
        <v>3</v>
      </c>
      <c r="AU369" s="3" t="s">
        <v>3051</v>
      </c>
    </row>
    <row r="370" spans="1:47" x14ac:dyDescent="0.3">
      <c r="A370" s="1" t="s">
        <v>1053</v>
      </c>
      <c r="B370" s="1" t="s">
        <v>1052</v>
      </c>
      <c r="C370" s="1" t="s">
        <v>62</v>
      </c>
      <c r="D370" s="1" t="s">
        <v>243</v>
      </c>
      <c r="E370" s="1" t="s">
        <v>1051</v>
      </c>
      <c r="F370" t="s">
        <v>3143</v>
      </c>
      <c r="G370" t="s">
        <v>3132</v>
      </c>
      <c r="H370" t="s">
        <v>3107</v>
      </c>
      <c r="I370" t="s">
        <v>52</v>
      </c>
      <c r="J370" t="s">
        <v>52</v>
      </c>
      <c r="K370" t="s">
        <v>52</v>
      </c>
      <c r="L370" s="2">
        <v>1</v>
      </c>
      <c r="M370" s="2">
        <v>1</v>
      </c>
      <c r="N370" s="2">
        <v>1</v>
      </c>
      <c r="O370" s="2">
        <v>2</v>
      </c>
      <c r="P370" s="2">
        <v>1</v>
      </c>
      <c r="Q370" s="2">
        <v>2</v>
      </c>
      <c r="R370" s="2">
        <v>0.25</v>
      </c>
      <c r="S370" s="2">
        <v>0.5</v>
      </c>
      <c r="T370" s="2">
        <v>1</v>
      </c>
      <c r="U370" s="2">
        <v>4</v>
      </c>
      <c r="V370" s="2">
        <v>2</v>
      </c>
      <c r="W370" s="2">
        <v>0.5</v>
      </c>
      <c r="X370" s="2">
        <v>0.5</v>
      </c>
      <c r="Y370" s="2">
        <v>0.5</v>
      </c>
      <c r="Z370" s="2">
        <v>1</v>
      </c>
      <c r="AA370" s="2">
        <v>1</v>
      </c>
      <c r="AB370" s="2">
        <v>1</v>
      </c>
      <c r="AC370" s="2">
        <v>1</v>
      </c>
      <c r="AD370" s="2">
        <v>90</v>
      </c>
      <c r="AE370" s="2">
        <v>10240</v>
      </c>
      <c r="AF370" s="2">
        <v>70</v>
      </c>
      <c r="AG370" s="2">
        <v>485</v>
      </c>
      <c r="AH370" s="2">
        <v>25</v>
      </c>
      <c r="AI370" s="2">
        <v>130</v>
      </c>
      <c r="AJ370" s="1">
        <v>1250000</v>
      </c>
      <c r="AK370" s="1">
        <v>1</v>
      </c>
      <c r="AL370" s="1">
        <v>100</v>
      </c>
      <c r="AM370" s="2">
        <v>88.1</v>
      </c>
      <c r="AN370" s="2">
        <f t="shared" si="5"/>
        <v>11.900000000000006</v>
      </c>
      <c r="AO370" s="3">
        <v>369</v>
      </c>
      <c r="AP370" s="3">
        <v>45</v>
      </c>
      <c r="AQ370" s="3">
        <v>65</v>
      </c>
      <c r="AR370" s="3">
        <v>55</v>
      </c>
      <c r="AS370" s="1">
        <v>23.4</v>
      </c>
      <c r="AT370" s="3">
        <v>3</v>
      </c>
      <c r="AU370" s="3" t="s">
        <v>3051</v>
      </c>
    </row>
    <row r="371" spans="1:47" x14ac:dyDescent="0.3">
      <c r="A371" s="1" t="s">
        <v>1056</v>
      </c>
      <c r="B371" s="1" t="s">
        <v>1055</v>
      </c>
      <c r="C371" s="1" t="s">
        <v>62</v>
      </c>
      <c r="D371" s="1" t="s">
        <v>52</v>
      </c>
      <c r="E371" s="1" t="s">
        <v>1054</v>
      </c>
      <c r="F371" t="s">
        <v>3143</v>
      </c>
      <c r="G371" t="s">
        <v>3071</v>
      </c>
      <c r="H371" t="s">
        <v>52</v>
      </c>
      <c r="I371" t="s">
        <v>52</v>
      </c>
      <c r="J371" t="s">
        <v>52</v>
      </c>
      <c r="K371" t="s">
        <v>52</v>
      </c>
      <c r="L371" s="2">
        <v>1</v>
      </c>
      <c r="M371" s="2">
        <v>1</v>
      </c>
      <c r="N371" s="2">
        <v>1</v>
      </c>
      <c r="O371" s="2">
        <v>2</v>
      </c>
      <c r="P371" s="2">
        <v>1</v>
      </c>
      <c r="Q371" s="2">
        <v>1</v>
      </c>
      <c r="R371" s="2">
        <v>0.5</v>
      </c>
      <c r="S371" s="2">
        <v>1</v>
      </c>
      <c r="T371" s="2">
        <v>1</v>
      </c>
      <c r="U371" s="2">
        <v>2</v>
      </c>
      <c r="V371" s="2">
        <v>1</v>
      </c>
      <c r="W371" s="2">
        <v>0.5</v>
      </c>
      <c r="X371" s="2">
        <v>1</v>
      </c>
      <c r="Y371" s="2">
        <v>1</v>
      </c>
      <c r="Z371" s="2">
        <v>1</v>
      </c>
      <c r="AA371" s="2">
        <v>1</v>
      </c>
      <c r="AB371" s="2">
        <v>0.5</v>
      </c>
      <c r="AC371" s="2">
        <v>0.5</v>
      </c>
      <c r="AD371" s="2">
        <v>30</v>
      </c>
      <c r="AE371" s="2">
        <v>5120</v>
      </c>
      <c r="AF371" s="2">
        <v>70</v>
      </c>
      <c r="AG371" s="2">
        <v>330</v>
      </c>
      <c r="AH371" s="2">
        <v>225</v>
      </c>
      <c r="AI371" s="2">
        <v>55</v>
      </c>
      <c r="AJ371" s="1">
        <v>800000</v>
      </c>
      <c r="AK371" s="1">
        <v>0.6</v>
      </c>
      <c r="AL371" s="1">
        <v>43</v>
      </c>
      <c r="AM371" s="2">
        <v>24.6</v>
      </c>
      <c r="AN371" s="2">
        <f t="shared" si="5"/>
        <v>75.400000000000006</v>
      </c>
      <c r="AO371" s="3">
        <v>370</v>
      </c>
      <c r="AP371" s="3">
        <v>40</v>
      </c>
      <c r="AQ371" s="3">
        <v>65</v>
      </c>
      <c r="AR371" s="3">
        <v>97</v>
      </c>
      <c r="AS371" s="1">
        <v>8.6999999999999993</v>
      </c>
      <c r="AT371" s="3">
        <v>3</v>
      </c>
      <c r="AU371" s="3" t="s">
        <v>3051</v>
      </c>
    </row>
    <row r="372" spans="1:47" x14ac:dyDescent="0.3">
      <c r="A372" s="1" t="s">
        <v>1059</v>
      </c>
      <c r="B372" s="1" t="s">
        <v>1058</v>
      </c>
      <c r="C372" s="1" t="s">
        <v>443</v>
      </c>
      <c r="D372" s="1" t="s">
        <v>52</v>
      </c>
      <c r="E372" s="1" t="s">
        <v>1057</v>
      </c>
      <c r="F372" t="s">
        <v>3132</v>
      </c>
      <c r="G372" t="s">
        <v>3184</v>
      </c>
      <c r="H372" t="s">
        <v>52</v>
      </c>
      <c r="I372" t="s">
        <v>52</v>
      </c>
      <c r="J372" t="s">
        <v>52</v>
      </c>
      <c r="K372" t="s">
        <v>52</v>
      </c>
      <c r="L372" s="2">
        <v>1</v>
      </c>
      <c r="M372" s="2">
        <v>1</v>
      </c>
      <c r="N372" s="2">
        <v>2</v>
      </c>
      <c r="O372" s="2">
        <v>0.5</v>
      </c>
      <c r="P372" s="2">
        <v>2</v>
      </c>
      <c r="Q372" s="2">
        <v>1</v>
      </c>
      <c r="R372" s="2">
        <v>0.5</v>
      </c>
      <c r="S372" s="2">
        <v>1</v>
      </c>
      <c r="T372" s="2">
        <v>1</v>
      </c>
      <c r="U372" s="2">
        <v>0.5</v>
      </c>
      <c r="V372" s="2">
        <v>1</v>
      </c>
      <c r="W372" s="2">
        <v>2</v>
      </c>
      <c r="X372" s="2">
        <v>1</v>
      </c>
      <c r="Y372" s="2">
        <v>1</v>
      </c>
      <c r="Z372" s="2">
        <v>1</v>
      </c>
      <c r="AA372" s="2">
        <v>1</v>
      </c>
      <c r="AB372" s="2">
        <v>1</v>
      </c>
      <c r="AC372" s="2">
        <v>0.5</v>
      </c>
      <c r="AD372" s="2">
        <v>75</v>
      </c>
      <c r="AE372" s="2">
        <v>10240</v>
      </c>
      <c r="AF372" s="2">
        <v>35</v>
      </c>
      <c r="AG372" s="2">
        <v>300</v>
      </c>
      <c r="AH372" s="2">
        <v>45</v>
      </c>
      <c r="AI372" s="2">
        <v>60</v>
      </c>
      <c r="AJ372" s="1">
        <v>1250000</v>
      </c>
      <c r="AK372" s="1">
        <v>0.6</v>
      </c>
      <c r="AL372" s="1">
        <v>45</v>
      </c>
      <c r="AM372" s="2">
        <v>50</v>
      </c>
      <c r="AN372" s="2">
        <f t="shared" si="5"/>
        <v>50</v>
      </c>
      <c r="AO372" s="3">
        <v>371</v>
      </c>
      <c r="AP372" s="3">
        <v>40</v>
      </c>
      <c r="AQ372" s="3">
        <v>30</v>
      </c>
      <c r="AR372" s="3">
        <v>50</v>
      </c>
      <c r="AS372" s="1">
        <v>42.1</v>
      </c>
      <c r="AT372" s="3">
        <v>3</v>
      </c>
      <c r="AU372" s="3" t="s">
        <v>3051</v>
      </c>
    </row>
    <row r="373" spans="1:47" x14ac:dyDescent="0.3">
      <c r="A373" s="1" t="s">
        <v>1062</v>
      </c>
      <c r="B373" s="1" t="s">
        <v>1061</v>
      </c>
      <c r="C373" s="1" t="s">
        <v>443</v>
      </c>
      <c r="D373" s="1" t="s">
        <v>52</v>
      </c>
      <c r="E373" s="1" t="s">
        <v>1060</v>
      </c>
      <c r="F373" t="s">
        <v>3132</v>
      </c>
      <c r="G373" t="s">
        <v>3187</v>
      </c>
      <c r="H373" t="s">
        <v>52</v>
      </c>
      <c r="I373" t="s">
        <v>52</v>
      </c>
      <c r="J373" t="s">
        <v>52</v>
      </c>
      <c r="K373" t="s">
        <v>52</v>
      </c>
      <c r="L373" s="2">
        <v>1</v>
      </c>
      <c r="M373" s="2">
        <v>1</v>
      </c>
      <c r="N373" s="2">
        <v>2</v>
      </c>
      <c r="O373" s="2">
        <v>0.5</v>
      </c>
      <c r="P373" s="2">
        <v>2</v>
      </c>
      <c r="Q373" s="2">
        <v>1</v>
      </c>
      <c r="R373" s="2">
        <v>0.5</v>
      </c>
      <c r="S373" s="2">
        <v>1</v>
      </c>
      <c r="T373" s="2">
        <v>1</v>
      </c>
      <c r="U373" s="2">
        <v>0.5</v>
      </c>
      <c r="V373" s="2">
        <v>1</v>
      </c>
      <c r="W373" s="2">
        <v>2</v>
      </c>
      <c r="X373" s="2">
        <v>1</v>
      </c>
      <c r="Y373" s="2">
        <v>1</v>
      </c>
      <c r="Z373" s="2">
        <v>1</v>
      </c>
      <c r="AA373" s="2">
        <v>1</v>
      </c>
      <c r="AB373" s="2">
        <v>1</v>
      </c>
      <c r="AC373" s="2">
        <v>0.5</v>
      </c>
      <c r="AD373" s="2">
        <v>95</v>
      </c>
      <c r="AE373" s="2">
        <v>10240</v>
      </c>
      <c r="AF373" s="2">
        <v>35</v>
      </c>
      <c r="AG373" s="2">
        <v>420</v>
      </c>
      <c r="AH373" s="2">
        <v>45</v>
      </c>
      <c r="AI373" s="2">
        <v>100</v>
      </c>
      <c r="AJ373" s="1">
        <v>1250000</v>
      </c>
      <c r="AK373" s="1">
        <v>1.1000000000000001</v>
      </c>
      <c r="AL373" s="1">
        <v>65</v>
      </c>
      <c r="AM373" s="2">
        <v>50</v>
      </c>
      <c r="AN373" s="2">
        <f t="shared" si="5"/>
        <v>50</v>
      </c>
      <c r="AO373" s="3">
        <v>372</v>
      </c>
      <c r="AP373" s="3">
        <v>60</v>
      </c>
      <c r="AQ373" s="3">
        <v>50</v>
      </c>
      <c r="AR373" s="3">
        <v>50</v>
      </c>
      <c r="AS373" s="1">
        <v>110.5</v>
      </c>
      <c r="AT373" s="3">
        <v>3</v>
      </c>
      <c r="AU373" s="3" t="s">
        <v>3051</v>
      </c>
    </row>
    <row r="374" spans="1:47" x14ac:dyDescent="0.3">
      <c r="A374" s="1" t="s">
        <v>1064</v>
      </c>
      <c r="B374" s="1" t="s">
        <v>1063</v>
      </c>
      <c r="C374" s="1" t="s">
        <v>443</v>
      </c>
      <c r="D374" s="1" t="s">
        <v>58</v>
      </c>
      <c r="E374" s="1" t="s">
        <v>357</v>
      </c>
      <c r="F374" t="s">
        <v>3120</v>
      </c>
      <c r="G374" t="s">
        <v>3252</v>
      </c>
      <c r="H374" t="s">
        <v>52</v>
      </c>
      <c r="I374" t="s">
        <v>52</v>
      </c>
      <c r="J374" t="s">
        <v>52</v>
      </c>
      <c r="K374" t="s">
        <v>52</v>
      </c>
      <c r="L374" s="2">
        <v>0.5</v>
      </c>
      <c r="M374" s="2">
        <v>1</v>
      </c>
      <c r="N374" s="2">
        <v>2</v>
      </c>
      <c r="O374" s="2">
        <v>1</v>
      </c>
      <c r="P374" s="2">
        <v>2</v>
      </c>
      <c r="Q374" s="2">
        <v>0.5</v>
      </c>
      <c r="R374" s="2">
        <v>0.5</v>
      </c>
      <c r="S374" s="2">
        <v>1</v>
      </c>
      <c r="T374" s="2">
        <v>1</v>
      </c>
      <c r="U374" s="2">
        <v>0.25</v>
      </c>
      <c r="V374" s="2">
        <v>0</v>
      </c>
      <c r="W374" s="2">
        <v>4</v>
      </c>
      <c r="X374" s="2">
        <v>1</v>
      </c>
      <c r="Y374" s="2">
        <v>1</v>
      </c>
      <c r="Z374" s="2">
        <v>1</v>
      </c>
      <c r="AA374" s="2">
        <v>2</v>
      </c>
      <c r="AB374" s="2">
        <v>1</v>
      </c>
      <c r="AC374" s="2">
        <v>0.5</v>
      </c>
      <c r="AD374" s="2">
        <v>145</v>
      </c>
      <c r="AE374" s="2">
        <v>10240</v>
      </c>
      <c r="AF374" s="2">
        <v>35</v>
      </c>
      <c r="AG374" s="2">
        <v>700</v>
      </c>
      <c r="AH374" s="2">
        <v>45</v>
      </c>
      <c r="AI374" s="2">
        <v>130</v>
      </c>
      <c r="AJ374" s="1">
        <v>1250000</v>
      </c>
      <c r="AK374" s="1">
        <v>1.5</v>
      </c>
      <c r="AL374" s="1">
        <v>95</v>
      </c>
      <c r="AM374" s="2">
        <v>50</v>
      </c>
      <c r="AN374" s="2">
        <f t="shared" si="5"/>
        <v>50</v>
      </c>
      <c r="AO374" s="3">
        <v>373</v>
      </c>
      <c r="AP374" s="3">
        <v>120</v>
      </c>
      <c r="AQ374" s="3">
        <v>90</v>
      </c>
      <c r="AR374" s="3">
        <v>120</v>
      </c>
      <c r="AS374" s="1">
        <v>102.6</v>
      </c>
      <c r="AT374" s="3">
        <v>3</v>
      </c>
      <c r="AU374" s="3" t="s">
        <v>3051</v>
      </c>
    </row>
    <row r="375" spans="1:47" x14ac:dyDescent="0.3">
      <c r="A375" s="1" t="s">
        <v>1067</v>
      </c>
      <c r="B375" s="1" t="s">
        <v>1066</v>
      </c>
      <c r="C375" s="1" t="s">
        <v>263</v>
      </c>
      <c r="D375" s="1" t="s">
        <v>216</v>
      </c>
      <c r="E375" s="1" t="s">
        <v>1065</v>
      </c>
      <c r="F375" t="s">
        <v>3090</v>
      </c>
      <c r="G375" t="s">
        <v>3259</v>
      </c>
      <c r="H375" t="s">
        <v>52</v>
      </c>
      <c r="I375" t="s">
        <v>52</v>
      </c>
      <c r="J375" t="s">
        <v>52</v>
      </c>
      <c r="K375" t="s">
        <v>52</v>
      </c>
      <c r="L375" s="2">
        <v>1</v>
      </c>
      <c r="M375" s="2">
        <v>2</v>
      </c>
      <c r="N375" s="2">
        <v>0.5</v>
      </c>
      <c r="O375" s="2">
        <v>1</v>
      </c>
      <c r="P375" s="2">
        <v>0.5</v>
      </c>
      <c r="Q375" s="2">
        <v>1</v>
      </c>
      <c r="R375" s="2">
        <v>2</v>
      </c>
      <c r="S375" s="2">
        <v>0.5</v>
      </c>
      <c r="T375" s="2">
        <v>2</v>
      </c>
      <c r="U375" s="2">
        <v>0.5</v>
      </c>
      <c r="V375" s="2">
        <v>2</v>
      </c>
      <c r="W375" s="2">
        <v>0.5</v>
      </c>
      <c r="X375" s="2">
        <v>0.5</v>
      </c>
      <c r="Y375" s="2">
        <v>0</v>
      </c>
      <c r="Z375" s="2">
        <v>0.25</v>
      </c>
      <c r="AA375" s="2">
        <v>0.5</v>
      </c>
      <c r="AB375" s="2">
        <v>0.5</v>
      </c>
      <c r="AC375" s="2">
        <v>1</v>
      </c>
      <c r="AD375" s="2">
        <v>55</v>
      </c>
      <c r="AE375" s="2">
        <v>10240</v>
      </c>
      <c r="AF375" s="2">
        <v>35</v>
      </c>
      <c r="AG375" s="2">
        <v>300</v>
      </c>
      <c r="AH375" s="2">
        <v>3</v>
      </c>
      <c r="AI375" s="2">
        <v>80</v>
      </c>
      <c r="AJ375" s="1">
        <v>1250000</v>
      </c>
      <c r="AK375" s="1">
        <v>0.6</v>
      </c>
      <c r="AL375" s="1">
        <v>40</v>
      </c>
      <c r="AM375" s="2" t="s">
        <v>52</v>
      </c>
      <c r="AN375" s="2" t="str">
        <f t="shared" si="5"/>
        <v/>
      </c>
      <c r="AO375" s="3">
        <v>374</v>
      </c>
      <c r="AP375" s="3">
        <v>35</v>
      </c>
      <c r="AQ375" s="3">
        <v>60</v>
      </c>
      <c r="AR375" s="3">
        <v>30</v>
      </c>
      <c r="AS375" s="1">
        <v>95.2</v>
      </c>
      <c r="AT375" s="3">
        <v>3</v>
      </c>
      <c r="AU375" s="3" t="s">
        <v>3051</v>
      </c>
    </row>
    <row r="376" spans="1:47" x14ac:dyDescent="0.3">
      <c r="A376" s="1" t="s">
        <v>1070</v>
      </c>
      <c r="B376" s="1" t="s">
        <v>1069</v>
      </c>
      <c r="C376" s="1" t="s">
        <v>263</v>
      </c>
      <c r="D376" s="1" t="s">
        <v>216</v>
      </c>
      <c r="E376" s="1" t="s">
        <v>1068</v>
      </c>
      <c r="F376" t="s">
        <v>3090</v>
      </c>
      <c r="G376" t="s">
        <v>3259</v>
      </c>
      <c r="H376" t="s">
        <v>52</v>
      </c>
      <c r="I376" t="s">
        <v>52</v>
      </c>
      <c r="J376" t="s">
        <v>52</v>
      </c>
      <c r="K376" t="s">
        <v>52</v>
      </c>
      <c r="L376" s="2">
        <v>1</v>
      </c>
      <c r="M376" s="2">
        <v>2</v>
      </c>
      <c r="N376" s="2">
        <v>0.5</v>
      </c>
      <c r="O376" s="2">
        <v>1</v>
      </c>
      <c r="P376" s="2">
        <v>0.5</v>
      </c>
      <c r="Q376" s="2">
        <v>1</v>
      </c>
      <c r="R376" s="2">
        <v>2</v>
      </c>
      <c r="S376" s="2">
        <v>0.5</v>
      </c>
      <c r="T376" s="2">
        <v>2</v>
      </c>
      <c r="U376" s="2">
        <v>0.5</v>
      </c>
      <c r="V376" s="2">
        <v>2</v>
      </c>
      <c r="W376" s="2">
        <v>0.5</v>
      </c>
      <c r="X376" s="2">
        <v>0.5</v>
      </c>
      <c r="Y376" s="2">
        <v>0</v>
      </c>
      <c r="Z376" s="2">
        <v>0.25</v>
      </c>
      <c r="AA376" s="2">
        <v>0.5</v>
      </c>
      <c r="AB376" s="2">
        <v>0.5</v>
      </c>
      <c r="AC376" s="2">
        <v>1</v>
      </c>
      <c r="AD376" s="2">
        <v>75</v>
      </c>
      <c r="AE376" s="2">
        <v>10240</v>
      </c>
      <c r="AF376" s="2">
        <v>35</v>
      </c>
      <c r="AG376" s="2">
        <v>420</v>
      </c>
      <c r="AH376" s="2">
        <v>3</v>
      </c>
      <c r="AI376" s="2">
        <v>100</v>
      </c>
      <c r="AJ376" s="1">
        <v>1250000</v>
      </c>
      <c r="AK376" s="1">
        <v>1.2</v>
      </c>
      <c r="AL376" s="1">
        <v>60</v>
      </c>
      <c r="AM376" s="2" t="s">
        <v>52</v>
      </c>
      <c r="AN376" s="2" t="str">
        <f t="shared" si="5"/>
        <v/>
      </c>
      <c r="AO376" s="3">
        <v>375</v>
      </c>
      <c r="AP376" s="3">
        <v>55</v>
      </c>
      <c r="AQ376" s="3">
        <v>80</v>
      </c>
      <c r="AR376" s="3">
        <v>50</v>
      </c>
      <c r="AS376" s="1">
        <v>202.5</v>
      </c>
      <c r="AT376" s="3">
        <v>3</v>
      </c>
      <c r="AU376" s="3" t="s">
        <v>3051</v>
      </c>
    </row>
    <row r="377" spans="1:47" x14ac:dyDescent="0.3">
      <c r="A377" s="1" t="s">
        <v>1073</v>
      </c>
      <c r="B377" s="1" t="s">
        <v>1072</v>
      </c>
      <c r="C377" s="1" t="s">
        <v>263</v>
      </c>
      <c r="D377" s="1" t="s">
        <v>216</v>
      </c>
      <c r="E377" s="1" t="s">
        <v>1071</v>
      </c>
      <c r="F377" t="s">
        <v>3090</v>
      </c>
      <c r="G377" t="s">
        <v>3259</v>
      </c>
      <c r="H377" t="s">
        <v>52</v>
      </c>
      <c r="I377" t="s">
        <v>52</v>
      </c>
      <c r="J377" t="s">
        <v>52</v>
      </c>
      <c r="K377" t="s">
        <v>52</v>
      </c>
      <c r="L377" s="2">
        <v>1</v>
      </c>
      <c r="M377" s="2">
        <v>2</v>
      </c>
      <c r="N377" s="2">
        <v>0.5</v>
      </c>
      <c r="O377" s="2">
        <v>1</v>
      </c>
      <c r="P377" s="2">
        <v>0.5</v>
      </c>
      <c r="Q377" s="2">
        <v>1</v>
      </c>
      <c r="R377" s="2">
        <v>2</v>
      </c>
      <c r="S377" s="2">
        <v>0.5</v>
      </c>
      <c r="T377" s="2">
        <v>2</v>
      </c>
      <c r="U377" s="2">
        <v>0.5</v>
      </c>
      <c r="V377" s="2">
        <v>2</v>
      </c>
      <c r="W377" s="2">
        <v>0.5</v>
      </c>
      <c r="X377" s="2">
        <v>0.5</v>
      </c>
      <c r="Y377" s="2">
        <v>0</v>
      </c>
      <c r="Z377" s="2">
        <v>0.25</v>
      </c>
      <c r="AA377" s="2">
        <v>0.5</v>
      </c>
      <c r="AB377" s="2">
        <v>0.5</v>
      </c>
      <c r="AC377" s="2">
        <v>1</v>
      </c>
      <c r="AD377" s="2">
        <v>145</v>
      </c>
      <c r="AE377" s="2">
        <v>10240</v>
      </c>
      <c r="AF377" s="2">
        <v>35</v>
      </c>
      <c r="AG377" s="2">
        <v>700</v>
      </c>
      <c r="AH377" s="2">
        <v>3</v>
      </c>
      <c r="AI377" s="2">
        <v>150</v>
      </c>
      <c r="AJ377" s="1">
        <v>1250000</v>
      </c>
      <c r="AK377" s="1">
        <v>1.6</v>
      </c>
      <c r="AL377" s="1">
        <v>80</v>
      </c>
      <c r="AM377" s="2" t="s">
        <v>52</v>
      </c>
      <c r="AN377" s="2" t="str">
        <f t="shared" si="5"/>
        <v/>
      </c>
      <c r="AO377" s="3">
        <v>376</v>
      </c>
      <c r="AP377" s="3">
        <v>105</v>
      </c>
      <c r="AQ377" s="3">
        <v>110</v>
      </c>
      <c r="AR377" s="3">
        <v>110</v>
      </c>
      <c r="AS377" s="1">
        <v>550</v>
      </c>
      <c r="AT377" s="3">
        <v>3</v>
      </c>
      <c r="AU377" s="3" t="s">
        <v>3051</v>
      </c>
    </row>
    <row r="378" spans="1:47" x14ac:dyDescent="0.3">
      <c r="A378" s="1" t="s">
        <v>1076</v>
      </c>
      <c r="B378" s="1" t="s">
        <v>1075</v>
      </c>
      <c r="C378" s="1" t="s">
        <v>243</v>
      </c>
      <c r="D378" s="1" t="s">
        <v>52</v>
      </c>
      <c r="E378" s="1" t="s">
        <v>1074</v>
      </c>
      <c r="F378" t="s">
        <v>3090</v>
      </c>
      <c r="G378" t="s">
        <v>3107</v>
      </c>
      <c r="H378" t="s">
        <v>52</v>
      </c>
      <c r="I378" t="s">
        <v>52</v>
      </c>
      <c r="J378" t="s">
        <v>52</v>
      </c>
      <c r="K378" t="s">
        <v>52</v>
      </c>
      <c r="L378" s="2">
        <v>1</v>
      </c>
      <c r="M378" s="2">
        <v>1</v>
      </c>
      <c r="N378" s="2">
        <v>1</v>
      </c>
      <c r="O378" s="2">
        <v>1</v>
      </c>
      <c r="P378" s="2">
        <v>1</v>
      </c>
      <c r="Q378" s="2">
        <v>2</v>
      </c>
      <c r="R378" s="2">
        <v>0.5</v>
      </c>
      <c r="S378" s="2">
        <v>0.5</v>
      </c>
      <c r="T378" s="2">
        <v>1</v>
      </c>
      <c r="U378" s="2">
        <v>2</v>
      </c>
      <c r="V378" s="2">
        <v>2</v>
      </c>
      <c r="W378" s="2">
        <v>1</v>
      </c>
      <c r="X378" s="2">
        <v>0.5</v>
      </c>
      <c r="Y378" s="2">
        <v>0.5</v>
      </c>
      <c r="Z378" s="2">
        <v>1</v>
      </c>
      <c r="AA378" s="2">
        <v>1</v>
      </c>
      <c r="AB378" s="2">
        <v>2</v>
      </c>
      <c r="AC378" s="2">
        <v>2</v>
      </c>
      <c r="AD378" s="2">
        <v>100</v>
      </c>
      <c r="AE378" s="2">
        <v>20480</v>
      </c>
      <c r="AF378" s="2">
        <v>35</v>
      </c>
      <c r="AG378" s="2">
        <v>580</v>
      </c>
      <c r="AH378" s="2">
        <v>3</v>
      </c>
      <c r="AI378" s="2">
        <v>200</v>
      </c>
      <c r="AJ378" s="1">
        <v>1250000</v>
      </c>
      <c r="AK378" s="1">
        <v>1.7</v>
      </c>
      <c r="AL378" s="1">
        <v>80</v>
      </c>
      <c r="AM378" s="2" t="s">
        <v>52</v>
      </c>
      <c r="AN378" s="2" t="str">
        <f t="shared" si="5"/>
        <v/>
      </c>
      <c r="AO378" s="3">
        <v>377</v>
      </c>
      <c r="AP378" s="3">
        <v>50</v>
      </c>
      <c r="AQ378" s="3">
        <v>100</v>
      </c>
      <c r="AR378" s="3">
        <v>50</v>
      </c>
      <c r="AS378" s="1">
        <v>230</v>
      </c>
      <c r="AT378" s="3">
        <v>3</v>
      </c>
      <c r="AU378" s="3" t="s">
        <v>3052</v>
      </c>
    </row>
    <row r="379" spans="1:47" x14ac:dyDescent="0.3">
      <c r="A379" s="1" t="s">
        <v>1079</v>
      </c>
      <c r="B379" s="1" t="s">
        <v>1078</v>
      </c>
      <c r="C379" s="1" t="s">
        <v>121</v>
      </c>
      <c r="D379" s="1" t="s">
        <v>52</v>
      </c>
      <c r="E379" s="1" t="s">
        <v>1077</v>
      </c>
      <c r="F379" t="s">
        <v>3090</v>
      </c>
      <c r="G379" t="s">
        <v>3188</v>
      </c>
      <c r="H379" t="s">
        <v>52</v>
      </c>
      <c r="I379" t="s">
        <v>52</v>
      </c>
      <c r="J379" t="s">
        <v>52</v>
      </c>
      <c r="K379" t="s">
        <v>52</v>
      </c>
      <c r="L379" s="2">
        <v>1</v>
      </c>
      <c r="M379" s="2">
        <v>1</v>
      </c>
      <c r="N379" s="2">
        <v>1</v>
      </c>
      <c r="O379" s="2">
        <v>1</v>
      </c>
      <c r="P379" s="2">
        <v>1</v>
      </c>
      <c r="Q379" s="2">
        <v>2</v>
      </c>
      <c r="R379" s="2">
        <v>2</v>
      </c>
      <c r="S379" s="2">
        <v>1</v>
      </c>
      <c r="T379" s="2">
        <v>1</v>
      </c>
      <c r="U379" s="2">
        <v>1</v>
      </c>
      <c r="V379" s="2">
        <v>1</v>
      </c>
      <c r="W379" s="2">
        <v>0.5</v>
      </c>
      <c r="X379" s="2">
        <v>1</v>
      </c>
      <c r="Y379" s="2">
        <v>1</v>
      </c>
      <c r="Z379" s="2">
        <v>1</v>
      </c>
      <c r="AA379" s="2">
        <v>2</v>
      </c>
      <c r="AB379" s="2">
        <v>2</v>
      </c>
      <c r="AC379" s="2">
        <v>1</v>
      </c>
      <c r="AD379" s="2">
        <v>50</v>
      </c>
      <c r="AE379" s="2">
        <v>20480</v>
      </c>
      <c r="AF379" s="2">
        <v>35</v>
      </c>
      <c r="AG379" s="2">
        <v>580</v>
      </c>
      <c r="AH379" s="2">
        <v>3</v>
      </c>
      <c r="AI379" s="2">
        <v>100</v>
      </c>
      <c r="AJ379" s="1">
        <v>1250000</v>
      </c>
      <c r="AK379" s="1">
        <v>1.8</v>
      </c>
      <c r="AL379" s="1">
        <v>80</v>
      </c>
      <c r="AM379" s="2" t="s">
        <v>52</v>
      </c>
      <c r="AN379" s="2" t="str">
        <f t="shared" si="5"/>
        <v/>
      </c>
      <c r="AO379" s="3">
        <v>378</v>
      </c>
      <c r="AP379" s="3">
        <v>100</v>
      </c>
      <c r="AQ379" s="3">
        <v>200</v>
      </c>
      <c r="AR379" s="3">
        <v>50</v>
      </c>
      <c r="AS379" s="1">
        <v>175</v>
      </c>
      <c r="AT379" s="3">
        <v>3</v>
      </c>
      <c r="AU379" s="3" t="s">
        <v>3052</v>
      </c>
    </row>
    <row r="380" spans="1:47" x14ac:dyDescent="0.3">
      <c r="A380" s="1" t="s">
        <v>1082</v>
      </c>
      <c r="B380" s="1" t="s">
        <v>1081</v>
      </c>
      <c r="C380" s="1" t="s">
        <v>263</v>
      </c>
      <c r="D380" s="1" t="s">
        <v>52</v>
      </c>
      <c r="E380" s="1" t="s">
        <v>1080</v>
      </c>
      <c r="F380" t="s">
        <v>3090</v>
      </c>
      <c r="G380" t="s">
        <v>3259</v>
      </c>
      <c r="H380" t="s">
        <v>52</v>
      </c>
      <c r="I380" t="s">
        <v>52</v>
      </c>
      <c r="J380" t="s">
        <v>52</v>
      </c>
      <c r="K380" t="s">
        <v>52</v>
      </c>
      <c r="L380" s="2">
        <v>0.5</v>
      </c>
      <c r="M380" s="2">
        <v>1</v>
      </c>
      <c r="N380" s="2">
        <v>0.5</v>
      </c>
      <c r="O380" s="2">
        <v>1</v>
      </c>
      <c r="P380" s="2">
        <v>0.5</v>
      </c>
      <c r="Q380" s="2">
        <v>2</v>
      </c>
      <c r="R380" s="2">
        <v>2</v>
      </c>
      <c r="S380" s="2">
        <v>0.5</v>
      </c>
      <c r="T380" s="2">
        <v>1</v>
      </c>
      <c r="U380" s="2">
        <v>0.5</v>
      </c>
      <c r="V380" s="2">
        <v>2</v>
      </c>
      <c r="W380" s="2">
        <v>0.5</v>
      </c>
      <c r="X380" s="2">
        <v>0.5</v>
      </c>
      <c r="Y380" s="2">
        <v>0</v>
      </c>
      <c r="Z380" s="2">
        <v>0.5</v>
      </c>
      <c r="AA380" s="2">
        <v>0.5</v>
      </c>
      <c r="AB380" s="2">
        <v>0.5</v>
      </c>
      <c r="AC380" s="2">
        <v>1</v>
      </c>
      <c r="AD380" s="2">
        <v>75</v>
      </c>
      <c r="AE380" s="2">
        <v>20480</v>
      </c>
      <c r="AF380" s="2">
        <v>35</v>
      </c>
      <c r="AG380" s="2">
        <v>580</v>
      </c>
      <c r="AH380" s="2">
        <v>3</v>
      </c>
      <c r="AI380" s="2">
        <v>150</v>
      </c>
      <c r="AJ380" s="1">
        <v>1250000</v>
      </c>
      <c r="AK380" s="1">
        <v>1.9</v>
      </c>
      <c r="AL380" s="1">
        <v>80</v>
      </c>
      <c r="AM380" s="2" t="s">
        <v>52</v>
      </c>
      <c r="AN380" s="2" t="str">
        <f t="shared" si="5"/>
        <v/>
      </c>
      <c r="AO380" s="3">
        <v>379</v>
      </c>
      <c r="AP380" s="3">
        <v>75</v>
      </c>
      <c r="AQ380" s="3">
        <v>150</v>
      </c>
      <c r="AR380" s="3">
        <v>50</v>
      </c>
      <c r="AS380" s="1">
        <v>205</v>
      </c>
      <c r="AT380" s="3">
        <v>3</v>
      </c>
      <c r="AU380" s="3" t="s">
        <v>3052</v>
      </c>
    </row>
    <row r="381" spans="1:47" x14ac:dyDescent="0.3">
      <c r="A381" s="1" t="s">
        <v>1085</v>
      </c>
      <c r="B381" s="1" t="s">
        <v>1084</v>
      </c>
      <c r="C381" s="1" t="s">
        <v>443</v>
      </c>
      <c r="D381" s="1" t="s">
        <v>216</v>
      </c>
      <c r="E381" s="1" t="s">
        <v>1083</v>
      </c>
      <c r="F381" t="s">
        <v>3055</v>
      </c>
      <c r="G381" t="s">
        <v>52</v>
      </c>
      <c r="H381" t="s">
        <v>52</v>
      </c>
      <c r="I381" t="s">
        <v>52</v>
      </c>
      <c r="J381" t="s">
        <v>52</v>
      </c>
      <c r="K381" t="s">
        <v>52</v>
      </c>
      <c r="L381" s="2">
        <v>2</v>
      </c>
      <c r="M381" s="2">
        <v>2</v>
      </c>
      <c r="N381" s="2">
        <v>2</v>
      </c>
      <c r="O381" s="2">
        <v>0.5</v>
      </c>
      <c r="P381" s="2">
        <v>2</v>
      </c>
      <c r="Q381" s="2">
        <v>0.5</v>
      </c>
      <c r="R381" s="2">
        <v>0.5</v>
      </c>
      <c r="S381" s="2">
        <v>1</v>
      </c>
      <c r="T381" s="2">
        <v>2</v>
      </c>
      <c r="U381" s="2">
        <v>0.5</v>
      </c>
      <c r="V381" s="2">
        <v>1</v>
      </c>
      <c r="W381" s="2">
        <v>2</v>
      </c>
      <c r="X381" s="2">
        <v>1</v>
      </c>
      <c r="Y381" s="2">
        <v>1</v>
      </c>
      <c r="Z381" s="2">
        <v>0.5</v>
      </c>
      <c r="AA381" s="2">
        <v>1</v>
      </c>
      <c r="AB381" s="2">
        <v>1</v>
      </c>
      <c r="AC381" s="2">
        <v>0.5</v>
      </c>
      <c r="AD381" s="2">
        <v>100</v>
      </c>
      <c r="AE381" s="2">
        <v>30720</v>
      </c>
      <c r="AF381" s="2">
        <v>90</v>
      </c>
      <c r="AG381" s="2">
        <v>700</v>
      </c>
      <c r="AH381" s="2">
        <v>3</v>
      </c>
      <c r="AI381" s="2">
        <v>120</v>
      </c>
      <c r="AJ381" s="1">
        <v>1250000</v>
      </c>
      <c r="AK381" s="1">
        <v>1.4</v>
      </c>
      <c r="AL381" s="1">
        <v>80</v>
      </c>
      <c r="AM381" s="2">
        <v>0</v>
      </c>
      <c r="AN381" s="2">
        <f t="shared" si="5"/>
        <v>100</v>
      </c>
      <c r="AO381" s="3">
        <v>380</v>
      </c>
      <c r="AP381" s="3">
        <v>140</v>
      </c>
      <c r="AQ381" s="3">
        <v>150</v>
      </c>
      <c r="AR381" s="3">
        <v>110</v>
      </c>
      <c r="AS381" s="1">
        <v>40</v>
      </c>
      <c r="AT381" s="3">
        <v>3</v>
      </c>
      <c r="AU381" s="3" t="s">
        <v>3052</v>
      </c>
    </row>
    <row r="382" spans="1:47" x14ac:dyDescent="0.3">
      <c r="A382" s="1" t="s">
        <v>1087</v>
      </c>
      <c r="B382" s="1" t="s">
        <v>1086</v>
      </c>
      <c r="C382" s="1" t="s">
        <v>443</v>
      </c>
      <c r="D382" s="1" t="s">
        <v>216</v>
      </c>
      <c r="E382" s="1" t="s">
        <v>1083</v>
      </c>
      <c r="F382" t="s">
        <v>3055</v>
      </c>
      <c r="G382" t="s">
        <v>52</v>
      </c>
      <c r="H382" t="s">
        <v>52</v>
      </c>
      <c r="I382" t="s">
        <v>52</v>
      </c>
      <c r="J382" t="s">
        <v>52</v>
      </c>
      <c r="K382" t="s">
        <v>52</v>
      </c>
      <c r="L382" s="2">
        <v>2</v>
      </c>
      <c r="M382" s="2">
        <v>2</v>
      </c>
      <c r="N382" s="2">
        <v>2</v>
      </c>
      <c r="O382" s="2">
        <v>0.5</v>
      </c>
      <c r="P382" s="2">
        <v>2</v>
      </c>
      <c r="Q382" s="2">
        <v>0.5</v>
      </c>
      <c r="R382" s="2">
        <v>0.5</v>
      </c>
      <c r="S382" s="2">
        <v>1</v>
      </c>
      <c r="T382" s="2">
        <v>2</v>
      </c>
      <c r="U382" s="2">
        <v>0.5</v>
      </c>
      <c r="V382" s="2">
        <v>1</v>
      </c>
      <c r="W382" s="2">
        <v>2</v>
      </c>
      <c r="X382" s="2">
        <v>1</v>
      </c>
      <c r="Y382" s="2">
        <v>1</v>
      </c>
      <c r="Z382" s="2">
        <v>0.5</v>
      </c>
      <c r="AA382" s="2">
        <v>1</v>
      </c>
      <c r="AB382" s="2">
        <v>1</v>
      </c>
      <c r="AC382" s="2">
        <v>0.5</v>
      </c>
      <c r="AD382" s="2">
        <v>130</v>
      </c>
      <c r="AE382" s="2">
        <v>30720</v>
      </c>
      <c r="AF382" s="2">
        <v>90</v>
      </c>
      <c r="AG382" s="2">
        <v>700</v>
      </c>
      <c r="AH382" s="2">
        <v>3</v>
      </c>
      <c r="AI382" s="2">
        <v>100</v>
      </c>
      <c r="AJ382" s="1">
        <v>1250000</v>
      </c>
      <c r="AK382" s="1">
        <v>2</v>
      </c>
      <c r="AL382" s="1">
        <v>80</v>
      </c>
      <c r="AM382" s="2">
        <v>100</v>
      </c>
      <c r="AN382" s="2">
        <f t="shared" si="5"/>
        <v>0</v>
      </c>
      <c r="AO382" s="3">
        <v>381</v>
      </c>
      <c r="AP382" s="3">
        <v>160</v>
      </c>
      <c r="AQ382" s="3">
        <v>120</v>
      </c>
      <c r="AR382" s="3">
        <v>110</v>
      </c>
      <c r="AS382" s="1">
        <v>60</v>
      </c>
      <c r="AT382" s="3">
        <v>3</v>
      </c>
      <c r="AU382" s="3" t="s">
        <v>3052</v>
      </c>
    </row>
    <row r="383" spans="1:47" x14ac:dyDescent="0.3">
      <c r="A383" s="1" t="s">
        <v>1090</v>
      </c>
      <c r="B383" s="1" t="s">
        <v>1089</v>
      </c>
      <c r="C383" s="1" t="s">
        <v>62</v>
      </c>
      <c r="D383" s="1" t="s">
        <v>52</v>
      </c>
      <c r="E383" s="1" t="s">
        <v>1088</v>
      </c>
      <c r="F383" t="s">
        <v>3063</v>
      </c>
      <c r="G383" t="s">
        <v>52</v>
      </c>
      <c r="H383" t="s">
        <v>52</v>
      </c>
      <c r="I383" t="s">
        <v>52</v>
      </c>
      <c r="J383" t="s">
        <v>52</v>
      </c>
      <c r="K383" t="s">
        <v>52</v>
      </c>
      <c r="L383" s="2">
        <v>1</v>
      </c>
      <c r="M383" s="2">
        <v>1</v>
      </c>
      <c r="N383" s="2">
        <v>1</v>
      </c>
      <c r="O383" s="2">
        <v>2</v>
      </c>
      <c r="P383" s="2">
        <v>1</v>
      </c>
      <c r="Q383" s="2">
        <v>1</v>
      </c>
      <c r="R383" s="2">
        <v>0.5</v>
      </c>
      <c r="S383" s="2">
        <v>1</v>
      </c>
      <c r="T383" s="2">
        <v>1</v>
      </c>
      <c r="U383" s="2">
        <v>2</v>
      </c>
      <c r="V383" s="2">
        <v>1</v>
      </c>
      <c r="W383" s="2">
        <v>0.5</v>
      </c>
      <c r="X383" s="2">
        <v>1</v>
      </c>
      <c r="Y383" s="2">
        <v>1</v>
      </c>
      <c r="Z383" s="2">
        <v>1</v>
      </c>
      <c r="AA383" s="2">
        <v>1</v>
      </c>
      <c r="AB383" s="2">
        <v>0.5</v>
      </c>
      <c r="AC383" s="2">
        <v>0.5</v>
      </c>
      <c r="AD383" s="2">
        <v>150</v>
      </c>
      <c r="AE383" s="2">
        <v>30720</v>
      </c>
      <c r="AF383" s="2">
        <v>0</v>
      </c>
      <c r="AG383" s="2">
        <v>770</v>
      </c>
      <c r="AH383" s="2">
        <v>3</v>
      </c>
      <c r="AI383" s="2">
        <v>90</v>
      </c>
      <c r="AJ383" s="1">
        <v>1250000</v>
      </c>
      <c r="AK383" s="1">
        <v>4.5</v>
      </c>
      <c r="AL383" s="1">
        <v>100</v>
      </c>
      <c r="AM383" s="2" t="s">
        <v>52</v>
      </c>
      <c r="AN383" s="2" t="str">
        <f t="shared" si="5"/>
        <v/>
      </c>
      <c r="AO383" s="3">
        <v>382</v>
      </c>
      <c r="AP383" s="3">
        <v>180</v>
      </c>
      <c r="AQ383" s="3">
        <v>160</v>
      </c>
      <c r="AR383" s="3">
        <v>90</v>
      </c>
      <c r="AS383" s="1">
        <v>352</v>
      </c>
      <c r="AT383" s="3">
        <v>3</v>
      </c>
      <c r="AU383" s="3" t="s">
        <v>3052</v>
      </c>
    </row>
    <row r="384" spans="1:47" x14ac:dyDescent="0.3">
      <c r="A384" s="1" t="s">
        <v>1093</v>
      </c>
      <c r="B384" s="1" t="s">
        <v>1092</v>
      </c>
      <c r="C384" s="1" t="s">
        <v>120</v>
      </c>
      <c r="D384" s="1" t="s">
        <v>52</v>
      </c>
      <c r="E384" s="1" t="s">
        <v>1091</v>
      </c>
      <c r="F384" t="s">
        <v>3064</v>
      </c>
      <c r="G384" t="s">
        <v>52</v>
      </c>
      <c r="H384" t="s">
        <v>52</v>
      </c>
      <c r="I384" t="s">
        <v>52</v>
      </c>
      <c r="J384" t="s">
        <v>52</v>
      </c>
      <c r="K384" t="s">
        <v>52</v>
      </c>
      <c r="L384" s="2">
        <v>1</v>
      </c>
      <c r="M384" s="2">
        <v>1</v>
      </c>
      <c r="N384" s="2">
        <v>1</v>
      </c>
      <c r="O384" s="2">
        <v>0</v>
      </c>
      <c r="P384" s="2">
        <v>1</v>
      </c>
      <c r="Q384" s="2">
        <v>1</v>
      </c>
      <c r="R384" s="2">
        <v>1</v>
      </c>
      <c r="S384" s="2">
        <v>1</v>
      </c>
      <c r="T384" s="2">
        <v>1</v>
      </c>
      <c r="U384" s="2">
        <v>2</v>
      </c>
      <c r="V384" s="2">
        <v>1</v>
      </c>
      <c r="W384" s="2">
        <v>2</v>
      </c>
      <c r="X384" s="2">
        <v>1</v>
      </c>
      <c r="Y384" s="2">
        <v>0.5</v>
      </c>
      <c r="Z384" s="2">
        <v>1</v>
      </c>
      <c r="AA384" s="2">
        <v>0.5</v>
      </c>
      <c r="AB384" s="2">
        <v>1</v>
      </c>
      <c r="AC384" s="2">
        <v>2</v>
      </c>
      <c r="AD384" s="2">
        <v>180</v>
      </c>
      <c r="AE384" s="2">
        <v>30720</v>
      </c>
      <c r="AF384" s="2">
        <v>0</v>
      </c>
      <c r="AG384" s="2">
        <v>770</v>
      </c>
      <c r="AH384" s="2">
        <v>3</v>
      </c>
      <c r="AI384" s="2">
        <v>160</v>
      </c>
      <c r="AJ384" s="1">
        <v>1250000</v>
      </c>
      <c r="AK384" s="1">
        <v>3.5</v>
      </c>
      <c r="AL384" s="1">
        <v>100</v>
      </c>
      <c r="AM384" s="2" t="s">
        <v>52</v>
      </c>
      <c r="AN384" s="2" t="str">
        <f t="shared" si="5"/>
        <v/>
      </c>
      <c r="AO384" s="3">
        <v>383</v>
      </c>
      <c r="AP384" s="3">
        <v>150</v>
      </c>
      <c r="AQ384" s="3">
        <v>90</v>
      </c>
      <c r="AR384" s="3">
        <v>90</v>
      </c>
      <c r="AS384" s="1">
        <v>950</v>
      </c>
      <c r="AT384" s="3">
        <v>3</v>
      </c>
      <c r="AU384" s="3" t="s">
        <v>3052</v>
      </c>
    </row>
    <row r="385" spans="1:47" x14ac:dyDescent="0.3">
      <c r="A385" s="1" t="s">
        <v>1096</v>
      </c>
      <c r="B385" s="1" t="s">
        <v>1095</v>
      </c>
      <c r="C385" s="1" t="s">
        <v>443</v>
      </c>
      <c r="D385" s="1" t="s">
        <v>58</v>
      </c>
      <c r="E385" s="1" t="s">
        <v>1094</v>
      </c>
      <c r="F385" t="s">
        <v>3065</v>
      </c>
      <c r="G385" t="s">
        <v>52</v>
      </c>
      <c r="H385" t="s">
        <v>52</v>
      </c>
      <c r="I385" t="s">
        <v>52</v>
      </c>
      <c r="J385" t="s">
        <v>52</v>
      </c>
      <c r="K385" t="s">
        <v>52</v>
      </c>
      <c r="L385" s="2">
        <v>0.5</v>
      </c>
      <c r="M385" s="2">
        <v>1</v>
      </c>
      <c r="N385" s="2">
        <v>2</v>
      </c>
      <c r="O385" s="2">
        <v>1</v>
      </c>
      <c r="P385" s="2">
        <v>2</v>
      </c>
      <c r="Q385" s="2">
        <v>0.5</v>
      </c>
      <c r="R385" s="2">
        <v>0.5</v>
      </c>
      <c r="S385" s="2">
        <v>1</v>
      </c>
      <c r="T385" s="2">
        <v>1</v>
      </c>
      <c r="U385" s="2">
        <v>0.25</v>
      </c>
      <c r="V385" s="2">
        <v>0</v>
      </c>
      <c r="W385" s="2">
        <v>4</v>
      </c>
      <c r="X385" s="2">
        <v>1</v>
      </c>
      <c r="Y385" s="2">
        <v>1</v>
      </c>
      <c r="Z385" s="2">
        <v>1</v>
      </c>
      <c r="AA385" s="2">
        <v>2</v>
      </c>
      <c r="AB385" s="2">
        <v>1</v>
      </c>
      <c r="AC385" s="2">
        <v>0.5</v>
      </c>
      <c r="AD385" s="2">
        <v>180</v>
      </c>
      <c r="AE385" s="2">
        <v>30720</v>
      </c>
      <c r="AF385" s="2">
        <v>0</v>
      </c>
      <c r="AG385" s="2">
        <v>780</v>
      </c>
      <c r="AH385" s="2">
        <v>45</v>
      </c>
      <c r="AI385" s="2">
        <v>100</v>
      </c>
      <c r="AJ385" s="1">
        <v>1250000</v>
      </c>
      <c r="AK385" s="1">
        <v>7</v>
      </c>
      <c r="AL385" s="1">
        <v>105</v>
      </c>
      <c r="AM385" s="2" t="s">
        <v>52</v>
      </c>
      <c r="AN385" s="2" t="str">
        <f t="shared" si="5"/>
        <v/>
      </c>
      <c r="AO385" s="3">
        <v>384</v>
      </c>
      <c r="AP385" s="3">
        <v>180</v>
      </c>
      <c r="AQ385" s="3">
        <v>100</v>
      </c>
      <c r="AR385" s="3">
        <v>115</v>
      </c>
      <c r="AS385" s="1">
        <v>206.5</v>
      </c>
      <c r="AT385" s="3">
        <v>3</v>
      </c>
      <c r="AU385" s="3" t="s">
        <v>3052</v>
      </c>
    </row>
    <row r="386" spans="1:47" x14ac:dyDescent="0.3">
      <c r="A386" s="1" t="s">
        <v>1099</v>
      </c>
      <c r="B386" s="1" t="s">
        <v>1098</v>
      </c>
      <c r="C386" s="1" t="s">
        <v>263</v>
      </c>
      <c r="D386" s="1" t="s">
        <v>216</v>
      </c>
      <c r="E386" s="1" t="s">
        <v>1097</v>
      </c>
      <c r="F386" t="s">
        <v>3066</v>
      </c>
      <c r="G386" t="s">
        <v>52</v>
      </c>
      <c r="H386" t="s">
        <v>52</v>
      </c>
      <c r="I386" t="s">
        <v>52</v>
      </c>
      <c r="J386" t="s">
        <v>52</v>
      </c>
      <c r="K386" t="s">
        <v>52</v>
      </c>
      <c r="L386" s="2">
        <v>1</v>
      </c>
      <c r="M386" s="2">
        <v>2</v>
      </c>
      <c r="N386" s="2">
        <v>0.5</v>
      </c>
      <c r="O386" s="2">
        <v>1</v>
      </c>
      <c r="P386" s="2">
        <v>0.5</v>
      </c>
      <c r="Q386" s="2">
        <v>1</v>
      </c>
      <c r="R386" s="2">
        <v>2</v>
      </c>
      <c r="S386" s="2">
        <v>0.5</v>
      </c>
      <c r="T386" s="2">
        <v>2</v>
      </c>
      <c r="U386" s="2">
        <v>0.5</v>
      </c>
      <c r="V386" s="2">
        <v>2</v>
      </c>
      <c r="W386" s="2">
        <v>0.5</v>
      </c>
      <c r="X386" s="2">
        <v>0.5</v>
      </c>
      <c r="Y386" s="2">
        <v>0</v>
      </c>
      <c r="Z386" s="2">
        <v>0.25</v>
      </c>
      <c r="AA386" s="2">
        <v>0.5</v>
      </c>
      <c r="AB386" s="2">
        <v>0.5</v>
      </c>
      <c r="AC386" s="2">
        <v>1</v>
      </c>
      <c r="AD386" s="2">
        <v>100</v>
      </c>
      <c r="AE386" s="2">
        <v>30720</v>
      </c>
      <c r="AF386" s="2">
        <v>100</v>
      </c>
      <c r="AG386" s="2">
        <v>600</v>
      </c>
      <c r="AH386" s="2">
        <v>3</v>
      </c>
      <c r="AI386" s="2">
        <v>100</v>
      </c>
      <c r="AJ386" s="1">
        <v>1250000</v>
      </c>
      <c r="AK386" s="1">
        <v>0.3</v>
      </c>
      <c r="AL386" s="1">
        <v>100</v>
      </c>
      <c r="AM386" s="2" t="s">
        <v>52</v>
      </c>
      <c r="AN386" s="2" t="str">
        <f t="shared" si="5"/>
        <v/>
      </c>
      <c r="AO386" s="3">
        <v>385</v>
      </c>
      <c r="AP386" s="3">
        <v>100</v>
      </c>
      <c r="AQ386" s="3">
        <v>100</v>
      </c>
      <c r="AR386" s="3">
        <v>100</v>
      </c>
      <c r="AS386" s="1">
        <v>1.1000000000000001</v>
      </c>
      <c r="AT386" s="3">
        <v>3</v>
      </c>
      <c r="AU386" s="3" t="s">
        <v>3052</v>
      </c>
    </row>
    <row r="387" spans="1:47" x14ac:dyDescent="0.3">
      <c r="A387" s="1" t="s">
        <v>1102</v>
      </c>
      <c r="B387" s="1" t="s">
        <v>1101</v>
      </c>
      <c r="C387" s="1" t="s">
        <v>216</v>
      </c>
      <c r="D387" s="1" t="s">
        <v>52</v>
      </c>
      <c r="E387" s="1" t="s">
        <v>1100</v>
      </c>
      <c r="F387" t="s">
        <v>3067</v>
      </c>
      <c r="G387" t="s">
        <v>52</v>
      </c>
      <c r="H387" t="s">
        <v>52</v>
      </c>
      <c r="I387" t="s">
        <v>52</v>
      </c>
      <c r="J387" t="s">
        <v>52</v>
      </c>
      <c r="K387" t="s">
        <v>52</v>
      </c>
      <c r="L387" s="2">
        <v>2</v>
      </c>
      <c r="M387" s="2">
        <v>2</v>
      </c>
      <c r="N387" s="2">
        <v>1</v>
      </c>
      <c r="O387" s="2">
        <v>1</v>
      </c>
      <c r="P387" s="2">
        <v>1</v>
      </c>
      <c r="Q387" s="2">
        <v>0.5</v>
      </c>
      <c r="R387" s="2">
        <v>1</v>
      </c>
      <c r="S387" s="2">
        <v>1</v>
      </c>
      <c r="T387" s="2">
        <v>2</v>
      </c>
      <c r="U387" s="2">
        <v>1</v>
      </c>
      <c r="V387" s="2">
        <v>1</v>
      </c>
      <c r="W387" s="2">
        <v>1</v>
      </c>
      <c r="X387" s="2">
        <v>1</v>
      </c>
      <c r="Y387" s="2">
        <v>1</v>
      </c>
      <c r="Z387" s="2">
        <v>0.5</v>
      </c>
      <c r="AA387" s="2">
        <v>1</v>
      </c>
      <c r="AB387" s="2">
        <v>1</v>
      </c>
      <c r="AC387" s="2">
        <v>1</v>
      </c>
      <c r="AD387" s="2">
        <v>95</v>
      </c>
      <c r="AE387" s="2">
        <v>30720</v>
      </c>
      <c r="AF387" s="2">
        <v>0</v>
      </c>
      <c r="AG387" s="2">
        <v>600</v>
      </c>
      <c r="AH387" s="2">
        <v>3</v>
      </c>
      <c r="AI387" s="2">
        <v>90</v>
      </c>
      <c r="AJ387" s="1">
        <v>1250000</v>
      </c>
      <c r="AK387" s="1">
        <v>1.7</v>
      </c>
      <c r="AL387" s="1">
        <v>50</v>
      </c>
      <c r="AM387" s="2" t="s">
        <v>52</v>
      </c>
      <c r="AN387" s="2" t="str">
        <f t="shared" ref="AN387:AN450" si="6">IF(AM387="","",100-AM387)</f>
        <v/>
      </c>
      <c r="AO387" s="3">
        <v>386</v>
      </c>
      <c r="AP387" s="3">
        <v>95</v>
      </c>
      <c r="AQ387" s="3">
        <v>90</v>
      </c>
      <c r="AR387" s="3">
        <v>180</v>
      </c>
      <c r="AS387" s="1">
        <v>60.8</v>
      </c>
      <c r="AT387" s="3">
        <v>3</v>
      </c>
      <c r="AU387" s="3" t="s">
        <v>3052</v>
      </c>
    </row>
    <row r="388" spans="1:47" x14ac:dyDescent="0.3">
      <c r="A388" s="1" t="s">
        <v>1105</v>
      </c>
      <c r="B388" s="1" t="s">
        <v>1104</v>
      </c>
      <c r="C388" s="1" t="s">
        <v>42</v>
      </c>
      <c r="D388" s="1" t="s">
        <v>52</v>
      </c>
      <c r="E388" s="1" t="s">
        <v>1103</v>
      </c>
      <c r="F388" t="s">
        <v>3113</v>
      </c>
      <c r="G388" t="s">
        <v>3103</v>
      </c>
      <c r="H388" t="s">
        <v>52</v>
      </c>
      <c r="I388" t="s">
        <v>52</v>
      </c>
      <c r="J388" t="s">
        <v>52</v>
      </c>
      <c r="K388" t="s">
        <v>52</v>
      </c>
      <c r="L388" s="2">
        <v>2</v>
      </c>
      <c r="M388" s="2">
        <v>1</v>
      </c>
      <c r="N388" s="2">
        <v>1</v>
      </c>
      <c r="O388" s="2">
        <v>0.5</v>
      </c>
      <c r="P388" s="2">
        <v>1</v>
      </c>
      <c r="Q388" s="2">
        <v>1</v>
      </c>
      <c r="R388" s="2">
        <v>2</v>
      </c>
      <c r="S388" s="2">
        <v>2</v>
      </c>
      <c r="T388" s="2">
        <v>1</v>
      </c>
      <c r="U388" s="2">
        <v>0.5</v>
      </c>
      <c r="V388" s="2">
        <v>0.5</v>
      </c>
      <c r="W388" s="2">
        <v>2</v>
      </c>
      <c r="X388" s="2">
        <v>1</v>
      </c>
      <c r="Y388" s="2">
        <v>2</v>
      </c>
      <c r="Z388" s="2">
        <v>1</v>
      </c>
      <c r="AA388" s="2">
        <v>1</v>
      </c>
      <c r="AB388" s="2">
        <v>1</v>
      </c>
      <c r="AC388" s="2">
        <v>0.5</v>
      </c>
      <c r="AD388" s="2">
        <v>68</v>
      </c>
      <c r="AE388" s="2">
        <v>5120</v>
      </c>
      <c r="AF388" s="2">
        <v>70</v>
      </c>
      <c r="AG388" s="2">
        <v>318</v>
      </c>
      <c r="AH388" s="2">
        <v>45</v>
      </c>
      <c r="AI388" s="2">
        <v>64</v>
      </c>
      <c r="AJ388" s="1">
        <v>1059860</v>
      </c>
      <c r="AK388" s="1">
        <v>0.4</v>
      </c>
      <c r="AL388" s="1">
        <v>55</v>
      </c>
      <c r="AM388" s="2">
        <v>88.1</v>
      </c>
      <c r="AN388" s="2">
        <f t="shared" si="6"/>
        <v>11.900000000000006</v>
      </c>
      <c r="AO388" s="3">
        <v>387</v>
      </c>
      <c r="AP388" s="3">
        <v>45</v>
      </c>
      <c r="AQ388" s="3">
        <v>55</v>
      </c>
      <c r="AR388" s="3">
        <v>31</v>
      </c>
      <c r="AS388" s="1">
        <v>10.199999999999999</v>
      </c>
      <c r="AT388" s="3">
        <v>4</v>
      </c>
      <c r="AU388" s="3" t="s">
        <v>3051</v>
      </c>
    </row>
    <row r="389" spans="1:47" x14ac:dyDescent="0.3">
      <c r="A389" s="1" t="s">
        <v>1108</v>
      </c>
      <c r="B389" s="1" t="s">
        <v>1107</v>
      </c>
      <c r="C389" s="1" t="s">
        <v>42</v>
      </c>
      <c r="D389" s="1" t="s">
        <v>52</v>
      </c>
      <c r="E389" s="1" t="s">
        <v>1106</v>
      </c>
      <c r="F389" t="s">
        <v>3113</v>
      </c>
      <c r="G389" t="s">
        <v>3103</v>
      </c>
      <c r="H389" t="s">
        <v>52</v>
      </c>
      <c r="I389" t="s">
        <v>52</v>
      </c>
      <c r="J389" t="s">
        <v>52</v>
      </c>
      <c r="K389" t="s">
        <v>52</v>
      </c>
      <c r="L389" s="2">
        <v>2</v>
      </c>
      <c r="M389" s="2">
        <v>1</v>
      </c>
      <c r="N389" s="2">
        <v>1</v>
      </c>
      <c r="O389" s="2">
        <v>0.5</v>
      </c>
      <c r="P389" s="2">
        <v>1</v>
      </c>
      <c r="Q389" s="2">
        <v>1</v>
      </c>
      <c r="R389" s="2">
        <v>2</v>
      </c>
      <c r="S389" s="2">
        <v>2</v>
      </c>
      <c r="T389" s="2">
        <v>1</v>
      </c>
      <c r="U389" s="2">
        <v>0.5</v>
      </c>
      <c r="V389" s="2">
        <v>0.5</v>
      </c>
      <c r="W389" s="2">
        <v>2</v>
      </c>
      <c r="X389" s="2">
        <v>1</v>
      </c>
      <c r="Y389" s="2">
        <v>2</v>
      </c>
      <c r="Z389" s="2">
        <v>1</v>
      </c>
      <c r="AA389" s="2">
        <v>1</v>
      </c>
      <c r="AB389" s="2">
        <v>1</v>
      </c>
      <c r="AC389" s="2">
        <v>0.5</v>
      </c>
      <c r="AD389" s="2">
        <v>89</v>
      </c>
      <c r="AE389" s="2">
        <v>5120</v>
      </c>
      <c r="AF389" s="2">
        <v>70</v>
      </c>
      <c r="AG389" s="2">
        <v>405</v>
      </c>
      <c r="AH389" s="2">
        <v>45</v>
      </c>
      <c r="AI389" s="2">
        <v>85</v>
      </c>
      <c r="AJ389" s="1">
        <v>1059860</v>
      </c>
      <c r="AK389" s="1">
        <v>1.1000000000000001</v>
      </c>
      <c r="AL389" s="1">
        <v>75</v>
      </c>
      <c r="AM389" s="2">
        <v>88.1</v>
      </c>
      <c r="AN389" s="2">
        <f t="shared" si="6"/>
        <v>11.900000000000006</v>
      </c>
      <c r="AO389" s="3">
        <v>388</v>
      </c>
      <c r="AP389" s="3">
        <v>55</v>
      </c>
      <c r="AQ389" s="3">
        <v>65</v>
      </c>
      <c r="AR389" s="3">
        <v>36</v>
      </c>
      <c r="AS389" s="1">
        <v>97</v>
      </c>
      <c r="AT389" s="3">
        <v>4</v>
      </c>
      <c r="AU389" s="3" t="s">
        <v>3051</v>
      </c>
    </row>
    <row r="390" spans="1:47" x14ac:dyDescent="0.3">
      <c r="A390" s="1" t="s">
        <v>1110</v>
      </c>
      <c r="B390" s="1" t="s">
        <v>1109</v>
      </c>
      <c r="C390" s="1" t="s">
        <v>42</v>
      </c>
      <c r="D390" s="1" t="s">
        <v>120</v>
      </c>
      <c r="E390" s="1" t="s">
        <v>1091</v>
      </c>
      <c r="F390" t="s">
        <v>3113</v>
      </c>
      <c r="G390" t="s">
        <v>3103</v>
      </c>
      <c r="H390" t="s">
        <v>52</v>
      </c>
      <c r="I390" t="s">
        <v>52</v>
      </c>
      <c r="J390" t="s">
        <v>52</v>
      </c>
      <c r="K390" t="s">
        <v>52</v>
      </c>
      <c r="L390" s="2">
        <v>2</v>
      </c>
      <c r="M390" s="2">
        <v>1</v>
      </c>
      <c r="N390" s="2">
        <v>1</v>
      </c>
      <c r="O390" s="2">
        <v>0</v>
      </c>
      <c r="P390" s="2">
        <v>1</v>
      </c>
      <c r="Q390" s="2">
        <v>1</v>
      </c>
      <c r="R390" s="2">
        <v>2</v>
      </c>
      <c r="S390" s="2">
        <v>2</v>
      </c>
      <c r="T390" s="2">
        <v>1</v>
      </c>
      <c r="U390" s="2">
        <v>1</v>
      </c>
      <c r="V390" s="2">
        <v>0.5</v>
      </c>
      <c r="W390" s="2">
        <v>4</v>
      </c>
      <c r="X390" s="2">
        <v>1</v>
      </c>
      <c r="Y390" s="2">
        <v>1</v>
      </c>
      <c r="Z390" s="2">
        <v>1</v>
      </c>
      <c r="AA390" s="2">
        <v>0.5</v>
      </c>
      <c r="AB390" s="2">
        <v>1</v>
      </c>
      <c r="AC390" s="2">
        <v>1</v>
      </c>
      <c r="AD390" s="2">
        <v>109</v>
      </c>
      <c r="AE390" s="2">
        <v>5120</v>
      </c>
      <c r="AF390" s="2">
        <v>70</v>
      </c>
      <c r="AG390" s="2">
        <v>525</v>
      </c>
      <c r="AH390" s="2">
        <v>45</v>
      </c>
      <c r="AI390" s="2">
        <v>105</v>
      </c>
      <c r="AJ390" s="1">
        <v>1059860</v>
      </c>
      <c r="AK390" s="1">
        <v>2.2000000000000002</v>
      </c>
      <c r="AL390" s="1">
        <v>95</v>
      </c>
      <c r="AM390" s="2">
        <v>88.1</v>
      </c>
      <c r="AN390" s="2">
        <f t="shared" si="6"/>
        <v>11.900000000000006</v>
      </c>
      <c r="AO390" s="3">
        <v>389</v>
      </c>
      <c r="AP390" s="3">
        <v>75</v>
      </c>
      <c r="AQ390" s="3">
        <v>85</v>
      </c>
      <c r="AR390" s="3">
        <v>56</v>
      </c>
      <c r="AS390" s="1">
        <v>310</v>
      </c>
      <c r="AT390" s="3">
        <v>4</v>
      </c>
      <c r="AU390" s="3" t="s">
        <v>3051</v>
      </c>
    </row>
    <row r="391" spans="1:47" x14ac:dyDescent="0.3">
      <c r="A391" s="1" t="s">
        <v>1113</v>
      </c>
      <c r="B391" s="1" t="s">
        <v>1112</v>
      </c>
      <c r="C391" s="1" t="s">
        <v>51</v>
      </c>
      <c r="D391" s="1" t="s">
        <v>52</v>
      </c>
      <c r="E391" s="1" t="s">
        <v>1111</v>
      </c>
      <c r="F391" t="s">
        <v>3114</v>
      </c>
      <c r="G391" t="s">
        <v>3190</v>
      </c>
      <c r="H391" t="s">
        <v>52</v>
      </c>
      <c r="I391" t="s">
        <v>52</v>
      </c>
      <c r="J391" t="s">
        <v>52</v>
      </c>
      <c r="K391" t="s">
        <v>52</v>
      </c>
      <c r="L391" s="2">
        <v>0.5</v>
      </c>
      <c r="M391" s="2">
        <v>1</v>
      </c>
      <c r="N391" s="2">
        <v>1</v>
      </c>
      <c r="O391" s="2">
        <v>1</v>
      </c>
      <c r="P391" s="2">
        <v>0.5</v>
      </c>
      <c r="Q391" s="2">
        <v>1</v>
      </c>
      <c r="R391" s="2">
        <v>0.5</v>
      </c>
      <c r="S391" s="2">
        <v>1</v>
      </c>
      <c r="T391" s="2">
        <v>1</v>
      </c>
      <c r="U391" s="2">
        <v>0.5</v>
      </c>
      <c r="V391" s="2">
        <v>2</v>
      </c>
      <c r="W391" s="2">
        <v>0.5</v>
      </c>
      <c r="X391" s="2">
        <v>1</v>
      </c>
      <c r="Y391" s="2">
        <v>1</v>
      </c>
      <c r="Z391" s="2">
        <v>1</v>
      </c>
      <c r="AA391" s="2">
        <v>2</v>
      </c>
      <c r="AB391" s="2">
        <v>0.5</v>
      </c>
      <c r="AC391" s="2">
        <v>2</v>
      </c>
      <c r="AD391" s="2">
        <v>58</v>
      </c>
      <c r="AE391" s="2">
        <v>5120</v>
      </c>
      <c r="AF391" s="2">
        <v>70</v>
      </c>
      <c r="AG391" s="2">
        <v>309</v>
      </c>
      <c r="AH391" s="2">
        <v>45</v>
      </c>
      <c r="AI391" s="2">
        <v>44</v>
      </c>
      <c r="AJ391" s="1">
        <v>1059860</v>
      </c>
      <c r="AK391" s="1">
        <v>0.5</v>
      </c>
      <c r="AL391" s="1">
        <v>44</v>
      </c>
      <c r="AM391" s="2">
        <v>88.1</v>
      </c>
      <c r="AN391" s="2">
        <f t="shared" si="6"/>
        <v>11.900000000000006</v>
      </c>
      <c r="AO391" s="3">
        <v>390</v>
      </c>
      <c r="AP391" s="3">
        <v>58</v>
      </c>
      <c r="AQ391" s="3">
        <v>44</v>
      </c>
      <c r="AR391" s="3">
        <v>61</v>
      </c>
      <c r="AS391" s="1">
        <v>6.2</v>
      </c>
      <c r="AT391" s="3">
        <v>4</v>
      </c>
      <c r="AU391" s="3" t="s">
        <v>3051</v>
      </c>
    </row>
    <row r="392" spans="1:47" x14ac:dyDescent="0.3">
      <c r="A392" s="1" t="s">
        <v>1116</v>
      </c>
      <c r="B392" s="1" t="s">
        <v>1115</v>
      </c>
      <c r="C392" s="1" t="s">
        <v>51</v>
      </c>
      <c r="D392" s="1" t="s">
        <v>197</v>
      </c>
      <c r="E392" s="1" t="s">
        <v>1114</v>
      </c>
      <c r="F392" t="s">
        <v>3114</v>
      </c>
      <c r="G392" t="s">
        <v>3190</v>
      </c>
      <c r="H392" t="s">
        <v>52</v>
      </c>
      <c r="I392" t="s">
        <v>52</v>
      </c>
      <c r="J392" t="s">
        <v>52</v>
      </c>
      <c r="K392" t="s">
        <v>52</v>
      </c>
      <c r="L392" s="2">
        <v>0.25</v>
      </c>
      <c r="M392" s="2">
        <v>0.5</v>
      </c>
      <c r="N392" s="2">
        <v>1</v>
      </c>
      <c r="O392" s="2">
        <v>1</v>
      </c>
      <c r="P392" s="2">
        <v>1</v>
      </c>
      <c r="Q392" s="2">
        <v>1</v>
      </c>
      <c r="R392" s="2">
        <v>0.5</v>
      </c>
      <c r="S392" s="2">
        <v>2</v>
      </c>
      <c r="T392" s="2">
        <v>1</v>
      </c>
      <c r="U392" s="2">
        <v>0.5</v>
      </c>
      <c r="V392" s="2">
        <v>2</v>
      </c>
      <c r="W392" s="2">
        <v>0.5</v>
      </c>
      <c r="X392" s="2">
        <v>1</v>
      </c>
      <c r="Y392" s="2">
        <v>1</v>
      </c>
      <c r="Z392" s="2">
        <v>2</v>
      </c>
      <c r="AA392" s="2">
        <v>1</v>
      </c>
      <c r="AB392" s="2">
        <v>0.5</v>
      </c>
      <c r="AC392" s="2">
        <v>2</v>
      </c>
      <c r="AD392" s="2">
        <v>78</v>
      </c>
      <c r="AE392" s="2">
        <v>5120</v>
      </c>
      <c r="AF392" s="2">
        <v>70</v>
      </c>
      <c r="AG392" s="2">
        <v>405</v>
      </c>
      <c r="AH392" s="2">
        <v>45</v>
      </c>
      <c r="AI392" s="2">
        <v>52</v>
      </c>
      <c r="AJ392" s="1">
        <v>1059860</v>
      </c>
      <c r="AK392" s="1">
        <v>0.9</v>
      </c>
      <c r="AL392" s="1">
        <v>64</v>
      </c>
      <c r="AM392" s="2">
        <v>88.1</v>
      </c>
      <c r="AN392" s="2">
        <f t="shared" si="6"/>
        <v>11.900000000000006</v>
      </c>
      <c r="AO392" s="3">
        <v>391</v>
      </c>
      <c r="AP392" s="3">
        <v>78</v>
      </c>
      <c r="AQ392" s="3">
        <v>52</v>
      </c>
      <c r="AR392" s="3">
        <v>81</v>
      </c>
      <c r="AS392" s="1">
        <v>22</v>
      </c>
      <c r="AT392" s="3">
        <v>4</v>
      </c>
      <c r="AU392" s="3" t="s">
        <v>3051</v>
      </c>
    </row>
    <row r="393" spans="1:47" x14ac:dyDescent="0.3">
      <c r="A393" s="1" t="s">
        <v>1118</v>
      </c>
      <c r="B393" s="1" t="s">
        <v>1117</v>
      </c>
      <c r="C393" s="1" t="s">
        <v>51</v>
      </c>
      <c r="D393" s="1" t="s">
        <v>197</v>
      </c>
      <c r="E393" s="1" t="s">
        <v>53</v>
      </c>
      <c r="F393" t="s">
        <v>3114</v>
      </c>
      <c r="G393" t="s">
        <v>3190</v>
      </c>
      <c r="H393" t="s">
        <v>52</v>
      </c>
      <c r="I393" t="s">
        <v>52</v>
      </c>
      <c r="J393" t="s">
        <v>52</v>
      </c>
      <c r="K393" t="s">
        <v>52</v>
      </c>
      <c r="L393" s="2">
        <v>0.25</v>
      </c>
      <c r="M393" s="2">
        <v>0.5</v>
      </c>
      <c r="N393" s="2">
        <v>1</v>
      </c>
      <c r="O393" s="2">
        <v>1</v>
      </c>
      <c r="P393" s="2">
        <v>1</v>
      </c>
      <c r="Q393" s="2">
        <v>1</v>
      </c>
      <c r="R393" s="2">
        <v>0.5</v>
      </c>
      <c r="S393" s="2">
        <v>2</v>
      </c>
      <c r="T393" s="2">
        <v>1</v>
      </c>
      <c r="U393" s="2">
        <v>0.5</v>
      </c>
      <c r="V393" s="2">
        <v>2</v>
      </c>
      <c r="W393" s="2">
        <v>0.5</v>
      </c>
      <c r="X393" s="2">
        <v>1</v>
      </c>
      <c r="Y393" s="2">
        <v>1</v>
      </c>
      <c r="Z393" s="2">
        <v>2</v>
      </c>
      <c r="AA393" s="2">
        <v>1</v>
      </c>
      <c r="AB393" s="2">
        <v>0.5</v>
      </c>
      <c r="AC393" s="2">
        <v>2</v>
      </c>
      <c r="AD393" s="2">
        <v>104</v>
      </c>
      <c r="AE393" s="2">
        <v>5120</v>
      </c>
      <c r="AF393" s="2">
        <v>70</v>
      </c>
      <c r="AG393" s="2">
        <v>534</v>
      </c>
      <c r="AH393" s="2">
        <v>45</v>
      </c>
      <c r="AI393" s="2">
        <v>71</v>
      </c>
      <c r="AJ393" s="1">
        <v>1059860</v>
      </c>
      <c r="AK393" s="1">
        <v>1.2</v>
      </c>
      <c r="AL393" s="1">
        <v>76</v>
      </c>
      <c r="AM393" s="2">
        <v>88.1</v>
      </c>
      <c r="AN393" s="2">
        <f t="shared" si="6"/>
        <v>11.900000000000006</v>
      </c>
      <c r="AO393" s="3">
        <v>392</v>
      </c>
      <c r="AP393" s="3">
        <v>104</v>
      </c>
      <c r="AQ393" s="3">
        <v>71</v>
      </c>
      <c r="AR393" s="3">
        <v>108</v>
      </c>
      <c r="AS393" s="1">
        <v>55</v>
      </c>
      <c r="AT393" s="3">
        <v>4</v>
      </c>
      <c r="AU393" s="3" t="s">
        <v>3051</v>
      </c>
    </row>
    <row r="394" spans="1:47" x14ac:dyDescent="0.3">
      <c r="A394" s="1" t="s">
        <v>1121</v>
      </c>
      <c r="B394" s="1" t="s">
        <v>1120</v>
      </c>
      <c r="C394" s="1" t="s">
        <v>62</v>
      </c>
      <c r="D394" s="1" t="s">
        <v>52</v>
      </c>
      <c r="E394" s="1" t="s">
        <v>1119</v>
      </c>
      <c r="F394" t="s">
        <v>3115</v>
      </c>
      <c r="G394" t="s">
        <v>3191</v>
      </c>
      <c r="H394" t="s">
        <v>52</v>
      </c>
      <c r="I394" t="s">
        <v>52</v>
      </c>
      <c r="J394" t="s">
        <v>52</v>
      </c>
      <c r="K394" t="s">
        <v>52</v>
      </c>
      <c r="L394" s="2">
        <v>1</v>
      </c>
      <c r="M394" s="2">
        <v>1</v>
      </c>
      <c r="N394" s="2">
        <v>1</v>
      </c>
      <c r="O394" s="2">
        <v>2</v>
      </c>
      <c r="P394" s="2">
        <v>1</v>
      </c>
      <c r="Q394" s="2">
        <v>1</v>
      </c>
      <c r="R394" s="2">
        <v>0.5</v>
      </c>
      <c r="S394" s="2">
        <v>1</v>
      </c>
      <c r="T394" s="2">
        <v>1</v>
      </c>
      <c r="U394" s="2">
        <v>2</v>
      </c>
      <c r="V394" s="2">
        <v>1</v>
      </c>
      <c r="W394" s="2">
        <v>0.5</v>
      </c>
      <c r="X394" s="2">
        <v>1</v>
      </c>
      <c r="Y394" s="2">
        <v>1</v>
      </c>
      <c r="Z394" s="2">
        <v>1</v>
      </c>
      <c r="AA394" s="2">
        <v>1</v>
      </c>
      <c r="AB394" s="2">
        <v>0.5</v>
      </c>
      <c r="AC394" s="2">
        <v>0.5</v>
      </c>
      <c r="AD394" s="2">
        <v>51</v>
      </c>
      <c r="AE394" s="2">
        <v>5120</v>
      </c>
      <c r="AF394" s="2">
        <v>70</v>
      </c>
      <c r="AG394" s="2">
        <v>314</v>
      </c>
      <c r="AH394" s="2">
        <v>45</v>
      </c>
      <c r="AI394" s="2">
        <v>53</v>
      </c>
      <c r="AJ394" s="1">
        <v>1059860</v>
      </c>
      <c r="AK394" s="1">
        <v>0.4</v>
      </c>
      <c r="AL394" s="1">
        <v>53</v>
      </c>
      <c r="AM394" s="2">
        <v>88.1</v>
      </c>
      <c r="AN394" s="2">
        <f t="shared" si="6"/>
        <v>11.900000000000006</v>
      </c>
      <c r="AO394" s="3">
        <v>393</v>
      </c>
      <c r="AP394" s="3">
        <v>61</v>
      </c>
      <c r="AQ394" s="3">
        <v>56</v>
      </c>
      <c r="AR394" s="3">
        <v>40</v>
      </c>
      <c r="AS394" s="1">
        <v>5.2</v>
      </c>
      <c r="AT394" s="3">
        <v>4</v>
      </c>
      <c r="AU394" s="3" t="s">
        <v>3051</v>
      </c>
    </row>
    <row r="395" spans="1:47" x14ac:dyDescent="0.3">
      <c r="A395" s="1" t="s">
        <v>1123</v>
      </c>
      <c r="B395" s="1" t="s">
        <v>1122</v>
      </c>
      <c r="C395" s="1" t="s">
        <v>62</v>
      </c>
      <c r="D395" s="1" t="s">
        <v>52</v>
      </c>
      <c r="E395" s="1" t="s">
        <v>1119</v>
      </c>
      <c r="F395" t="s">
        <v>3115</v>
      </c>
      <c r="G395" t="s">
        <v>3191</v>
      </c>
      <c r="H395" t="s">
        <v>52</v>
      </c>
      <c r="I395" t="s">
        <v>52</v>
      </c>
      <c r="J395" t="s">
        <v>52</v>
      </c>
      <c r="K395" t="s">
        <v>52</v>
      </c>
      <c r="L395" s="2">
        <v>1</v>
      </c>
      <c r="M395" s="2">
        <v>1</v>
      </c>
      <c r="N395" s="2">
        <v>1</v>
      </c>
      <c r="O395" s="2">
        <v>2</v>
      </c>
      <c r="P395" s="2">
        <v>1</v>
      </c>
      <c r="Q395" s="2">
        <v>1</v>
      </c>
      <c r="R395" s="2">
        <v>0.5</v>
      </c>
      <c r="S395" s="2">
        <v>1</v>
      </c>
      <c r="T395" s="2">
        <v>1</v>
      </c>
      <c r="U395" s="2">
        <v>2</v>
      </c>
      <c r="V395" s="2">
        <v>1</v>
      </c>
      <c r="W395" s="2">
        <v>0.5</v>
      </c>
      <c r="X395" s="2">
        <v>1</v>
      </c>
      <c r="Y395" s="2">
        <v>1</v>
      </c>
      <c r="Z395" s="2">
        <v>1</v>
      </c>
      <c r="AA395" s="2">
        <v>1</v>
      </c>
      <c r="AB395" s="2">
        <v>0.5</v>
      </c>
      <c r="AC395" s="2">
        <v>0.5</v>
      </c>
      <c r="AD395" s="2">
        <v>66</v>
      </c>
      <c r="AE395" s="2">
        <v>5120</v>
      </c>
      <c r="AF395" s="2">
        <v>70</v>
      </c>
      <c r="AG395" s="2">
        <v>405</v>
      </c>
      <c r="AH395" s="2">
        <v>45</v>
      </c>
      <c r="AI395" s="2">
        <v>68</v>
      </c>
      <c r="AJ395" s="1">
        <v>1059860</v>
      </c>
      <c r="AK395" s="1">
        <v>0.8</v>
      </c>
      <c r="AL395" s="1">
        <v>64</v>
      </c>
      <c r="AM395" s="2">
        <v>88.1</v>
      </c>
      <c r="AN395" s="2">
        <f t="shared" si="6"/>
        <v>11.900000000000006</v>
      </c>
      <c r="AO395" s="3">
        <v>394</v>
      </c>
      <c r="AP395" s="3">
        <v>81</v>
      </c>
      <c r="AQ395" s="3">
        <v>76</v>
      </c>
      <c r="AR395" s="3">
        <v>50</v>
      </c>
      <c r="AS395" s="1">
        <v>23</v>
      </c>
      <c r="AT395" s="3">
        <v>4</v>
      </c>
      <c r="AU395" s="3" t="s">
        <v>3051</v>
      </c>
    </row>
    <row r="396" spans="1:47" x14ac:dyDescent="0.3">
      <c r="A396" s="1" t="s">
        <v>1126</v>
      </c>
      <c r="B396" s="1" t="s">
        <v>1125</v>
      </c>
      <c r="C396" s="1" t="s">
        <v>62</v>
      </c>
      <c r="D396" s="1" t="s">
        <v>263</v>
      </c>
      <c r="E396" s="1" t="s">
        <v>1124</v>
      </c>
      <c r="F396" t="s">
        <v>3115</v>
      </c>
      <c r="G396" t="s">
        <v>3191</v>
      </c>
      <c r="H396" t="s">
        <v>52</v>
      </c>
      <c r="I396" t="s">
        <v>52</v>
      </c>
      <c r="J396" t="s">
        <v>52</v>
      </c>
      <c r="K396" t="s">
        <v>52</v>
      </c>
      <c r="L396" s="2">
        <v>0.5</v>
      </c>
      <c r="M396" s="2">
        <v>1</v>
      </c>
      <c r="N396" s="2">
        <v>0.5</v>
      </c>
      <c r="O396" s="2">
        <v>2</v>
      </c>
      <c r="P396" s="2">
        <v>0.5</v>
      </c>
      <c r="Q396" s="2">
        <v>2</v>
      </c>
      <c r="R396" s="2">
        <v>1</v>
      </c>
      <c r="S396" s="2">
        <v>0.5</v>
      </c>
      <c r="T396" s="2">
        <v>1</v>
      </c>
      <c r="U396" s="2">
        <v>1</v>
      </c>
      <c r="V396" s="2">
        <v>2</v>
      </c>
      <c r="W396" s="2">
        <v>0.25</v>
      </c>
      <c r="X396" s="2">
        <v>0.5</v>
      </c>
      <c r="Y396" s="2">
        <v>0</v>
      </c>
      <c r="Z396" s="2">
        <v>0.5</v>
      </c>
      <c r="AA396" s="2">
        <v>0.5</v>
      </c>
      <c r="AB396" s="2">
        <v>0.25</v>
      </c>
      <c r="AC396" s="2">
        <v>0.5</v>
      </c>
      <c r="AD396" s="2">
        <v>86</v>
      </c>
      <c r="AE396" s="2">
        <v>5120</v>
      </c>
      <c r="AF396" s="2">
        <v>70</v>
      </c>
      <c r="AG396" s="2">
        <v>530</v>
      </c>
      <c r="AH396" s="2">
        <v>45</v>
      </c>
      <c r="AI396" s="2">
        <v>88</v>
      </c>
      <c r="AJ396" s="1">
        <v>1059860</v>
      </c>
      <c r="AK396" s="1">
        <v>1.7</v>
      </c>
      <c r="AL396" s="1">
        <v>84</v>
      </c>
      <c r="AM396" s="2">
        <v>88.1</v>
      </c>
      <c r="AN396" s="2">
        <f t="shared" si="6"/>
        <v>11.900000000000006</v>
      </c>
      <c r="AO396" s="3">
        <v>395</v>
      </c>
      <c r="AP396" s="3">
        <v>111</v>
      </c>
      <c r="AQ396" s="3">
        <v>101</v>
      </c>
      <c r="AR396" s="3">
        <v>60</v>
      </c>
      <c r="AS396" s="1">
        <v>84.5</v>
      </c>
      <c r="AT396" s="3">
        <v>4</v>
      </c>
      <c r="AU396" s="3" t="s">
        <v>3051</v>
      </c>
    </row>
    <row r="397" spans="1:47" x14ac:dyDescent="0.3">
      <c r="A397" s="1" t="s">
        <v>1129</v>
      </c>
      <c r="B397" s="1" t="s">
        <v>1128</v>
      </c>
      <c r="C397" s="1" t="s">
        <v>90</v>
      </c>
      <c r="D397" s="1" t="s">
        <v>58</v>
      </c>
      <c r="E397" s="1" t="s">
        <v>1127</v>
      </c>
      <c r="F397" t="s">
        <v>3118</v>
      </c>
      <c r="G397" t="s">
        <v>3183</v>
      </c>
      <c r="H397" t="s">
        <v>52</v>
      </c>
      <c r="I397" t="s">
        <v>52</v>
      </c>
      <c r="J397" t="s">
        <v>52</v>
      </c>
      <c r="K397" t="s">
        <v>52</v>
      </c>
      <c r="L397" s="2">
        <v>0.5</v>
      </c>
      <c r="M397" s="2">
        <v>1</v>
      </c>
      <c r="N397" s="2">
        <v>1</v>
      </c>
      <c r="O397" s="2">
        <v>2</v>
      </c>
      <c r="P397" s="2">
        <v>1</v>
      </c>
      <c r="Q397" s="2">
        <v>1</v>
      </c>
      <c r="R397" s="2">
        <v>1</v>
      </c>
      <c r="S397" s="2">
        <v>1</v>
      </c>
      <c r="T397" s="2">
        <v>0</v>
      </c>
      <c r="U397" s="2">
        <v>0.5</v>
      </c>
      <c r="V397" s="2">
        <v>0</v>
      </c>
      <c r="W397" s="2">
        <v>2</v>
      </c>
      <c r="X397" s="2">
        <v>1</v>
      </c>
      <c r="Y397" s="2">
        <v>1</v>
      </c>
      <c r="Z397" s="2">
        <v>1</v>
      </c>
      <c r="AA397" s="2">
        <v>2</v>
      </c>
      <c r="AB397" s="2">
        <v>1</v>
      </c>
      <c r="AC397" s="2">
        <v>1</v>
      </c>
      <c r="AD397" s="2">
        <v>55</v>
      </c>
      <c r="AE397" s="2">
        <v>3840</v>
      </c>
      <c r="AF397" s="2">
        <v>70</v>
      </c>
      <c r="AG397" s="2">
        <v>245</v>
      </c>
      <c r="AH397" s="2">
        <v>255</v>
      </c>
      <c r="AI397" s="2">
        <v>30</v>
      </c>
      <c r="AJ397" s="1">
        <v>1059860</v>
      </c>
      <c r="AK397" s="1">
        <v>0.3</v>
      </c>
      <c r="AL397" s="1">
        <v>40</v>
      </c>
      <c r="AM397" s="2">
        <v>50</v>
      </c>
      <c r="AN397" s="2">
        <f t="shared" si="6"/>
        <v>50</v>
      </c>
      <c r="AO397" s="3">
        <v>396</v>
      </c>
      <c r="AP397" s="3">
        <v>30</v>
      </c>
      <c r="AQ397" s="3">
        <v>30</v>
      </c>
      <c r="AR397" s="3">
        <v>60</v>
      </c>
      <c r="AS397" s="1">
        <v>2</v>
      </c>
      <c r="AT397" s="3">
        <v>4</v>
      </c>
      <c r="AU397" s="3" t="s">
        <v>3051</v>
      </c>
    </row>
    <row r="398" spans="1:47" x14ac:dyDescent="0.3">
      <c r="A398" s="1" t="s">
        <v>1131</v>
      </c>
      <c r="B398" s="1" t="s">
        <v>1130</v>
      </c>
      <c r="C398" s="1" t="s">
        <v>90</v>
      </c>
      <c r="D398" s="1" t="s">
        <v>58</v>
      </c>
      <c r="E398" s="1" t="s">
        <v>1127</v>
      </c>
      <c r="F398" t="s">
        <v>3120</v>
      </c>
      <c r="G398" t="s">
        <v>3183</v>
      </c>
      <c r="H398" t="s">
        <v>52</v>
      </c>
      <c r="I398" t="s">
        <v>52</v>
      </c>
      <c r="J398" t="s">
        <v>52</v>
      </c>
      <c r="K398" t="s">
        <v>52</v>
      </c>
      <c r="L398" s="2">
        <v>0.5</v>
      </c>
      <c r="M398" s="2">
        <v>1</v>
      </c>
      <c r="N398" s="2">
        <v>1</v>
      </c>
      <c r="O398" s="2">
        <v>2</v>
      </c>
      <c r="P398" s="2">
        <v>1</v>
      </c>
      <c r="Q398" s="2">
        <v>1</v>
      </c>
      <c r="R398" s="2">
        <v>1</v>
      </c>
      <c r="S398" s="2">
        <v>1</v>
      </c>
      <c r="T398" s="2">
        <v>0</v>
      </c>
      <c r="U398" s="2">
        <v>0.5</v>
      </c>
      <c r="V398" s="2">
        <v>0</v>
      </c>
      <c r="W398" s="2">
        <v>2</v>
      </c>
      <c r="X398" s="2">
        <v>1</v>
      </c>
      <c r="Y398" s="2">
        <v>1</v>
      </c>
      <c r="Z398" s="2">
        <v>1</v>
      </c>
      <c r="AA398" s="2">
        <v>2</v>
      </c>
      <c r="AB398" s="2">
        <v>1</v>
      </c>
      <c r="AC398" s="2">
        <v>1</v>
      </c>
      <c r="AD398" s="2">
        <v>75</v>
      </c>
      <c r="AE398" s="2">
        <v>3840</v>
      </c>
      <c r="AF398" s="2">
        <v>70</v>
      </c>
      <c r="AG398" s="2">
        <v>340</v>
      </c>
      <c r="AH398" s="2">
        <v>120</v>
      </c>
      <c r="AI398" s="2">
        <v>50</v>
      </c>
      <c r="AJ398" s="1">
        <v>1059860</v>
      </c>
      <c r="AK398" s="1">
        <v>0.6</v>
      </c>
      <c r="AL398" s="1">
        <v>55</v>
      </c>
      <c r="AM398" s="2">
        <v>50</v>
      </c>
      <c r="AN398" s="2">
        <f t="shared" si="6"/>
        <v>50</v>
      </c>
      <c r="AO398" s="3">
        <v>397</v>
      </c>
      <c r="AP398" s="3">
        <v>40</v>
      </c>
      <c r="AQ398" s="3">
        <v>40</v>
      </c>
      <c r="AR398" s="3">
        <v>80</v>
      </c>
      <c r="AS398" s="1">
        <v>15.5</v>
      </c>
      <c r="AT398" s="3">
        <v>4</v>
      </c>
      <c r="AU398" s="3" t="s">
        <v>3051</v>
      </c>
    </row>
    <row r="399" spans="1:47" x14ac:dyDescent="0.3">
      <c r="A399" s="1" t="s">
        <v>1134</v>
      </c>
      <c r="B399" s="1" t="s">
        <v>1133</v>
      </c>
      <c r="C399" s="1" t="s">
        <v>90</v>
      </c>
      <c r="D399" s="1" t="s">
        <v>58</v>
      </c>
      <c r="E399" s="1" t="s">
        <v>1132</v>
      </c>
      <c r="F399" t="s">
        <v>3120</v>
      </c>
      <c r="G399" t="s">
        <v>3183</v>
      </c>
      <c r="H399" t="s">
        <v>52</v>
      </c>
      <c r="I399" t="s">
        <v>52</v>
      </c>
      <c r="J399" t="s">
        <v>52</v>
      </c>
      <c r="K399" t="s">
        <v>52</v>
      </c>
      <c r="L399" s="2">
        <v>0.5</v>
      </c>
      <c r="M399" s="2">
        <v>1</v>
      </c>
      <c r="N399" s="2">
        <v>1</v>
      </c>
      <c r="O399" s="2">
        <v>2</v>
      </c>
      <c r="P399" s="2">
        <v>1</v>
      </c>
      <c r="Q399" s="2">
        <v>1</v>
      </c>
      <c r="R399" s="2">
        <v>1</v>
      </c>
      <c r="S399" s="2">
        <v>1</v>
      </c>
      <c r="T399" s="2">
        <v>0</v>
      </c>
      <c r="U399" s="2">
        <v>0.5</v>
      </c>
      <c r="V399" s="2">
        <v>0</v>
      </c>
      <c r="W399" s="2">
        <v>2</v>
      </c>
      <c r="X399" s="2">
        <v>1</v>
      </c>
      <c r="Y399" s="2">
        <v>1</v>
      </c>
      <c r="Z399" s="2">
        <v>1</v>
      </c>
      <c r="AA399" s="2">
        <v>2</v>
      </c>
      <c r="AB399" s="2">
        <v>1</v>
      </c>
      <c r="AC399" s="2">
        <v>1</v>
      </c>
      <c r="AD399" s="2">
        <v>120</v>
      </c>
      <c r="AE399" s="2">
        <v>3840</v>
      </c>
      <c r="AF399" s="2">
        <v>70</v>
      </c>
      <c r="AG399" s="2">
        <v>485</v>
      </c>
      <c r="AH399" s="2">
        <v>45</v>
      </c>
      <c r="AI399" s="2">
        <v>70</v>
      </c>
      <c r="AJ399" s="1">
        <v>1059860</v>
      </c>
      <c r="AK399" s="1">
        <v>1.2</v>
      </c>
      <c r="AL399" s="1">
        <v>85</v>
      </c>
      <c r="AM399" s="2">
        <v>50</v>
      </c>
      <c r="AN399" s="2">
        <f t="shared" si="6"/>
        <v>50</v>
      </c>
      <c r="AO399" s="3">
        <v>398</v>
      </c>
      <c r="AP399" s="3">
        <v>50</v>
      </c>
      <c r="AQ399" s="3">
        <v>60</v>
      </c>
      <c r="AR399" s="3">
        <v>100</v>
      </c>
      <c r="AS399" s="1">
        <v>24.9</v>
      </c>
      <c r="AT399" s="3">
        <v>4</v>
      </c>
      <c r="AU399" s="3" t="s">
        <v>3051</v>
      </c>
    </row>
    <row r="400" spans="1:47" x14ac:dyDescent="0.3">
      <c r="A400" s="1" t="s">
        <v>1137</v>
      </c>
      <c r="B400" s="1" t="s">
        <v>1136</v>
      </c>
      <c r="C400" s="1" t="s">
        <v>90</v>
      </c>
      <c r="D400" s="1" t="s">
        <v>52</v>
      </c>
      <c r="E400" s="1" t="s">
        <v>1135</v>
      </c>
      <c r="F400" t="s">
        <v>3163</v>
      </c>
      <c r="G400" t="s">
        <v>3106</v>
      </c>
      <c r="H400" t="s">
        <v>3261</v>
      </c>
      <c r="I400" t="s">
        <v>52</v>
      </c>
      <c r="J400" t="s">
        <v>52</v>
      </c>
      <c r="K400" t="s">
        <v>52</v>
      </c>
      <c r="L400" s="2">
        <v>1</v>
      </c>
      <c r="M400" s="2">
        <v>1</v>
      </c>
      <c r="N400" s="2">
        <v>1</v>
      </c>
      <c r="O400" s="2">
        <v>1</v>
      </c>
      <c r="P400" s="2">
        <v>1</v>
      </c>
      <c r="Q400" s="2">
        <v>2</v>
      </c>
      <c r="R400" s="2">
        <v>1</v>
      </c>
      <c r="S400" s="2">
        <v>1</v>
      </c>
      <c r="T400" s="2">
        <v>0</v>
      </c>
      <c r="U400" s="2">
        <v>1</v>
      </c>
      <c r="V400" s="2">
        <v>1</v>
      </c>
      <c r="W400" s="2">
        <v>1</v>
      </c>
      <c r="X400" s="2">
        <v>1</v>
      </c>
      <c r="Y400" s="2">
        <v>1</v>
      </c>
      <c r="Z400" s="2">
        <v>1</v>
      </c>
      <c r="AA400" s="2">
        <v>1</v>
      </c>
      <c r="AB400" s="2">
        <v>1</v>
      </c>
      <c r="AC400" s="2">
        <v>1</v>
      </c>
      <c r="AD400" s="2">
        <v>45</v>
      </c>
      <c r="AE400" s="2">
        <v>3840</v>
      </c>
      <c r="AF400" s="2">
        <v>70</v>
      </c>
      <c r="AG400" s="2">
        <v>250</v>
      </c>
      <c r="AH400" s="2">
        <v>255</v>
      </c>
      <c r="AI400" s="2">
        <v>40</v>
      </c>
      <c r="AJ400" s="1">
        <v>1000000</v>
      </c>
      <c r="AK400" s="1">
        <v>0.5</v>
      </c>
      <c r="AL400" s="1">
        <v>59</v>
      </c>
      <c r="AM400" s="2">
        <v>50</v>
      </c>
      <c r="AN400" s="2">
        <f t="shared" si="6"/>
        <v>50</v>
      </c>
      <c r="AO400" s="3">
        <v>399</v>
      </c>
      <c r="AP400" s="3">
        <v>35</v>
      </c>
      <c r="AQ400" s="3">
        <v>40</v>
      </c>
      <c r="AR400" s="3">
        <v>31</v>
      </c>
      <c r="AS400" s="1">
        <v>20</v>
      </c>
      <c r="AT400" s="3">
        <v>4</v>
      </c>
      <c r="AU400" s="3" t="s">
        <v>3051</v>
      </c>
    </row>
    <row r="401" spans="1:47" x14ac:dyDescent="0.3">
      <c r="A401" s="1" t="s">
        <v>1140</v>
      </c>
      <c r="B401" s="1" t="s">
        <v>1139</v>
      </c>
      <c r="C401" s="1" t="s">
        <v>90</v>
      </c>
      <c r="D401" s="1" t="s">
        <v>62</v>
      </c>
      <c r="E401" s="1" t="s">
        <v>1138</v>
      </c>
      <c r="F401" t="s">
        <v>3163</v>
      </c>
      <c r="G401" t="s">
        <v>3106</v>
      </c>
      <c r="H401" t="s">
        <v>3261</v>
      </c>
      <c r="I401" t="s">
        <v>52</v>
      </c>
      <c r="J401" t="s">
        <v>52</v>
      </c>
      <c r="K401" t="s">
        <v>52</v>
      </c>
      <c r="L401" s="2">
        <v>1</v>
      </c>
      <c r="M401" s="2">
        <v>1</v>
      </c>
      <c r="N401" s="2">
        <v>1</v>
      </c>
      <c r="O401" s="2">
        <v>2</v>
      </c>
      <c r="P401" s="2">
        <v>1</v>
      </c>
      <c r="Q401" s="2">
        <v>2</v>
      </c>
      <c r="R401" s="2">
        <v>0.5</v>
      </c>
      <c r="S401" s="2">
        <v>1</v>
      </c>
      <c r="T401" s="2">
        <v>0</v>
      </c>
      <c r="U401" s="2">
        <v>2</v>
      </c>
      <c r="V401" s="2">
        <v>1</v>
      </c>
      <c r="W401" s="2">
        <v>0.5</v>
      </c>
      <c r="X401" s="2">
        <v>1</v>
      </c>
      <c r="Y401" s="2">
        <v>1</v>
      </c>
      <c r="Z401" s="2">
        <v>1</v>
      </c>
      <c r="AA401" s="2">
        <v>1</v>
      </c>
      <c r="AB401" s="2">
        <v>0.5</v>
      </c>
      <c r="AC401" s="2">
        <v>0.5</v>
      </c>
      <c r="AD401" s="2">
        <v>85</v>
      </c>
      <c r="AE401" s="2">
        <v>3840</v>
      </c>
      <c r="AF401" s="2">
        <v>70</v>
      </c>
      <c r="AG401" s="2">
        <v>410</v>
      </c>
      <c r="AH401" s="2">
        <v>127</v>
      </c>
      <c r="AI401" s="2">
        <v>60</v>
      </c>
      <c r="AJ401" s="1">
        <v>1000000</v>
      </c>
      <c r="AK401" s="1">
        <v>1</v>
      </c>
      <c r="AL401" s="1">
        <v>79</v>
      </c>
      <c r="AM401" s="2">
        <v>50</v>
      </c>
      <c r="AN401" s="2">
        <f t="shared" si="6"/>
        <v>50</v>
      </c>
      <c r="AO401" s="3">
        <v>400</v>
      </c>
      <c r="AP401" s="3">
        <v>55</v>
      </c>
      <c r="AQ401" s="3">
        <v>60</v>
      </c>
      <c r="AR401" s="3">
        <v>71</v>
      </c>
      <c r="AS401" s="1">
        <v>31.5</v>
      </c>
      <c r="AT401" s="3">
        <v>4</v>
      </c>
      <c r="AU401" s="3" t="s">
        <v>3051</v>
      </c>
    </row>
    <row r="402" spans="1:47" x14ac:dyDescent="0.3">
      <c r="A402" s="1" t="s">
        <v>1143</v>
      </c>
      <c r="B402" s="1" t="s">
        <v>1142</v>
      </c>
      <c r="C402" s="1" t="s">
        <v>72</v>
      </c>
      <c r="D402" s="1" t="s">
        <v>52</v>
      </c>
      <c r="E402" s="1" t="s">
        <v>1141</v>
      </c>
      <c r="F402" t="s">
        <v>3054</v>
      </c>
      <c r="G402" t="s">
        <v>3119</v>
      </c>
      <c r="H402" t="s">
        <v>52</v>
      </c>
      <c r="I402" t="s">
        <v>52</v>
      </c>
      <c r="J402" t="s">
        <v>52</v>
      </c>
      <c r="K402" t="s">
        <v>52</v>
      </c>
      <c r="L402" s="2">
        <v>1</v>
      </c>
      <c r="M402" s="2">
        <v>1</v>
      </c>
      <c r="N402" s="2">
        <v>1</v>
      </c>
      <c r="O402" s="2">
        <v>1</v>
      </c>
      <c r="P402" s="2">
        <v>1</v>
      </c>
      <c r="Q402" s="2">
        <v>0.5</v>
      </c>
      <c r="R402" s="2">
        <v>2</v>
      </c>
      <c r="S402" s="2">
        <v>2</v>
      </c>
      <c r="T402" s="2">
        <v>1</v>
      </c>
      <c r="U402" s="2">
        <v>0.5</v>
      </c>
      <c r="V402" s="2">
        <v>0.5</v>
      </c>
      <c r="W402" s="2">
        <v>1</v>
      </c>
      <c r="X402" s="2">
        <v>1</v>
      </c>
      <c r="Y402" s="2">
        <v>1</v>
      </c>
      <c r="Z402" s="2">
        <v>1</v>
      </c>
      <c r="AA402" s="2">
        <v>2</v>
      </c>
      <c r="AB402" s="2">
        <v>1</v>
      </c>
      <c r="AC402" s="2">
        <v>1</v>
      </c>
      <c r="AD402" s="2">
        <v>25</v>
      </c>
      <c r="AE402" s="2">
        <v>3840</v>
      </c>
      <c r="AF402" s="2">
        <v>70</v>
      </c>
      <c r="AG402" s="2">
        <v>194</v>
      </c>
      <c r="AH402" s="2">
        <v>255</v>
      </c>
      <c r="AI402" s="2">
        <v>41</v>
      </c>
      <c r="AJ402" s="1">
        <v>1059860</v>
      </c>
      <c r="AK402" s="1">
        <v>0.3</v>
      </c>
      <c r="AL402" s="1">
        <v>37</v>
      </c>
      <c r="AM402" s="2">
        <v>50</v>
      </c>
      <c r="AN402" s="2">
        <f t="shared" si="6"/>
        <v>50</v>
      </c>
      <c r="AO402" s="3">
        <v>401</v>
      </c>
      <c r="AP402" s="3">
        <v>25</v>
      </c>
      <c r="AQ402" s="3">
        <v>41</v>
      </c>
      <c r="AR402" s="3">
        <v>25</v>
      </c>
      <c r="AS402" s="1">
        <v>2.2000000000000002</v>
      </c>
      <c r="AT402" s="3">
        <v>4</v>
      </c>
      <c r="AU402" s="3" t="s">
        <v>3051</v>
      </c>
    </row>
    <row r="403" spans="1:47" x14ac:dyDescent="0.3">
      <c r="A403" s="1" t="s">
        <v>1145</v>
      </c>
      <c r="B403" s="1" t="s">
        <v>1144</v>
      </c>
      <c r="C403" s="1" t="s">
        <v>72</v>
      </c>
      <c r="D403" s="1" t="s">
        <v>52</v>
      </c>
      <c r="E403" s="1" t="s">
        <v>1141</v>
      </c>
      <c r="F403" t="s">
        <v>3093</v>
      </c>
      <c r="G403" t="s">
        <v>3169</v>
      </c>
      <c r="H403" t="s">
        <v>52</v>
      </c>
      <c r="I403" t="s">
        <v>52</v>
      </c>
      <c r="J403" t="s">
        <v>52</v>
      </c>
      <c r="K403" t="s">
        <v>52</v>
      </c>
      <c r="L403" s="2">
        <v>1</v>
      </c>
      <c r="M403" s="2">
        <v>1</v>
      </c>
      <c r="N403" s="2">
        <v>1</v>
      </c>
      <c r="O403" s="2">
        <v>1</v>
      </c>
      <c r="P403" s="2">
        <v>1</v>
      </c>
      <c r="Q403" s="2">
        <v>0.5</v>
      </c>
      <c r="R403" s="2">
        <v>2</v>
      </c>
      <c r="S403" s="2">
        <v>2</v>
      </c>
      <c r="T403" s="2">
        <v>1</v>
      </c>
      <c r="U403" s="2">
        <v>0.5</v>
      </c>
      <c r="V403" s="2">
        <v>0.5</v>
      </c>
      <c r="W403" s="2">
        <v>1</v>
      </c>
      <c r="X403" s="2">
        <v>1</v>
      </c>
      <c r="Y403" s="2">
        <v>1</v>
      </c>
      <c r="Z403" s="2">
        <v>1</v>
      </c>
      <c r="AA403" s="2">
        <v>2</v>
      </c>
      <c r="AB403" s="2">
        <v>1</v>
      </c>
      <c r="AC403" s="2">
        <v>1</v>
      </c>
      <c r="AD403" s="2">
        <v>85</v>
      </c>
      <c r="AE403" s="2">
        <v>3840</v>
      </c>
      <c r="AF403" s="2">
        <v>70</v>
      </c>
      <c r="AG403" s="2">
        <v>384</v>
      </c>
      <c r="AH403" s="2">
        <v>45</v>
      </c>
      <c r="AI403" s="2">
        <v>51</v>
      </c>
      <c r="AJ403" s="1">
        <v>1059860</v>
      </c>
      <c r="AK403" s="1">
        <v>1</v>
      </c>
      <c r="AL403" s="1">
        <v>77</v>
      </c>
      <c r="AM403" s="2">
        <v>50</v>
      </c>
      <c r="AN403" s="2">
        <f t="shared" si="6"/>
        <v>50</v>
      </c>
      <c r="AO403" s="3">
        <v>402</v>
      </c>
      <c r="AP403" s="3">
        <v>55</v>
      </c>
      <c r="AQ403" s="3">
        <v>51</v>
      </c>
      <c r="AR403" s="3">
        <v>65</v>
      </c>
      <c r="AS403" s="1">
        <v>25.5</v>
      </c>
      <c r="AT403" s="3">
        <v>4</v>
      </c>
      <c r="AU403" s="3" t="s">
        <v>3051</v>
      </c>
    </row>
    <row r="404" spans="1:47" x14ac:dyDescent="0.3">
      <c r="A404" s="1" t="s">
        <v>1148</v>
      </c>
      <c r="B404" s="1" t="s">
        <v>1147</v>
      </c>
      <c r="C404" s="1" t="s">
        <v>115</v>
      </c>
      <c r="D404" s="1" t="s">
        <v>52</v>
      </c>
      <c r="E404" s="1" t="s">
        <v>1146</v>
      </c>
      <c r="F404" t="s">
        <v>3164</v>
      </c>
      <c r="G404" t="s">
        <v>3120</v>
      </c>
      <c r="H404" t="s">
        <v>3131</v>
      </c>
      <c r="I404" t="s">
        <v>52</v>
      </c>
      <c r="J404" t="s">
        <v>52</v>
      </c>
      <c r="K404" t="s">
        <v>52</v>
      </c>
      <c r="L404" s="2">
        <v>1</v>
      </c>
      <c r="M404" s="2">
        <v>1</v>
      </c>
      <c r="N404" s="2">
        <v>1</v>
      </c>
      <c r="O404" s="2">
        <v>0.5</v>
      </c>
      <c r="P404" s="2">
        <v>1</v>
      </c>
      <c r="Q404" s="2">
        <v>1</v>
      </c>
      <c r="R404" s="2">
        <v>1</v>
      </c>
      <c r="S404" s="2">
        <v>0.5</v>
      </c>
      <c r="T404" s="2">
        <v>1</v>
      </c>
      <c r="U404" s="2">
        <v>1</v>
      </c>
      <c r="V404" s="2">
        <v>2</v>
      </c>
      <c r="W404" s="2">
        <v>1</v>
      </c>
      <c r="X404" s="2">
        <v>1</v>
      </c>
      <c r="Y404" s="2">
        <v>1</v>
      </c>
      <c r="Z404" s="2">
        <v>1</v>
      </c>
      <c r="AA404" s="2">
        <v>1</v>
      </c>
      <c r="AB404" s="2">
        <v>0.5</v>
      </c>
      <c r="AC404" s="2">
        <v>1</v>
      </c>
      <c r="AD404" s="2">
        <v>65</v>
      </c>
      <c r="AE404" s="2">
        <v>5120</v>
      </c>
      <c r="AF404" s="2">
        <v>70</v>
      </c>
      <c r="AG404" s="2">
        <v>263</v>
      </c>
      <c r="AH404" s="2">
        <v>235</v>
      </c>
      <c r="AI404" s="2">
        <v>34</v>
      </c>
      <c r="AJ404" s="1">
        <v>1059860</v>
      </c>
      <c r="AK404" s="1">
        <v>0.5</v>
      </c>
      <c r="AL404" s="1">
        <v>45</v>
      </c>
      <c r="AM404" s="2">
        <v>50</v>
      </c>
      <c r="AN404" s="2">
        <f t="shared" si="6"/>
        <v>50</v>
      </c>
      <c r="AO404" s="3">
        <v>403</v>
      </c>
      <c r="AP404" s="3">
        <v>40</v>
      </c>
      <c r="AQ404" s="3">
        <v>34</v>
      </c>
      <c r="AR404" s="3">
        <v>45</v>
      </c>
      <c r="AS404" s="1">
        <v>9.5</v>
      </c>
      <c r="AT404" s="3">
        <v>4</v>
      </c>
      <c r="AU404" s="3" t="s">
        <v>3051</v>
      </c>
    </row>
    <row r="405" spans="1:47" x14ac:dyDescent="0.3">
      <c r="A405" s="1" t="s">
        <v>1151</v>
      </c>
      <c r="B405" s="1" t="s">
        <v>1150</v>
      </c>
      <c r="C405" s="1" t="s">
        <v>115</v>
      </c>
      <c r="D405" s="1" t="s">
        <v>52</v>
      </c>
      <c r="E405" s="1" t="s">
        <v>1149</v>
      </c>
      <c r="F405" t="s">
        <v>3164</v>
      </c>
      <c r="G405" t="s">
        <v>3120</v>
      </c>
      <c r="H405" t="s">
        <v>3131</v>
      </c>
      <c r="I405" t="s">
        <v>52</v>
      </c>
      <c r="J405" t="s">
        <v>52</v>
      </c>
      <c r="K405" t="s">
        <v>52</v>
      </c>
      <c r="L405" s="2">
        <v>1</v>
      </c>
      <c r="M405" s="2">
        <v>1</v>
      </c>
      <c r="N405" s="2">
        <v>1</v>
      </c>
      <c r="O405" s="2">
        <v>0.5</v>
      </c>
      <c r="P405" s="2">
        <v>1</v>
      </c>
      <c r="Q405" s="2">
        <v>1</v>
      </c>
      <c r="R405" s="2">
        <v>1</v>
      </c>
      <c r="S405" s="2">
        <v>0.5</v>
      </c>
      <c r="T405" s="2">
        <v>1</v>
      </c>
      <c r="U405" s="2">
        <v>1</v>
      </c>
      <c r="V405" s="2">
        <v>2</v>
      </c>
      <c r="W405" s="2">
        <v>1</v>
      </c>
      <c r="X405" s="2">
        <v>1</v>
      </c>
      <c r="Y405" s="2">
        <v>1</v>
      </c>
      <c r="Z405" s="2">
        <v>1</v>
      </c>
      <c r="AA405" s="2">
        <v>1</v>
      </c>
      <c r="AB405" s="2">
        <v>0.5</v>
      </c>
      <c r="AC405" s="2">
        <v>1</v>
      </c>
      <c r="AD405" s="2">
        <v>85</v>
      </c>
      <c r="AE405" s="2">
        <v>5120</v>
      </c>
      <c r="AF405" s="2">
        <v>100</v>
      </c>
      <c r="AG405" s="2">
        <v>363</v>
      </c>
      <c r="AH405" s="2">
        <v>120</v>
      </c>
      <c r="AI405" s="2">
        <v>49</v>
      </c>
      <c r="AJ405" s="1">
        <v>1059860</v>
      </c>
      <c r="AK405" s="1">
        <v>0.9</v>
      </c>
      <c r="AL405" s="1">
        <v>60</v>
      </c>
      <c r="AM405" s="2">
        <v>50</v>
      </c>
      <c r="AN405" s="2">
        <f t="shared" si="6"/>
        <v>50</v>
      </c>
      <c r="AO405" s="3">
        <v>404</v>
      </c>
      <c r="AP405" s="3">
        <v>60</v>
      </c>
      <c r="AQ405" s="3">
        <v>49</v>
      </c>
      <c r="AR405" s="3">
        <v>60</v>
      </c>
      <c r="AS405" s="1">
        <v>30.5</v>
      </c>
      <c r="AT405" s="3">
        <v>4</v>
      </c>
      <c r="AU405" s="3" t="s">
        <v>3051</v>
      </c>
    </row>
    <row r="406" spans="1:47" x14ac:dyDescent="0.3">
      <c r="A406" s="1" t="s">
        <v>1154</v>
      </c>
      <c r="B406" s="1" t="s">
        <v>1153</v>
      </c>
      <c r="C406" s="1" t="s">
        <v>115</v>
      </c>
      <c r="D406" s="1" t="s">
        <v>52</v>
      </c>
      <c r="E406" s="1" t="s">
        <v>1152</v>
      </c>
      <c r="F406" t="s">
        <v>3164</v>
      </c>
      <c r="G406" t="s">
        <v>3120</v>
      </c>
      <c r="H406" t="s">
        <v>3131</v>
      </c>
      <c r="I406" t="s">
        <v>52</v>
      </c>
      <c r="J406" t="s">
        <v>52</v>
      </c>
      <c r="K406" t="s">
        <v>52</v>
      </c>
      <c r="L406" s="2">
        <v>1</v>
      </c>
      <c r="M406" s="2">
        <v>1</v>
      </c>
      <c r="N406" s="2">
        <v>1</v>
      </c>
      <c r="O406" s="2">
        <v>0.5</v>
      </c>
      <c r="P406" s="2">
        <v>1</v>
      </c>
      <c r="Q406" s="2">
        <v>1</v>
      </c>
      <c r="R406" s="2">
        <v>1</v>
      </c>
      <c r="S406" s="2">
        <v>0.5</v>
      </c>
      <c r="T406" s="2">
        <v>1</v>
      </c>
      <c r="U406" s="2">
        <v>1</v>
      </c>
      <c r="V406" s="2">
        <v>2</v>
      </c>
      <c r="W406" s="2">
        <v>1</v>
      </c>
      <c r="X406" s="2">
        <v>1</v>
      </c>
      <c r="Y406" s="2">
        <v>1</v>
      </c>
      <c r="Z406" s="2">
        <v>1</v>
      </c>
      <c r="AA406" s="2">
        <v>1</v>
      </c>
      <c r="AB406" s="2">
        <v>0.5</v>
      </c>
      <c r="AC406" s="2">
        <v>1</v>
      </c>
      <c r="AD406" s="2">
        <v>120</v>
      </c>
      <c r="AE406" s="2">
        <v>5120</v>
      </c>
      <c r="AF406" s="2">
        <v>70</v>
      </c>
      <c r="AG406" s="2">
        <v>523</v>
      </c>
      <c r="AH406" s="2">
        <v>45</v>
      </c>
      <c r="AI406" s="2">
        <v>79</v>
      </c>
      <c r="AJ406" s="1">
        <v>1059860</v>
      </c>
      <c r="AK406" s="1">
        <v>1.4</v>
      </c>
      <c r="AL406" s="1">
        <v>80</v>
      </c>
      <c r="AM406" s="2">
        <v>50</v>
      </c>
      <c r="AN406" s="2">
        <f t="shared" si="6"/>
        <v>50</v>
      </c>
      <c r="AO406" s="3">
        <v>405</v>
      </c>
      <c r="AP406" s="3">
        <v>95</v>
      </c>
      <c r="AQ406" s="3">
        <v>79</v>
      </c>
      <c r="AR406" s="3">
        <v>70</v>
      </c>
      <c r="AS406" s="1">
        <v>42</v>
      </c>
      <c r="AT406" s="3">
        <v>4</v>
      </c>
      <c r="AU406" s="3" t="s">
        <v>3051</v>
      </c>
    </row>
    <row r="407" spans="1:47" x14ac:dyDescent="0.3">
      <c r="A407" s="1" t="s">
        <v>1157</v>
      </c>
      <c r="B407" s="1" t="s">
        <v>1156</v>
      </c>
      <c r="C407" s="1" t="s">
        <v>42</v>
      </c>
      <c r="D407" s="1" t="s">
        <v>43</v>
      </c>
      <c r="E407" s="1" t="s">
        <v>1155</v>
      </c>
      <c r="F407" t="s">
        <v>3058</v>
      </c>
      <c r="G407" t="s">
        <v>3123</v>
      </c>
      <c r="H407" t="s">
        <v>3174</v>
      </c>
      <c r="I407" t="s">
        <v>52</v>
      </c>
      <c r="J407" t="s">
        <v>52</v>
      </c>
      <c r="K407" t="s">
        <v>52</v>
      </c>
      <c r="L407" s="2">
        <v>1</v>
      </c>
      <c r="M407" s="2">
        <v>1</v>
      </c>
      <c r="N407" s="2">
        <v>1</v>
      </c>
      <c r="O407" s="2">
        <v>0.5</v>
      </c>
      <c r="P407" s="2">
        <v>0.5</v>
      </c>
      <c r="Q407" s="2">
        <v>0.5</v>
      </c>
      <c r="R407" s="2">
        <v>2</v>
      </c>
      <c r="S407" s="2">
        <v>2</v>
      </c>
      <c r="T407" s="2">
        <v>1</v>
      </c>
      <c r="U407" s="2">
        <v>0.25</v>
      </c>
      <c r="V407" s="2">
        <v>1</v>
      </c>
      <c r="W407" s="2">
        <v>2</v>
      </c>
      <c r="X407" s="2">
        <v>1</v>
      </c>
      <c r="Y407" s="2">
        <v>1</v>
      </c>
      <c r="Z407" s="2">
        <v>2</v>
      </c>
      <c r="AA407" s="2">
        <v>1</v>
      </c>
      <c r="AB407" s="2">
        <v>1</v>
      </c>
      <c r="AC407" s="2">
        <v>0.5</v>
      </c>
      <c r="AD407" s="2">
        <v>30</v>
      </c>
      <c r="AE407" s="2">
        <v>5120</v>
      </c>
      <c r="AF407" s="2">
        <v>70</v>
      </c>
      <c r="AG407" s="2">
        <v>280</v>
      </c>
      <c r="AH407" s="2">
        <v>255</v>
      </c>
      <c r="AI407" s="2">
        <v>35</v>
      </c>
      <c r="AJ407" s="1">
        <v>1059860</v>
      </c>
      <c r="AK407" s="1">
        <v>0.2</v>
      </c>
      <c r="AL407" s="1">
        <v>40</v>
      </c>
      <c r="AM407" s="2">
        <v>50</v>
      </c>
      <c r="AN407" s="2">
        <f t="shared" si="6"/>
        <v>50</v>
      </c>
      <c r="AO407" s="3">
        <v>406</v>
      </c>
      <c r="AP407" s="3">
        <v>50</v>
      </c>
      <c r="AQ407" s="3">
        <v>70</v>
      </c>
      <c r="AR407" s="3">
        <v>55</v>
      </c>
      <c r="AS407" s="1">
        <v>1.2</v>
      </c>
      <c r="AT407" s="3">
        <v>4</v>
      </c>
      <c r="AU407" s="3" t="s">
        <v>3051</v>
      </c>
    </row>
    <row r="408" spans="1:47" x14ac:dyDescent="0.3">
      <c r="A408" s="1" t="s">
        <v>1160</v>
      </c>
      <c r="B408" s="1" t="s">
        <v>1159</v>
      </c>
      <c r="C408" s="1" t="s">
        <v>42</v>
      </c>
      <c r="D408" s="1" t="s">
        <v>43</v>
      </c>
      <c r="E408" s="1" t="s">
        <v>1158</v>
      </c>
      <c r="F408" t="s">
        <v>3058</v>
      </c>
      <c r="G408" t="s">
        <v>3123</v>
      </c>
      <c r="H408" t="s">
        <v>3169</v>
      </c>
      <c r="I408" t="s">
        <v>52</v>
      </c>
      <c r="J408" t="s">
        <v>52</v>
      </c>
      <c r="K408" t="s">
        <v>52</v>
      </c>
      <c r="L408" s="2">
        <v>1</v>
      </c>
      <c r="M408" s="2">
        <v>1</v>
      </c>
      <c r="N408" s="2">
        <v>1</v>
      </c>
      <c r="O408" s="2">
        <v>0.5</v>
      </c>
      <c r="P408" s="2">
        <v>0.5</v>
      </c>
      <c r="Q408" s="2">
        <v>0.5</v>
      </c>
      <c r="R408" s="2">
        <v>2</v>
      </c>
      <c r="S408" s="2">
        <v>2</v>
      </c>
      <c r="T408" s="2">
        <v>1</v>
      </c>
      <c r="U408" s="2">
        <v>0.25</v>
      </c>
      <c r="V408" s="2">
        <v>1</v>
      </c>
      <c r="W408" s="2">
        <v>2</v>
      </c>
      <c r="X408" s="2">
        <v>1</v>
      </c>
      <c r="Y408" s="2">
        <v>1</v>
      </c>
      <c r="Z408" s="2">
        <v>2</v>
      </c>
      <c r="AA408" s="2">
        <v>1</v>
      </c>
      <c r="AB408" s="2">
        <v>1</v>
      </c>
      <c r="AC408" s="2">
        <v>0.5</v>
      </c>
      <c r="AD408" s="2">
        <v>70</v>
      </c>
      <c r="AE408" s="2">
        <v>5120</v>
      </c>
      <c r="AF408" s="2">
        <v>70</v>
      </c>
      <c r="AG408" s="2">
        <v>515</v>
      </c>
      <c r="AH408" s="2">
        <v>75</v>
      </c>
      <c r="AI408" s="2">
        <v>65</v>
      </c>
      <c r="AJ408" s="1">
        <v>1059860</v>
      </c>
      <c r="AK408" s="1">
        <v>0.9</v>
      </c>
      <c r="AL408" s="1">
        <v>60</v>
      </c>
      <c r="AM408" s="2">
        <v>50</v>
      </c>
      <c r="AN408" s="2">
        <f t="shared" si="6"/>
        <v>50</v>
      </c>
      <c r="AO408" s="3">
        <v>407</v>
      </c>
      <c r="AP408" s="3">
        <v>125</v>
      </c>
      <c r="AQ408" s="3">
        <v>105</v>
      </c>
      <c r="AR408" s="3">
        <v>90</v>
      </c>
      <c r="AS408" s="1">
        <v>14.5</v>
      </c>
      <c r="AT408" s="3">
        <v>4</v>
      </c>
      <c r="AU408" s="3" t="s">
        <v>3051</v>
      </c>
    </row>
    <row r="409" spans="1:47" x14ac:dyDescent="0.3">
      <c r="A409" s="1" t="s">
        <v>1163</v>
      </c>
      <c r="B409" s="1" t="s">
        <v>1162</v>
      </c>
      <c r="C409" s="1" t="s">
        <v>243</v>
      </c>
      <c r="D409" s="1" t="s">
        <v>52</v>
      </c>
      <c r="E409" s="1" t="s">
        <v>1161</v>
      </c>
      <c r="F409" t="s">
        <v>3165</v>
      </c>
      <c r="G409" t="s">
        <v>3184</v>
      </c>
      <c r="H409" t="s">
        <v>52</v>
      </c>
      <c r="I409" t="s">
        <v>52</v>
      </c>
      <c r="J409" t="s">
        <v>52</v>
      </c>
      <c r="K409" t="s">
        <v>52</v>
      </c>
      <c r="L409" s="2">
        <v>1</v>
      </c>
      <c r="M409" s="2">
        <v>1</v>
      </c>
      <c r="N409" s="2">
        <v>1</v>
      </c>
      <c r="O409" s="2">
        <v>1</v>
      </c>
      <c r="P409" s="2">
        <v>1</v>
      </c>
      <c r="Q409" s="2">
        <v>2</v>
      </c>
      <c r="R409" s="2">
        <v>0.5</v>
      </c>
      <c r="S409" s="2">
        <v>0.5</v>
      </c>
      <c r="T409" s="2">
        <v>1</v>
      </c>
      <c r="U409" s="2">
        <v>2</v>
      </c>
      <c r="V409" s="2">
        <v>2</v>
      </c>
      <c r="W409" s="2">
        <v>1</v>
      </c>
      <c r="X409" s="2">
        <v>0.5</v>
      </c>
      <c r="Y409" s="2">
        <v>0.5</v>
      </c>
      <c r="Z409" s="2">
        <v>1</v>
      </c>
      <c r="AA409" s="2">
        <v>1</v>
      </c>
      <c r="AB409" s="2">
        <v>2</v>
      </c>
      <c r="AC409" s="2">
        <v>2</v>
      </c>
      <c r="AD409" s="2">
        <v>125</v>
      </c>
      <c r="AE409" s="2">
        <v>7680</v>
      </c>
      <c r="AF409" s="2">
        <v>70</v>
      </c>
      <c r="AG409" s="2">
        <v>350</v>
      </c>
      <c r="AH409" s="2">
        <v>45</v>
      </c>
      <c r="AI409" s="2">
        <v>40</v>
      </c>
      <c r="AJ409" s="1">
        <v>600000</v>
      </c>
      <c r="AK409" s="1">
        <v>0.9</v>
      </c>
      <c r="AL409" s="1">
        <v>67</v>
      </c>
      <c r="AM409" s="2">
        <v>88.1</v>
      </c>
      <c r="AN409" s="2">
        <f t="shared" si="6"/>
        <v>11.900000000000006</v>
      </c>
      <c r="AO409" s="3">
        <v>408</v>
      </c>
      <c r="AP409" s="3">
        <v>30</v>
      </c>
      <c r="AQ409" s="3">
        <v>30</v>
      </c>
      <c r="AR409" s="3">
        <v>58</v>
      </c>
      <c r="AS409" s="1">
        <v>31.5</v>
      </c>
      <c r="AT409" s="3">
        <v>4</v>
      </c>
      <c r="AU409" s="3" t="s">
        <v>3051</v>
      </c>
    </row>
    <row r="410" spans="1:47" x14ac:dyDescent="0.3">
      <c r="A410" s="1" t="s">
        <v>1165</v>
      </c>
      <c r="B410" s="1" t="s">
        <v>1164</v>
      </c>
      <c r="C410" s="1" t="s">
        <v>243</v>
      </c>
      <c r="D410" s="1" t="s">
        <v>52</v>
      </c>
      <c r="E410" s="1" t="s">
        <v>1161</v>
      </c>
      <c r="F410" t="s">
        <v>3165</v>
      </c>
      <c r="G410" t="s">
        <v>3184</v>
      </c>
      <c r="H410" t="s">
        <v>52</v>
      </c>
      <c r="I410" t="s">
        <v>52</v>
      </c>
      <c r="J410" t="s">
        <v>52</v>
      </c>
      <c r="K410" t="s">
        <v>52</v>
      </c>
      <c r="L410" s="2">
        <v>1</v>
      </c>
      <c r="M410" s="2">
        <v>1</v>
      </c>
      <c r="N410" s="2">
        <v>1</v>
      </c>
      <c r="O410" s="2">
        <v>1</v>
      </c>
      <c r="P410" s="2">
        <v>1</v>
      </c>
      <c r="Q410" s="2">
        <v>2</v>
      </c>
      <c r="R410" s="2">
        <v>0.5</v>
      </c>
      <c r="S410" s="2">
        <v>0.5</v>
      </c>
      <c r="T410" s="2">
        <v>1</v>
      </c>
      <c r="U410" s="2">
        <v>2</v>
      </c>
      <c r="V410" s="2">
        <v>2</v>
      </c>
      <c r="W410" s="2">
        <v>1</v>
      </c>
      <c r="X410" s="2">
        <v>0.5</v>
      </c>
      <c r="Y410" s="2">
        <v>0.5</v>
      </c>
      <c r="Z410" s="2">
        <v>1</v>
      </c>
      <c r="AA410" s="2">
        <v>1</v>
      </c>
      <c r="AB410" s="2">
        <v>2</v>
      </c>
      <c r="AC410" s="2">
        <v>2</v>
      </c>
      <c r="AD410" s="2">
        <v>165</v>
      </c>
      <c r="AE410" s="2">
        <v>7680</v>
      </c>
      <c r="AF410" s="2">
        <v>70</v>
      </c>
      <c r="AG410" s="2">
        <v>495</v>
      </c>
      <c r="AH410" s="2">
        <v>45</v>
      </c>
      <c r="AI410" s="2">
        <v>60</v>
      </c>
      <c r="AJ410" s="1">
        <v>600000</v>
      </c>
      <c r="AK410" s="1">
        <v>1.6</v>
      </c>
      <c r="AL410" s="1">
        <v>97</v>
      </c>
      <c r="AM410" s="2">
        <v>88.1</v>
      </c>
      <c r="AN410" s="2">
        <f t="shared" si="6"/>
        <v>11.900000000000006</v>
      </c>
      <c r="AO410" s="3">
        <v>409</v>
      </c>
      <c r="AP410" s="3">
        <v>65</v>
      </c>
      <c r="AQ410" s="3">
        <v>50</v>
      </c>
      <c r="AR410" s="3">
        <v>58</v>
      </c>
      <c r="AS410" s="1">
        <v>102.5</v>
      </c>
      <c r="AT410" s="3">
        <v>4</v>
      </c>
      <c r="AU410" s="3" t="s">
        <v>3051</v>
      </c>
    </row>
    <row r="411" spans="1:47" x14ac:dyDescent="0.3">
      <c r="A411" s="1" t="s">
        <v>1168</v>
      </c>
      <c r="B411" s="1" t="s">
        <v>1167</v>
      </c>
      <c r="C411" s="1" t="s">
        <v>243</v>
      </c>
      <c r="D411" s="1" t="s">
        <v>263</v>
      </c>
      <c r="E411" s="1" t="s">
        <v>1166</v>
      </c>
      <c r="F411" t="s">
        <v>3107</v>
      </c>
      <c r="G411" t="s">
        <v>3139</v>
      </c>
      <c r="H411" t="s">
        <v>52</v>
      </c>
      <c r="I411" t="s">
        <v>52</v>
      </c>
      <c r="J411" t="s">
        <v>52</v>
      </c>
      <c r="K411" t="s">
        <v>52</v>
      </c>
      <c r="L411" s="2">
        <v>0.5</v>
      </c>
      <c r="M411" s="2">
        <v>1</v>
      </c>
      <c r="N411" s="2">
        <v>0.5</v>
      </c>
      <c r="O411" s="2">
        <v>1</v>
      </c>
      <c r="P411" s="2">
        <v>0.5</v>
      </c>
      <c r="Q411" s="2">
        <v>4</v>
      </c>
      <c r="R411" s="2">
        <v>1</v>
      </c>
      <c r="S411" s="2">
        <v>0.25</v>
      </c>
      <c r="T411" s="2">
        <v>1</v>
      </c>
      <c r="U411" s="2">
        <v>1</v>
      </c>
      <c r="V411" s="2">
        <v>4</v>
      </c>
      <c r="W411" s="2">
        <v>0.5</v>
      </c>
      <c r="X411" s="2">
        <v>0.25</v>
      </c>
      <c r="Y411" s="2">
        <v>0</v>
      </c>
      <c r="Z411" s="2">
        <v>0.5</v>
      </c>
      <c r="AA411" s="2">
        <v>0.5</v>
      </c>
      <c r="AB411" s="2">
        <v>1</v>
      </c>
      <c r="AC411" s="2">
        <v>2</v>
      </c>
      <c r="AD411" s="2">
        <v>42</v>
      </c>
      <c r="AE411" s="2">
        <v>7680</v>
      </c>
      <c r="AF411" s="2">
        <v>70</v>
      </c>
      <c r="AG411" s="2">
        <v>350</v>
      </c>
      <c r="AH411" s="2">
        <v>45</v>
      </c>
      <c r="AI411" s="2">
        <v>118</v>
      </c>
      <c r="AJ411" s="1">
        <v>600000</v>
      </c>
      <c r="AK411" s="1">
        <v>0.5</v>
      </c>
      <c r="AL411" s="1">
        <v>30</v>
      </c>
      <c r="AM411" s="2">
        <v>88.1</v>
      </c>
      <c r="AN411" s="2">
        <f t="shared" si="6"/>
        <v>11.900000000000006</v>
      </c>
      <c r="AO411" s="3">
        <v>410</v>
      </c>
      <c r="AP411" s="3">
        <v>42</v>
      </c>
      <c r="AQ411" s="3">
        <v>88</v>
      </c>
      <c r="AR411" s="3">
        <v>30</v>
      </c>
      <c r="AS411" s="1">
        <v>57</v>
      </c>
      <c r="AT411" s="3">
        <v>4</v>
      </c>
      <c r="AU411" s="3" t="s">
        <v>3051</v>
      </c>
    </row>
    <row r="412" spans="1:47" x14ac:dyDescent="0.3">
      <c r="A412" s="1" t="s">
        <v>1170</v>
      </c>
      <c r="B412" s="1" t="s">
        <v>1169</v>
      </c>
      <c r="C412" s="1" t="s">
        <v>243</v>
      </c>
      <c r="D412" s="1" t="s">
        <v>263</v>
      </c>
      <c r="E412" s="1" t="s">
        <v>1166</v>
      </c>
      <c r="F412" t="s">
        <v>3107</v>
      </c>
      <c r="G412" t="s">
        <v>3139</v>
      </c>
      <c r="H412" t="s">
        <v>52</v>
      </c>
      <c r="I412" t="s">
        <v>52</v>
      </c>
      <c r="J412" t="s">
        <v>52</v>
      </c>
      <c r="K412" t="s">
        <v>52</v>
      </c>
      <c r="L412" s="2">
        <v>0.5</v>
      </c>
      <c r="M412" s="2">
        <v>1</v>
      </c>
      <c r="N412" s="2">
        <v>0.5</v>
      </c>
      <c r="O412" s="2">
        <v>1</v>
      </c>
      <c r="P412" s="2">
        <v>0.5</v>
      </c>
      <c r="Q412" s="2">
        <v>4</v>
      </c>
      <c r="R412" s="2">
        <v>1</v>
      </c>
      <c r="S412" s="2">
        <v>0.25</v>
      </c>
      <c r="T412" s="2">
        <v>1</v>
      </c>
      <c r="U412" s="2">
        <v>1</v>
      </c>
      <c r="V412" s="2">
        <v>4</v>
      </c>
      <c r="W412" s="2">
        <v>0.5</v>
      </c>
      <c r="X412" s="2">
        <v>0.25</v>
      </c>
      <c r="Y412" s="2">
        <v>0</v>
      </c>
      <c r="Z412" s="2">
        <v>0.5</v>
      </c>
      <c r="AA412" s="2">
        <v>0.5</v>
      </c>
      <c r="AB412" s="2">
        <v>1</v>
      </c>
      <c r="AC412" s="2">
        <v>2</v>
      </c>
      <c r="AD412" s="2">
        <v>52</v>
      </c>
      <c r="AE412" s="2">
        <v>7680</v>
      </c>
      <c r="AF412" s="2">
        <v>70</v>
      </c>
      <c r="AG412" s="2">
        <v>495</v>
      </c>
      <c r="AH412" s="2">
        <v>45</v>
      </c>
      <c r="AI412" s="2">
        <v>168</v>
      </c>
      <c r="AJ412" s="1">
        <v>600000</v>
      </c>
      <c r="AK412" s="1">
        <v>1.3</v>
      </c>
      <c r="AL412" s="1">
        <v>60</v>
      </c>
      <c r="AM412" s="2">
        <v>88.1</v>
      </c>
      <c r="AN412" s="2">
        <f t="shared" si="6"/>
        <v>11.900000000000006</v>
      </c>
      <c r="AO412" s="3">
        <v>411</v>
      </c>
      <c r="AP412" s="3">
        <v>47</v>
      </c>
      <c r="AQ412" s="3">
        <v>138</v>
      </c>
      <c r="AR412" s="3">
        <v>30</v>
      </c>
      <c r="AS412" s="1">
        <v>149.5</v>
      </c>
      <c r="AT412" s="3">
        <v>4</v>
      </c>
      <c r="AU412" s="3" t="s">
        <v>3051</v>
      </c>
    </row>
    <row r="413" spans="1:47" x14ac:dyDescent="0.3">
      <c r="A413" s="1" t="s">
        <v>1172</v>
      </c>
      <c r="B413" s="1" t="s">
        <v>1171</v>
      </c>
      <c r="C413" s="1" t="s">
        <v>72</v>
      </c>
      <c r="D413" s="1" t="s">
        <v>52</v>
      </c>
      <c r="E413" s="1" t="s">
        <v>594</v>
      </c>
      <c r="F413" t="s">
        <v>3054</v>
      </c>
      <c r="G413" t="s">
        <v>3187</v>
      </c>
      <c r="H413" t="s">
        <v>52</v>
      </c>
      <c r="I413" t="s">
        <v>52</v>
      </c>
      <c r="J413" t="s">
        <v>52</v>
      </c>
      <c r="K413" t="s">
        <v>52</v>
      </c>
      <c r="L413" s="2">
        <v>1</v>
      </c>
      <c r="M413" s="2">
        <v>1</v>
      </c>
      <c r="N413" s="2">
        <v>1</v>
      </c>
      <c r="O413" s="2">
        <v>1</v>
      </c>
      <c r="P413" s="2">
        <v>1</v>
      </c>
      <c r="Q413" s="2">
        <v>0.5</v>
      </c>
      <c r="R413" s="2">
        <v>2</v>
      </c>
      <c r="S413" s="2">
        <v>2</v>
      </c>
      <c r="T413" s="2">
        <v>1</v>
      </c>
      <c r="U413" s="2">
        <v>0.5</v>
      </c>
      <c r="V413" s="2">
        <v>0.5</v>
      </c>
      <c r="W413" s="2">
        <v>1</v>
      </c>
      <c r="X413" s="2">
        <v>1</v>
      </c>
      <c r="Y413" s="2">
        <v>1</v>
      </c>
      <c r="Z413" s="2">
        <v>1</v>
      </c>
      <c r="AA413" s="2">
        <v>2</v>
      </c>
      <c r="AB413" s="2">
        <v>1</v>
      </c>
      <c r="AC413" s="2">
        <v>1</v>
      </c>
      <c r="AD413" s="2">
        <v>29</v>
      </c>
      <c r="AE413" s="2">
        <v>3840</v>
      </c>
      <c r="AF413" s="2">
        <v>70</v>
      </c>
      <c r="AG413" s="2">
        <v>224</v>
      </c>
      <c r="AH413" s="2">
        <v>120</v>
      </c>
      <c r="AI413" s="2">
        <v>45</v>
      </c>
      <c r="AJ413" s="1">
        <v>1000000</v>
      </c>
      <c r="AK413" s="1">
        <v>0.2</v>
      </c>
      <c r="AL413" s="1">
        <v>40</v>
      </c>
      <c r="AM413" s="2">
        <v>50</v>
      </c>
      <c r="AN413" s="2">
        <f t="shared" si="6"/>
        <v>50</v>
      </c>
      <c r="AO413" s="3">
        <v>412</v>
      </c>
      <c r="AP413" s="3">
        <v>29</v>
      </c>
      <c r="AQ413" s="3">
        <v>45</v>
      </c>
      <c r="AR413" s="3">
        <v>36</v>
      </c>
      <c r="AS413" s="1">
        <v>3.4</v>
      </c>
      <c r="AT413" s="3">
        <v>4</v>
      </c>
      <c r="AU413" s="3" t="s">
        <v>3051</v>
      </c>
    </row>
    <row r="414" spans="1:47" x14ac:dyDescent="0.3">
      <c r="A414" s="1" t="s">
        <v>1174</v>
      </c>
      <c r="B414" s="1" t="s">
        <v>1173</v>
      </c>
      <c r="C414" s="1" t="s">
        <v>72</v>
      </c>
      <c r="D414" s="1" t="s">
        <v>42</v>
      </c>
      <c r="E414" s="1" t="s">
        <v>594</v>
      </c>
      <c r="F414" t="s">
        <v>3166</v>
      </c>
      <c r="G414" t="s">
        <v>3187</v>
      </c>
      <c r="H414" t="s">
        <v>52</v>
      </c>
      <c r="I414" t="s">
        <v>52</v>
      </c>
      <c r="J414" t="s">
        <v>52</v>
      </c>
      <c r="K414" t="s">
        <v>52</v>
      </c>
      <c r="L414" s="2">
        <v>2</v>
      </c>
      <c r="M414" s="2">
        <v>1</v>
      </c>
      <c r="N414" s="2">
        <v>1</v>
      </c>
      <c r="O414" s="2">
        <v>0.5</v>
      </c>
      <c r="P414" s="2">
        <v>1</v>
      </c>
      <c r="Q414" s="2">
        <v>0.5</v>
      </c>
      <c r="R414" s="2">
        <v>4</v>
      </c>
      <c r="S414" s="2">
        <v>4</v>
      </c>
      <c r="T414" s="2">
        <v>1</v>
      </c>
      <c r="U414" s="2">
        <v>0.25</v>
      </c>
      <c r="V414" s="2">
        <v>0.25</v>
      </c>
      <c r="W414" s="2">
        <v>2</v>
      </c>
      <c r="X414" s="2">
        <v>1</v>
      </c>
      <c r="Y414" s="2">
        <v>2</v>
      </c>
      <c r="Z414" s="2">
        <v>1</v>
      </c>
      <c r="AA414" s="2">
        <v>2</v>
      </c>
      <c r="AB414" s="2">
        <v>1</v>
      </c>
      <c r="AC414" s="2">
        <v>0.5</v>
      </c>
      <c r="AD414" s="2">
        <v>69</v>
      </c>
      <c r="AE414" s="2">
        <v>3840</v>
      </c>
      <c r="AF414" s="2">
        <v>70</v>
      </c>
      <c r="AG414" s="2">
        <v>424</v>
      </c>
      <c r="AH414" s="2">
        <v>45</v>
      </c>
      <c r="AI414" s="2">
        <v>95</v>
      </c>
      <c r="AJ414" s="1">
        <v>1000000</v>
      </c>
      <c r="AK414" s="1">
        <v>0.5</v>
      </c>
      <c r="AL414" s="1">
        <v>60</v>
      </c>
      <c r="AM414" s="2">
        <v>0</v>
      </c>
      <c r="AN414" s="2">
        <f t="shared" si="6"/>
        <v>100</v>
      </c>
      <c r="AO414" s="3">
        <v>413</v>
      </c>
      <c r="AP414" s="3">
        <v>69</v>
      </c>
      <c r="AQ414" s="3">
        <v>95</v>
      </c>
      <c r="AR414" s="3">
        <v>36</v>
      </c>
      <c r="AS414" s="1">
        <v>6.5</v>
      </c>
      <c r="AT414" s="3">
        <v>4</v>
      </c>
      <c r="AU414" s="3" t="s">
        <v>3051</v>
      </c>
    </row>
    <row r="415" spans="1:47" x14ac:dyDescent="0.3">
      <c r="A415" s="1" t="s">
        <v>1177</v>
      </c>
      <c r="B415" s="1" t="s">
        <v>1176</v>
      </c>
      <c r="C415" s="1" t="s">
        <v>72</v>
      </c>
      <c r="D415" s="1" t="s">
        <v>58</v>
      </c>
      <c r="E415" s="1" t="s">
        <v>1175</v>
      </c>
      <c r="F415" t="s">
        <v>3093</v>
      </c>
      <c r="G415" t="s">
        <v>3225</v>
      </c>
      <c r="H415" t="s">
        <v>52</v>
      </c>
      <c r="I415" t="s">
        <v>52</v>
      </c>
      <c r="J415" t="s">
        <v>52</v>
      </c>
      <c r="K415" t="s">
        <v>52</v>
      </c>
      <c r="L415" s="2">
        <v>0.5</v>
      </c>
      <c r="M415" s="2">
        <v>1</v>
      </c>
      <c r="N415" s="2">
        <v>1</v>
      </c>
      <c r="O415" s="2">
        <v>2</v>
      </c>
      <c r="P415" s="2">
        <v>1</v>
      </c>
      <c r="Q415" s="2">
        <v>0.25</v>
      </c>
      <c r="R415" s="2">
        <v>2</v>
      </c>
      <c r="S415" s="2">
        <v>2</v>
      </c>
      <c r="T415" s="2">
        <v>1</v>
      </c>
      <c r="U415" s="2">
        <v>0.25</v>
      </c>
      <c r="V415" s="2">
        <v>0</v>
      </c>
      <c r="W415" s="2">
        <v>2</v>
      </c>
      <c r="X415" s="2">
        <v>1</v>
      </c>
      <c r="Y415" s="2">
        <v>1</v>
      </c>
      <c r="Z415" s="2">
        <v>1</v>
      </c>
      <c r="AA415" s="2">
        <v>4</v>
      </c>
      <c r="AB415" s="2">
        <v>1</v>
      </c>
      <c r="AC415" s="2">
        <v>1</v>
      </c>
      <c r="AD415" s="2">
        <v>94</v>
      </c>
      <c r="AE415" s="2">
        <v>3840</v>
      </c>
      <c r="AF415" s="2">
        <v>70</v>
      </c>
      <c r="AG415" s="2">
        <v>424</v>
      </c>
      <c r="AH415" s="2">
        <v>45</v>
      </c>
      <c r="AI415" s="2">
        <v>50</v>
      </c>
      <c r="AJ415" s="1">
        <v>1000000</v>
      </c>
      <c r="AK415" s="1">
        <v>0.9</v>
      </c>
      <c r="AL415" s="1">
        <v>70</v>
      </c>
      <c r="AM415" s="2">
        <v>100</v>
      </c>
      <c r="AN415" s="2">
        <f t="shared" si="6"/>
        <v>0</v>
      </c>
      <c r="AO415" s="3">
        <v>414</v>
      </c>
      <c r="AP415" s="3">
        <v>94</v>
      </c>
      <c r="AQ415" s="3">
        <v>50</v>
      </c>
      <c r="AR415" s="3">
        <v>66</v>
      </c>
      <c r="AS415" s="1">
        <v>23.3</v>
      </c>
      <c r="AT415" s="3">
        <v>4</v>
      </c>
      <c r="AU415" s="3" t="s">
        <v>3051</v>
      </c>
    </row>
    <row r="416" spans="1:47" x14ac:dyDescent="0.3">
      <c r="A416" s="1" t="s">
        <v>1180</v>
      </c>
      <c r="B416" s="1" t="s">
        <v>1179</v>
      </c>
      <c r="C416" s="1" t="s">
        <v>72</v>
      </c>
      <c r="D416" s="1" t="s">
        <v>58</v>
      </c>
      <c r="E416" s="1" t="s">
        <v>1178</v>
      </c>
      <c r="F416" t="s">
        <v>3167</v>
      </c>
      <c r="G416" t="s">
        <v>3079</v>
      </c>
      <c r="H416" t="s">
        <v>52</v>
      </c>
      <c r="I416" t="s">
        <v>52</v>
      </c>
      <c r="J416" t="s">
        <v>52</v>
      </c>
      <c r="K416" t="s">
        <v>52</v>
      </c>
      <c r="L416" s="2">
        <v>0.5</v>
      </c>
      <c r="M416" s="2">
        <v>1</v>
      </c>
      <c r="N416" s="2">
        <v>1</v>
      </c>
      <c r="O416" s="2">
        <v>2</v>
      </c>
      <c r="P416" s="2">
        <v>1</v>
      </c>
      <c r="Q416" s="2">
        <v>0.25</v>
      </c>
      <c r="R416" s="2">
        <v>2</v>
      </c>
      <c r="S416" s="2">
        <v>2</v>
      </c>
      <c r="T416" s="2">
        <v>1</v>
      </c>
      <c r="U416" s="2">
        <v>0.25</v>
      </c>
      <c r="V416" s="2">
        <v>0</v>
      </c>
      <c r="W416" s="2">
        <v>2</v>
      </c>
      <c r="X416" s="2">
        <v>1</v>
      </c>
      <c r="Y416" s="2">
        <v>1</v>
      </c>
      <c r="Z416" s="2">
        <v>1</v>
      </c>
      <c r="AA416" s="2">
        <v>4</v>
      </c>
      <c r="AB416" s="2">
        <v>1</v>
      </c>
      <c r="AC416" s="2">
        <v>1</v>
      </c>
      <c r="AD416" s="2">
        <v>30</v>
      </c>
      <c r="AE416" s="2">
        <v>3840</v>
      </c>
      <c r="AF416" s="2">
        <v>70</v>
      </c>
      <c r="AG416" s="2">
        <v>244</v>
      </c>
      <c r="AH416" s="2">
        <v>120</v>
      </c>
      <c r="AI416" s="2">
        <v>42</v>
      </c>
      <c r="AJ416" s="1">
        <v>1059860</v>
      </c>
      <c r="AK416" s="1">
        <v>0.3</v>
      </c>
      <c r="AL416" s="1">
        <v>30</v>
      </c>
      <c r="AM416" s="2">
        <v>88.1</v>
      </c>
      <c r="AN416" s="2">
        <f t="shared" si="6"/>
        <v>11.900000000000006</v>
      </c>
      <c r="AO416" s="3">
        <v>415</v>
      </c>
      <c r="AP416" s="3">
        <v>30</v>
      </c>
      <c r="AQ416" s="3">
        <v>42</v>
      </c>
      <c r="AR416" s="3">
        <v>70</v>
      </c>
      <c r="AS416" s="1">
        <v>5.5</v>
      </c>
      <c r="AT416" s="3">
        <v>4</v>
      </c>
      <c r="AU416" s="3" t="s">
        <v>3051</v>
      </c>
    </row>
    <row r="417" spans="1:47" x14ac:dyDescent="0.3">
      <c r="A417" s="1" t="s">
        <v>1183</v>
      </c>
      <c r="B417" s="1" t="s">
        <v>1182</v>
      </c>
      <c r="C417" s="1" t="s">
        <v>72</v>
      </c>
      <c r="D417" s="1" t="s">
        <v>58</v>
      </c>
      <c r="E417" s="1" t="s">
        <v>1181</v>
      </c>
      <c r="F417" t="s">
        <v>3067</v>
      </c>
      <c r="G417" t="s">
        <v>3228</v>
      </c>
      <c r="H417" t="s">
        <v>52</v>
      </c>
      <c r="I417" t="s">
        <v>52</v>
      </c>
      <c r="J417" t="s">
        <v>52</v>
      </c>
      <c r="K417" t="s">
        <v>52</v>
      </c>
      <c r="L417" s="2">
        <v>0.5</v>
      </c>
      <c r="M417" s="2">
        <v>1</v>
      </c>
      <c r="N417" s="2">
        <v>1</v>
      </c>
      <c r="O417" s="2">
        <v>2</v>
      </c>
      <c r="P417" s="2">
        <v>1</v>
      </c>
      <c r="Q417" s="2">
        <v>0.25</v>
      </c>
      <c r="R417" s="2">
        <v>2</v>
      </c>
      <c r="S417" s="2">
        <v>2</v>
      </c>
      <c r="T417" s="2">
        <v>1</v>
      </c>
      <c r="U417" s="2">
        <v>0.25</v>
      </c>
      <c r="V417" s="2">
        <v>0</v>
      </c>
      <c r="W417" s="2">
        <v>2</v>
      </c>
      <c r="X417" s="2">
        <v>1</v>
      </c>
      <c r="Y417" s="2">
        <v>1</v>
      </c>
      <c r="Z417" s="2">
        <v>1</v>
      </c>
      <c r="AA417" s="2">
        <v>4</v>
      </c>
      <c r="AB417" s="2">
        <v>1</v>
      </c>
      <c r="AC417" s="2">
        <v>1</v>
      </c>
      <c r="AD417" s="2">
        <v>80</v>
      </c>
      <c r="AE417" s="2">
        <v>3840</v>
      </c>
      <c r="AF417" s="2">
        <v>70</v>
      </c>
      <c r="AG417" s="2">
        <v>474</v>
      </c>
      <c r="AH417" s="2">
        <v>45</v>
      </c>
      <c r="AI417" s="2">
        <v>102</v>
      </c>
      <c r="AJ417" s="1">
        <v>1059860</v>
      </c>
      <c r="AK417" s="1">
        <v>1.2</v>
      </c>
      <c r="AL417" s="1">
        <v>70</v>
      </c>
      <c r="AM417" s="2">
        <v>0</v>
      </c>
      <c r="AN417" s="2">
        <f t="shared" si="6"/>
        <v>100</v>
      </c>
      <c r="AO417" s="3">
        <v>416</v>
      </c>
      <c r="AP417" s="3">
        <v>80</v>
      </c>
      <c r="AQ417" s="3">
        <v>102</v>
      </c>
      <c r="AR417" s="3">
        <v>40</v>
      </c>
      <c r="AS417" s="1">
        <v>38.5</v>
      </c>
      <c r="AT417" s="3">
        <v>4</v>
      </c>
      <c r="AU417" s="3" t="s">
        <v>3051</v>
      </c>
    </row>
    <row r="418" spans="1:47" x14ac:dyDescent="0.3">
      <c r="A418" s="1" t="s">
        <v>1186</v>
      </c>
      <c r="B418" s="1" t="s">
        <v>1185</v>
      </c>
      <c r="C418" s="1" t="s">
        <v>115</v>
      </c>
      <c r="D418" s="1" t="s">
        <v>52</v>
      </c>
      <c r="E418" s="1" t="s">
        <v>1184</v>
      </c>
      <c r="F418" t="s">
        <v>3119</v>
      </c>
      <c r="G418" t="s">
        <v>3128</v>
      </c>
      <c r="H418" t="s">
        <v>3146</v>
      </c>
      <c r="I418" t="s">
        <v>52</v>
      </c>
      <c r="J418" t="s">
        <v>52</v>
      </c>
      <c r="K418" t="s">
        <v>52</v>
      </c>
      <c r="L418" s="2">
        <v>1</v>
      </c>
      <c r="M418" s="2">
        <v>1</v>
      </c>
      <c r="N418" s="2">
        <v>1</v>
      </c>
      <c r="O418" s="2">
        <v>0.5</v>
      </c>
      <c r="P418" s="2">
        <v>1</v>
      </c>
      <c r="Q418" s="2">
        <v>1</v>
      </c>
      <c r="R418" s="2">
        <v>1</v>
      </c>
      <c r="S418" s="2">
        <v>0.5</v>
      </c>
      <c r="T418" s="2">
        <v>1</v>
      </c>
      <c r="U418" s="2">
        <v>1</v>
      </c>
      <c r="V418" s="2">
        <v>2</v>
      </c>
      <c r="W418" s="2">
        <v>1</v>
      </c>
      <c r="X418" s="2">
        <v>1</v>
      </c>
      <c r="Y418" s="2">
        <v>1</v>
      </c>
      <c r="Z418" s="2">
        <v>1</v>
      </c>
      <c r="AA418" s="2">
        <v>1</v>
      </c>
      <c r="AB418" s="2">
        <v>0.5</v>
      </c>
      <c r="AC418" s="2">
        <v>1</v>
      </c>
      <c r="AD418" s="2">
        <v>45</v>
      </c>
      <c r="AE418" s="2">
        <v>2560</v>
      </c>
      <c r="AF418" s="2">
        <v>100</v>
      </c>
      <c r="AG418" s="2">
        <v>405</v>
      </c>
      <c r="AH418" s="2">
        <v>200</v>
      </c>
      <c r="AI418" s="2">
        <v>70</v>
      </c>
      <c r="AJ418" s="1">
        <v>1000000</v>
      </c>
      <c r="AK418" s="1">
        <v>0.4</v>
      </c>
      <c r="AL418" s="1">
        <v>60</v>
      </c>
      <c r="AM418" s="2">
        <v>50</v>
      </c>
      <c r="AN418" s="2">
        <f t="shared" si="6"/>
        <v>50</v>
      </c>
      <c r="AO418" s="3">
        <v>417</v>
      </c>
      <c r="AP418" s="3">
        <v>45</v>
      </c>
      <c r="AQ418" s="3">
        <v>90</v>
      </c>
      <c r="AR418" s="3">
        <v>95</v>
      </c>
      <c r="AS418" s="1">
        <v>3.9</v>
      </c>
      <c r="AT418" s="3">
        <v>4</v>
      </c>
      <c r="AU418" s="3" t="s">
        <v>3051</v>
      </c>
    </row>
    <row r="419" spans="1:47" x14ac:dyDescent="0.3">
      <c r="A419" s="1" t="s">
        <v>1189</v>
      </c>
      <c r="B419" s="1" t="s">
        <v>1188</v>
      </c>
      <c r="C419" s="1" t="s">
        <v>62</v>
      </c>
      <c r="D419" s="1" t="s">
        <v>52</v>
      </c>
      <c r="E419" s="1" t="s">
        <v>1187</v>
      </c>
      <c r="F419" t="s">
        <v>3143</v>
      </c>
      <c r="G419" t="s">
        <v>3159</v>
      </c>
      <c r="H419" t="s">
        <v>52</v>
      </c>
      <c r="I419" t="s">
        <v>52</v>
      </c>
      <c r="J419" t="s">
        <v>52</v>
      </c>
      <c r="K419" t="s">
        <v>52</v>
      </c>
      <c r="L419" s="2">
        <v>1</v>
      </c>
      <c r="M419" s="2">
        <v>1</v>
      </c>
      <c r="N419" s="2">
        <v>1</v>
      </c>
      <c r="O419" s="2">
        <v>2</v>
      </c>
      <c r="P419" s="2">
        <v>1</v>
      </c>
      <c r="Q419" s="2">
        <v>1</v>
      </c>
      <c r="R419" s="2">
        <v>0.5</v>
      </c>
      <c r="S419" s="2">
        <v>1</v>
      </c>
      <c r="T419" s="2">
        <v>1</v>
      </c>
      <c r="U419" s="2">
        <v>2</v>
      </c>
      <c r="V419" s="2">
        <v>1</v>
      </c>
      <c r="W419" s="2">
        <v>0.5</v>
      </c>
      <c r="X419" s="2">
        <v>1</v>
      </c>
      <c r="Y419" s="2">
        <v>1</v>
      </c>
      <c r="Z419" s="2">
        <v>1</v>
      </c>
      <c r="AA419" s="2">
        <v>1</v>
      </c>
      <c r="AB419" s="2">
        <v>0.5</v>
      </c>
      <c r="AC419" s="2">
        <v>0.5</v>
      </c>
      <c r="AD419" s="2">
        <v>65</v>
      </c>
      <c r="AE419" s="2">
        <v>5120</v>
      </c>
      <c r="AF419" s="2">
        <v>70</v>
      </c>
      <c r="AG419" s="2">
        <v>330</v>
      </c>
      <c r="AH419" s="2">
        <v>190</v>
      </c>
      <c r="AI419" s="2">
        <v>35</v>
      </c>
      <c r="AJ419" s="1">
        <v>1000000</v>
      </c>
      <c r="AK419" s="1">
        <v>0.7</v>
      </c>
      <c r="AL419" s="1">
        <v>55</v>
      </c>
      <c r="AM419" s="2">
        <v>50</v>
      </c>
      <c r="AN419" s="2">
        <f t="shared" si="6"/>
        <v>50</v>
      </c>
      <c r="AO419" s="3">
        <v>418</v>
      </c>
      <c r="AP419" s="3">
        <v>60</v>
      </c>
      <c r="AQ419" s="3">
        <v>30</v>
      </c>
      <c r="AR419" s="3">
        <v>85</v>
      </c>
      <c r="AS419" s="1">
        <v>29.5</v>
      </c>
      <c r="AT419" s="3">
        <v>4</v>
      </c>
      <c r="AU419" s="3" t="s">
        <v>3051</v>
      </c>
    </row>
    <row r="420" spans="1:47" x14ac:dyDescent="0.3">
      <c r="A420" s="1" t="s">
        <v>1191</v>
      </c>
      <c r="B420" s="1" t="s">
        <v>1190</v>
      </c>
      <c r="C420" s="1" t="s">
        <v>62</v>
      </c>
      <c r="D420" s="1" t="s">
        <v>52</v>
      </c>
      <c r="E420" s="1" t="s">
        <v>1187</v>
      </c>
      <c r="F420" t="s">
        <v>3143</v>
      </c>
      <c r="G420" t="s">
        <v>3159</v>
      </c>
      <c r="H420" t="s">
        <v>52</v>
      </c>
      <c r="I420" t="s">
        <v>52</v>
      </c>
      <c r="J420" t="s">
        <v>52</v>
      </c>
      <c r="K420" t="s">
        <v>52</v>
      </c>
      <c r="L420" s="2">
        <v>1</v>
      </c>
      <c r="M420" s="2">
        <v>1</v>
      </c>
      <c r="N420" s="2">
        <v>1</v>
      </c>
      <c r="O420" s="2">
        <v>2</v>
      </c>
      <c r="P420" s="2">
        <v>1</v>
      </c>
      <c r="Q420" s="2">
        <v>1</v>
      </c>
      <c r="R420" s="2">
        <v>0.5</v>
      </c>
      <c r="S420" s="2">
        <v>1</v>
      </c>
      <c r="T420" s="2">
        <v>1</v>
      </c>
      <c r="U420" s="2">
        <v>2</v>
      </c>
      <c r="V420" s="2">
        <v>1</v>
      </c>
      <c r="W420" s="2">
        <v>0.5</v>
      </c>
      <c r="X420" s="2">
        <v>1</v>
      </c>
      <c r="Y420" s="2">
        <v>1</v>
      </c>
      <c r="Z420" s="2">
        <v>1</v>
      </c>
      <c r="AA420" s="2">
        <v>1</v>
      </c>
      <c r="AB420" s="2">
        <v>0.5</v>
      </c>
      <c r="AC420" s="2">
        <v>0.5</v>
      </c>
      <c r="AD420" s="2">
        <v>105</v>
      </c>
      <c r="AE420" s="2">
        <v>5120</v>
      </c>
      <c r="AF420" s="2">
        <v>70</v>
      </c>
      <c r="AG420" s="2">
        <v>495</v>
      </c>
      <c r="AH420" s="2">
        <v>75</v>
      </c>
      <c r="AI420" s="2">
        <v>55</v>
      </c>
      <c r="AJ420" s="1">
        <v>1000000</v>
      </c>
      <c r="AK420" s="1">
        <v>1.1000000000000001</v>
      </c>
      <c r="AL420" s="1">
        <v>85</v>
      </c>
      <c r="AM420" s="2">
        <v>50</v>
      </c>
      <c r="AN420" s="2">
        <f t="shared" si="6"/>
        <v>50</v>
      </c>
      <c r="AO420" s="3">
        <v>419</v>
      </c>
      <c r="AP420" s="3">
        <v>85</v>
      </c>
      <c r="AQ420" s="3">
        <v>50</v>
      </c>
      <c r="AR420" s="3">
        <v>115</v>
      </c>
      <c r="AS420" s="1">
        <v>33.5</v>
      </c>
      <c r="AT420" s="3">
        <v>4</v>
      </c>
      <c r="AU420" s="3" t="s">
        <v>3051</v>
      </c>
    </row>
    <row r="421" spans="1:47" x14ac:dyDescent="0.3">
      <c r="A421" s="1" t="s">
        <v>1194</v>
      </c>
      <c r="B421" s="1" t="s">
        <v>1193</v>
      </c>
      <c r="C421" s="1" t="s">
        <v>42</v>
      </c>
      <c r="D421" s="1" t="s">
        <v>52</v>
      </c>
      <c r="E421" s="1" t="s">
        <v>1192</v>
      </c>
      <c r="F421" t="s">
        <v>3068</v>
      </c>
      <c r="G421" t="s">
        <v>52</v>
      </c>
      <c r="H421" t="s">
        <v>52</v>
      </c>
      <c r="I421" t="s">
        <v>52</v>
      </c>
      <c r="J421" t="s">
        <v>52</v>
      </c>
      <c r="K421" t="s">
        <v>52</v>
      </c>
      <c r="L421" s="2">
        <v>2</v>
      </c>
      <c r="M421" s="2">
        <v>1</v>
      </c>
      <c r="N421" s="2">
        <v>1</v>
      </c>
      <c r="O421" s="2">
        <v>0.5</v>
      </c>
      <c r="P421" s="2">
        <v>1</v>
      </c>
      <c r="Q421" s="2">
        <v>1</v>
      </c>
      <c r="R421" s="2">
        <v>2</v>
      </c>
      <c r="S421" s="2">
        <v>2</v>
      </c>
      <c r="T421" s="2">
        <v>1</v>
      </c>
      <c r="U421" s="2">
        <v>0.5</v>
      </c>
      <c r="V421" s="2">
        <v>0.5</v>
      </c>
      <c r="W421" s="2">
        <v>2</v>
      </c>
      <c r="X421" s="2">
        <v>1</v>
      </c>
      <c r="Y421" s="2">
        <v>2</v>
      </c>
      <c r="Z421" s="2">
        <v>1</v>
      </c>
      <c r="AA421" s="2">
        <v>1</v>
      </c>
      <c r="AB421" s="2">
        <v>1</v>
      </c>
      <c r="AC421" s="2">
        <v>0.5</v>
      </c>
      <c r="AD421" s="2">
        <v>35</v>
      </c>
      <c r="AE421" s="2">
        <v>5120</v>
      </c>
      <c r="AF421" s="2">
        <v>70</v>
      </c>
      <c r="AG421" s="2">
        <v>275</v>
      </c>
      <c r="AH421" s="2">
        <v>190</v>
      </c>
      <c r="AI421" s="2">
        <v>45</v>
      </c>
      <c r="AJ421" s="1">
        <v>1000000</v>
      </c>
      <c r="AK421" s="1">
        <v>0.4</v>
      </c>
      <c r="AL421" s="1">
        <v>45</v>
      </c>
      <c r="AM421" s="2">
        <v>50</v>
      </c>
      <c r="AN421" s="2">
        <f t="shared" si="6"/>
        <v>50</v>
      </c>
      <c r="AO421" s="3">
        <v>420</v>
      </c>
      <c r="AP421" s="3">
        <v>62</v>
      </c>
      <c r="AQ421" s="3">
        <v>53</v>
      </c>
      <c r="AR421" s="3">
        <v>35</v>
      </c>
      <c r="AS421" s="1">
        <v>3.3</v>
      </c>
      <c r="AT421" s="3">
        <v>4</v>
      </c>
      <c r="AU421" s="3" t="s">
        <v>3051</v>
      </c>
    </row>
    <row r="422" spans="1:47" x14ac:dyDescent="0.3">
      <c r="A422" s="1" t="s">
        <v>1197</v>
      </c>
      <c r="B422" s="1" t="s">
        <v>1196</v>
      </c>
      <c r="C422" s="1" t="s">
        <v>42</v>
      </c>
      <c r="D422" s="1" t="s">
        <v>52</v>
      </c>
      <c r="E422" s="1" t="s">
        <v>1195</v>
      </c>
      <c r="F422" t="s">
        <v>3069</v>
      </c>
      <c r="G422" t="s">
        <v>52</v>
      </c>
      <c r="H422" t="s">
        <v>52</v>
      </c>
      <c r="I422" t="s">
        <v>52</v>
      </c>
      <c r="J422" t="s">
        <v>52</v>
      </c>
      <c r="K422" t="s">
        <v>52</v>
      </c>
      <c r="L422" s="2">
        <v>2</v>
      </c>
      <c r="M422" s="2">
        <v>1</v>
      </c>
      <c r="N422" s="2">
        <v>1</v>
      </c>
      <c r="O422" s="2">
        <v>0.5</v>
      </c>
      <c r="P422" s="2">
        <v>1</v>
      </c>
      <c r="Q422" s="2">
        <v>1</v>
      </c>
      <c r="R422" s="2">
        <v>2</v>
      </c>
      <c r="S422" s="2">
        <v>2</v>
      </c>
      <c r="T422" s="2">
        <v>1</v>
      </c>
      <c r="U422" s="2">
        <v>0.5</v>
      </c>
      <c r="V422" s="2">
        <v>0.5</v>
      </c>
      <c r="W422" s="2">
        <v>2</v>
      </c>
      <c r="X422" s="2">
        <v>1</v>
      </c>
      <c r="Y422" s="2">
        <v>2</v>
      </c>
      <c r="Z422" s="2">
        <v>1</v>
      </c>
      <c r="AA422" s="2">
        <v>1</v>
      </c>
      <c r="AB422" s="2">
        <v>1</v>
      </c>
      <c r="AC422" s="2">
        <v>0.5</v>
      </c>
      <c r="AD422" s="2">
        <v>60</v>
      </c>
      <c r="AE422" s="2">
        <v>5120</v>
      </c>
      <c r="AF422" s="2">
        <v>70</v>
      </c>
      <c r="AG422" s="2">
        <v>450</v>
      </c>
      <c r="AH422" s="2">
        <v>75</v>
      </c>
      <c r="AI422" s="2">
        <v>70</v>
      </c>
      <c r="AJ422" s="1">
        <v>1000000</v>
      </c>
      <c r="AK422" s="1">
        <v>0.5</v>
      </c>
      <c r="AL422" s="1">
        <v>70</v>
      </c>
      <c r="AM422" s="2">
        <v>50</v>
      </c>
      <c r="AN422" s="2">
        <f t="shared" si="6"/>
        <v>50</v>
      </c>
      <c r="AO422" s="3">
        <v>421</v>
      </c>
      <c r="AP422" s="3">
        <v>87</v>
      </c>
      <c r="AQ422" s="3">
        <v>78</v>
      </c>
      <c r="AR422" s="3">
        <v>85</v>
      </c>
      <c r="AS422" s="1">
        <v>9.3000000000000007</v>
      </c>
      <c r="AT422" s="3">
        <v>4</v>
      </c>
      <c r="AU422" s="3" t="s">
        <v>3051</v>
      </c>
    </row>
    <row r="423" spans="1:47" x14ac:dyDescent="0.3">
      <c r="A423" s="1" t="s">
        <v>1200</v>
      </c>
      <c r="B423" s="1" t="s">
        <v>1199</v>
      </c>
      <c r="C423" s="1" t="s">
        <v>62</v>
      </c>
      <c r="D423" s="1" t="s">
        <v>52</v>
      </c>
      <c r="E423" s="1" t="s">
        <v>1198</v>
      </c>
      <c r="F423" t="s">
        <v>3168</v>
      </c>
      <c r="G423" t="s">
        <v>3267</v>
      </c>
      <c r="H423" t="s">
        <v>3192</v>
      </c>
      <c r="I423" t="s">
        <v>52</v>
      </c>
      <c r="J423" t="s">
        <v>52</v>
      </c>
      <c r="K423" t="s">
        <v>52</v>
      </c>
      <c r="L423" s="2">
        <v>1</v>
      </c>
      <c r="M423" s="2">
        <v>1</v>
      </c>
      <c r="N423" s="2">
        <v>1</v>
      </c>
      <c r="O423" s="2">
        <v>2</v>
      </c>
      <c r="P423" s="2">
        <v>1</v>
      </c>
      <c r="Q423" s="2">
        <v>1</v>
      </c>
      <c r="R423" s="2">
        <v>0.5</v>
      </c>
      <c r="S423" s="2">
        <v>1</v>
      </c>
      <c r="T423" s="2">
        <v>1</v>
      </c>
      <c r="U423" s="2">
        <v>2</v>
      </c>
      <c r="V423" s="2">
        <v>1</v>
      </c>
      <c r="W423" s="2">
        <v>0.5</v>
      </c>
      <c r="X423" s="2">
        <v>1</v>
      </c>
      <c r="Y423" s="2">
        <v>1</v>
      </c>
      <c r="Z423" s="2">
        <v>1</v>
      </c>
      <c r="AA423" s="2">
        <v>1</v>
      </c>
      <c r="AB423" s="2">
        <v>0.5</v>
      </c>
      <c r="AC423" s="2">
        <v>0.5</v>
      </c>
      <c r="AD423" s="2">
        <v>48</v>
      </c>
      <c r="AE423" s="2">
        <v>5120</v>
      </c>
      <c r="AF423" s="2">
        <v>70</v>
      </c>
      <c r="AG423" s="2">
        <v>325</v>
      </c>
      <c r="AH423" s="2">
        <v>190</v>
      </c>
      <c r="AI423" s="2">
        <v>48</v>
      </c>
      <c r="AJ423" s="1">
        <v>1000000</v>
      </c>
      <c r="AK423" s="1">
        <v>0.3</v>
      </c>
      <c r="AL423" s="1">
        <v>76</v>
      </c>
      <c r="AM423" s="2">
        <v>50</v>
      </c>
      <c r="AN423" s="2">
        <f t="shared" si="6"/>
        <v>50</v>
      </c>
      <c r="AO423" s="3">
        <v>422</v>
      </c>
      <c r="AP423" s="3">
        <v>57</v>
      </c>
      <c r="AQ423" s="3">
        <v>62</v>
      </c>
      <c r="AR423" s="3">
        <v>34</v>
      </c>
      <c r="AS423" s="1">
        <v>6.3</v>
      </c>
      <c r="AT423" s="3">
        <v>4</v>
      </c>
      <c r="AU423" s="3" t="s">
        <v>3051</v>
      </c>
    </row>
    <row r="424" spans="1:47" x14ac:dyDescent="0.3">
      <c r="A424" s="1" t="s">
        <v>1202</v>
      </c>
      <c r="B424" s="1" t="s">
        <v>1201</v>
      </c>
      <c r="C424" s="1" t="s">
        <v>62</v>
      </c>
      <c r="D424" s="1" t="s">
        <v>120</v>
      </c>
      <c r="E424" s="1" t="s">
        <v>1198</v>
      </c>
      <c r="F424" t="s">
        <v>3168</v>
      </c>
      <c r="G424" t="s">
        <v>3267</v>
      </c>
      <c r="H424" t="s">
        <v>3192</v>
      </c>
      <c r="I424" t="s">
        <v>52</v>
      </c>
      <c r="J424" t="s">
        <v>52</v>
      </c>
      <c r="K424" t="s">
        <v>52</v>
      </c>
      <c r="L424" s="2">
        <v>1</v>
      </c>
      <c r="M424" s="2">
        <v>1</v>
      </c>
      <c r="N424" s="2">
        <v>1</v>
      </c>
      <c r="O424" s="2">
        <v>0</v>
      </c>
      <c r="P424" s="2">
        <v>1</v>
      </c>
      <c r="Q424" s="2">
        <v>1</v>
      </c>
      <c r="R424" s="2">
        <v>0.5</v>
      </c>
      <c r="S424" s="2">
        <v>1</v>
      </c>
      <c r="T424" s="2">
        <v>1</v>
      </c>
      <c r="U424" s="2">
        <v>4</v>
      </c>
      <c r="V424" s="2">
        <v>1</v>
      </c>
      <c r="W424" s="2">
        <v>1</v>
      </c>
      <c r="X424" s="2">
        <v>1</v>
      </c>
      <c r="Y424" s="2">
        <v>0.5</v>
      </c>
      <c r="Z424" s="2">
        <v>1</v>
      </c>
      <c r="AA424" s="2">
        <v>0.5</v>
      </c>
      <c r="AB424" s="2">
        <v>0.5</v>
      </c>
      <c r="AC424" s="2">
        <v>1</v>
      </c>
      <c r="AD424" s="2">
        <v>83</v>
      </c>
      <c r="AE424" s="2">
        <v>5120</v>
      </c>
      <c r="AF424" s="2">
        <v>70</v>
      </c>
      <c r="AG424" s="2">
        <v>475</v>
      </c>
      <c r="AH424" s="2">
        <v>75</v>
      </c>
      <c r="AI424" s="2">
        <v>68</v>
      </c>
      <c r="AJ424" s="1">
        <v>1000000</v>
      </c>
      <c r="AK424" s="1">
        <v>0.9</v>
      </c>
      <c r="AL424" s="1">
        <v>111</v>
      </c>
      <c r="AM424" s="2">
        <v>50</v>
      </c>
      <c r="AN424" s="2">
        <f t="shared" si="6"/>
        <v>50</v>
      </c>
      <c r="AO424" s="3">
        <v>423</v>
      </c>
      <c r="AP424" s="3">
        <v>92</v>
      </c>
      <c r="AQ424" s="3">
        <v>82</v>
      </c>
      <c r="AR424" s="3">
        <v>39</v>
      </c>
      <c r="AS424" s="1">
        <v>29.9</v>
      </c>
      <c r="AT424" s="3">
        <v>4</v>
      </c>
      <c r="AU424" s="3" t="s">
        <v>3051</v>
      </c>
    </row>
    <row r="425" spans="1:47" x14ac:dyDescent="0.3">
      <c r="A425" s="1" t="s">
        <v>1204</v>
      </c>
      <c r="B425" s="1" t="s">
        <v>1203</v>
      </c>
      <c r="C425" s="1" t="s">
        <v>90</v>
      </c>
      <c r="D425" s="1" t="s">
        <v>52</v>
      </c>
      <c r="E425" s="1" t="s">
        <v>555</v>
      </c>
      <c r="F425" t="s">
        <v>3169</v>
      </c>
      <c r="G425" t="s">
        <v>3128</v>
      </c>
      <c r="H425" t="s">
        <v>3246</v>
      </c>
      <c r="I425" t="s">
        <v>52</v>
      </c>
      <c r="J425" t="s">
        <v>52</v>
      </c>
      <c r="K425" t="s">
        <v>52</v>
      </c>
      <c r="L425" s="2">
        <v>1</v>
      </c>
      <c r="M425" s="2">
        <v>1</v>
      </c>
      <c r="N425" s="2">
        <v>1</v>
      </c>
      <c r="O425" s="2">
        <v>1</v>
      </c>
      <c r="P425" s="2">
        <v>1</v>
      </c>
      <c r="Q425" s="2">
        <v>2</v>
      </c>
      <c r="R425" s="2">
        <v>1</v>
      </c>
      <c r="S425" s="2">
        <v>1</v>
      </c>
      <c r="T425" s="2">
        <v>0</v>
      </c>
      <c r="U425" s="2">
        <v>1</v>
      </c>
      <c r="V425" s="2">
        <v>1</v>
      </c>
      <c r="W425" s="2">
        <v>1</v>
      </c>
      <c r="X425" s="2">
        <v>1</v>
      </c>
      <c r="Y425" s="2">
        <v>1</v>
      </c>
      <c r="Z425" s="2">
        <v>1</v>
      </c>
      <c r="AA425" s="2">
        <v>1</v>
      </c>
      <c r="AB425" s="2">
        <v>1</v>
      </c>
      <c r="AC425" s="2">
        <v>1</v>
      </c>
      <c r="AD425" s="2">
        <v>100</v>
      </c>
      <c r="AE425" s="2">
        <v>5120</v>
      </c>
      <c r="AF425" s="2">
        <v>100</v>
      </c>
      <c r="AG425" s="2">
        <v>482</v>
      </c>
      <c r="AH425" s="2">
        <v>45</v>
      </c>
      <c r="AI425" s="2">
        <v>66</v>
      </c>
      <c r="AJ425" s="1">
        <v>800000</v>
      </c>
      <c r="AK425" s="1">
        <v>1.2</v>
      </c>
      <c r="AL425" s="1">
        <v>75</v>
      </c>
      <c r="AM425" s="2">
        <v>50</v>
      </c>
      <c r="AN425" s="2">
        <f t="shared" si="6"/>
        <v>50</v>
      </c>
      <c r="AO425" s="3">
        <v>424</v>
      </c>
      <c r="AP425" s="3">
        <v>60</v>
      </c>
      <c r="AQ425" s="3">
        <v>66</v>
      </c>
      <c r="AR425" s="3">
        <v>115</v>
      </c>
      <c r="AS425" s="1">
        <v>20.3</v>
      </c>
      <c r="AT425" s="3">
        <v>4</v>
      </c>
      <c r="AU425" s="3" t="s">
        <v>3051</v>
      </c>
    </row>
    <row r="426" spans="1:47" x14ac:dyDescent="0.3">
      <c r="A426" s="1" t="s">
        <v>1206</v>
      </c>
      <c r="B426" s="1" t="s">
        <v>1205</v>
      </c>
      <c r="C426" s="1" t="s">
        <v>293</v>
      </c>
      <c r="D426" s="1" t="s">
        <v>58</v>
      </c>
      <c r="E426" s="1" t="s">
        <v>149</v>
      </c>
      <c r="F426" t="s">
        <v>3170</v>
      </c>
      <c r="G426" t="s">
        <v>3249</v>
      </c>
      <c r="H426" t="s">
        <v>3269</v>
      </c>
      <c r="I426" t="s">
        <v>52</v>
      </c>
      <c r="J426" t="s">
        <v>52</v>
      </c>
      <c r="K426" t="s">
        <v>52</v>
      </c>
      <c r="L426" s="2">
        <v>0.25</v>
      </c>
      <c r="M426" s="2">
        <v>2</v>
      </c>
      <c r="N426" s="2">
        <v>1</v>
      </c>
      <c r="O426" s="2">
        <v>2</v>
      </c>
      <c r="P426" s="2">
        <v>1</v>
      </c>
      <c r="Q426" s="2">
        <v>0</v>
      </c>
      <c r="R426" s="2">
        <v>1</v>
      </c>
      <c r="S426" s="2">
        <v>1</v>
      </c>
      <c r="T426" s="2">
        <v>2</v>
      </c>
      <c r="U426" s="2">
        <v>0.5</v>
      </c>
      <c r="V426" s="2">
        <v>0</v>
      </c>
      <c r="W426" s="2">
        <v>2</v>
      </c>
      <c r="X426" s="2">
        <v>0</v>
      </c>
      <c r="Y426" s="2">
        <v>0.5</v>
      </c>
      <c r="Z426" s="2">
        <v>1</v>
      </c>
      <c r="AA426" s="2">
        <v>2</v>
      </c>
      <c r="AB426" s="2">
        <v>1</v>
      </c>
      <c r="AC426" s="2">
        <v>1</v>
      </c>
      <c r="AD426" s="2">
        <v>50</v>
      </c>
      <c r="AE426" s="2">
        <v>7680</v>
      </c>
      <c r="AF426" s="2">
        <v>70</v>
      </c>
      <c r="AG426" s="2">
        <v>348</v>
      </c>
      <c r="AH426" s="2">
        <v>125</v>
      </c>
      <c r="AI426" s="2">
        <v>34</v>
      </c>
      <c r="AJ426" s="1">
        <v>1640000</v>
      </c>
      <c r="AK426" s="1">
        <v>0.4</v>
      </c>
      <c r="AL426" s="1">
        <v>90</v>
      </c>
      <c r="AM426" s="2">
        <v>50</v>
      </c>
      <c r="AN426" s="2">
        <f t="shared" si="6"/>
        <v>50</v>
      </c>
      <c r="AO426" s="3">
        <v>425</v>
      </c>
      <c r="AP426" s="3">
        <v>60</v>
      </c>
      <c r="AQ426" s="3">
        <v>44</v>
      </c>
      <c r="AR426" s="3">
        <v>70</v>
      </c>
      <c r="AS426" s="1">
        <v>1.2</v>
      </c>
      <c r="AT426" s="3">
        <v>4</v>
      </c>
      <c r="AU426" s="3" t="s">
        <v>3051</v>
      </c>
    </row>
    <row r="427" spans="1:47" x14ac:dyDescent="0.3">
      <c r="A427" s="1" t="s">
        <v>1209</v>
      </c>
      <c r="B427" s="1" t="s">
        <v>1208</v>
      </c>
      <c r="C427" s="1" t="s">
        <v>293</v>
      </c>
      <c r="D427" s="1" t="s">
        <v>58</v>
      </c>
      <c r="E427" s="1" t="s">
        <v>1207</v>
      </c>
      <c r="F427" t="s">
        <v>3170</v>
      </c>
      <c r="G427" t="s">
        <v>3249</v>
      </c>
      <c r="H427" t="s">
        <v>3269</v>
      </c>
      <c r="I427" t="s">
        <v>52</v>
      </c>
      <c r="J427" t="s">
        <v>52</v>
      </c>
      <c r="K427" t="s">
        <v>52</v>
      </c>
      <c r="L427" s="2">
        <v>0.25</v>
      </c>
      <c r="M427" s="2">
        <v>2</v>
      </c>
      <c r="N427" s="2">
        <v>1</v>
      </c>
      <c r="O427" s="2">
        <v>2</v>
      </c>
      <c r="P427" s="2">
        <v>1</v>
      </c>
      <c r="Q427" s="2">
        <v>0</v>
      </c>
      <c r="R427" s="2">
        <v>1</v>
      </c>
      <c r="S427" s="2">
        <v>1</v>
      </c>
      <c r="T427" s="2">
        <v>2</v>
      </c>
      <c r="U427" s="2">
        <v>0.5</v>
      </c>
      <c r="V427" s="2">
        <v>0</v>
      </c>
      <c r="W427" s="2">
        <v>2</v>
      </c>
      <c r="X427" s="2">
        <v>0</v>
      </c>
      <c r="Y427" s="2">
        <v>0.5</v>
      </c>
      <c r="Z427" s="2">
        <v>1</v>
      </c>
      <c r="AA427" s="2">
        <v>2</v>
      </c>
      <c r="AB427" s="2">
        <v>1</v>
      </c>
      <c r="AC427" s="2">
        <v>1</v>
      </c>
      <c r="AD427" s="2">
        <v>80</v>
      </c>
      <c r="AE427" s="2">
        <v>7680</v>
      </c>
      <c r="AF427" s="2">
        <v>70</v>
      </c>
      <c r="AG427" s="2">
        <v>498</v>
      </c>
      <c r="AH427" s="2">
        <v>60</v>
      </c>
      <c r="AI427" s="2">
        <v>44</v>
      </c>
      <c r="AJ427" s="1">
        <v>1640000</v>
      </c>
      <c r="AK427" s="1">
        <v>1.2</v>
      </c>
      <c r="AL427" s="1">
        <v>150</v>
      </c>
      <c r="AM427" s="2">
        <v>50</v>
      </c>
      <c r="AN427" s="2">
        <f t="shared" si="6"/>
        <v>50</v>
      </c>
      <c r="AO427" s="3">
        <v>426</v>
      </c>
      <c r="AP427" s="3">
        <v>90</v>
      </c>
      <c r="AQ427" s="3">
        <v>54</v>
      </c>
      <c r="AR427" s="3">
        <v>80</v>
      </c>
      <c r="AS427" s="1">
        <v>15</v>
      </c>
      <c r="AT427" s="3">
        <v>4</v>
      </c>
      <c r="AU427" s="3" t="s">
        <v>3051</v>
      </c>
    </row>
    <row r="428" spans="1:47" x14ac:dyDescent="0.3">
      <c r="A428" s="1" t="s">
        <v>1212</v>
      </c>
      <c r="B428" s="1" t="s">
        <v>1211</v>
      </c>
      <c r="C428" s="1" t="s">
        <v>90</v>
      </c>
      <c r="D428" s="1" t="s">
        <v>52</v>
      </c>
      <c r="E428" s="1" t="s">
        <v>1210</v>
      </c>
      <c r="F428" t="s">
        <v>3119</v>
      </c>
      <c r="G428" t="s">
        <v>3270</v>
      </c>
      <c r="H428" t="s">
        <v>3129</v>
      </c>
      <c r="I428" t="s">
        <v>52</v>
      </c>
      <c r="J428" t="s">
        <v>52</v>
      </c>
      <c r="K428" t="s">
        <v>52</v>
      </c>
      <c r="L428" s="2">
        <v>1</v>
      </c>
      <c r="M428" s="2">
        <v>1</v>
      </c>
      <c r="N428" s="2">
        <v>1</v>
      </c>
      <c r="O428" s="2">
        <v>1</v>
      </c>
      <c r="P428" s="2">
        <v>1</v>
      </c>
      <c r="Q428" s="2">
        <v>2</v>
      </c>
      <c r="R428" s="2">
        <v>1</v>
      </c>
      <c r="S428" s="2">
        <v>1</v>
      </c>
      <c r="T428" s="2">
        <v>0</v>
      </c>
      <c r="U428" s="2">
        <v>1</v>
      </c>
      <c r="V428" s="2">
        <v>1</v>
      </c>
      <c r="W428" s="2">
        <v>1</v>
      </c>
      <c r="X428" s="2">
        <v>1</v>
      </c>
      <c r="Y428" s="2">
        <v>1</v>
      </c>
      <c r="Z428" s="2">
        <v>1</v>
      </c>
      <c r="AA428" s="2">
        <v>1</v>
      </c>
      <c r="AB428" s="2">
        <v>1</v>
      </c>
      <c r="AC428" s="2">
        <v>1</v>
      </c>
      <c r="AD428" s="2">
        <v>66</v>
      </c>
      <c r="AE428" s="2">
        <v>5120</v>
      </c>
      <c r="AF428" s="2">
        <v>0</v>
      </c>
      <c r="AG428" s="2">
        <v>350</v>
      </c>
      <c r="AH428" s="2">
        <v>190</v>
      </c>
      <c r="AI428" s="2">
        <v>44</v>
      </c>
      <c r="AJ428" s="1">
        <v>1000000</v>
      </c>
      <c r="AK428" s="1">
        <v>0.4</v>
      </c>
      <c r="AL428" s="1">
        <v>55</v>
      </c>
      <c r="AM428" s="2">
        <v>50</v>
      </c>
      <c r="AN428" s="2">
        <f t="shared" si="6"/>
        <v>50</v>
      </c>
      <c r="AO428" s="3">
        <v>427</v>
      </c>
      <c r="AP428" s="3">
        <v>44</v>
      </c>
      <c r="AQ428" s="3">
        <v>56</v>
      </c>
      <c r="AR428" s="3">
        <v>85</v>
      </c>
      <c r="AS428" s="1">
        <v>5.5</v>
      </c>
      <c r="AT428" s="3">
        <v>4</v>
      </c>
      <c r="AU428" s="3" t="s">
        <v>3051</v>
      </c>
    </row>
    <row r="429" spans="1:47" x14ac:dyDescent="0.3">
      <c r="A429" s="1" t="s">
        <v>1214</v>
      </c>
      <c r="B429" s="1" t="s">
        <v>1213</v>
      </c>
      <c r="C429" s="1" t="s">
        <v>90</v>
      </c>
      <c r="D429" s="1" t="s">
        <v>52</v>
      </c>
      <c r="E429" s="1" t="s">
        <v>1210</v>
      </c>
      <c r="F429" t="s">
        <v>3124</v>
      </c>
      <c r="G429" t="s">
        <v>3270</v>
      </c>
      <c r="H429" t="s">
        <v>3129</v>
      </c>
      <c r="I429" t="s">
        <v>52</v>
      </c>
      <c r="J429" t="s">
        <v>52</v>
      </c>
      <c r="K429" t="s">
        <v>52</v>
      </c>
      <c r="L429" s="2">
        <v>1</v>
      </c>
      <c r="M429" s="2">
        <v>1</v>
      </c>
      <c r="N429" s="2">
        <v>1</v>
      </c>
      <c r="O429" s="2">
        <v>1</v>
      </c>
      <c r="P429" s="2">
        <v>1</v>
      </c>
      <c r="Q429" s="2">
        <v>2</v>
      </c>
      <c r="R429" s="2">
        <v>1</v>
      </c>
      <c r="S429" s="2">
        <v>1</v>
      </c>
      <c r="T429" s="2">
        <v>0</v>
      </c>
      <c r="U429" s="2">
        <v>1</v>
      </c>
      <c r="V429" s="2">
        <v>1</v>
      </c>
      <c r="W429" s="2">
        <v>1</v>
      </c>
      <c r="X429" s="2">
        <v>1</v>
      </c>
      <c r="Y429" s="2">
        <v>1</v>
      </c>
      <c r="Z429" s="2">
        <v>1</v>
      </c>
      <c r="AA429" s="2">
        <v>1</v>
      </c>
      <c r="AB429" s="2">
        <v>1</v>
      </c>
      <c r="AC429" s="2">
        <v>1</v>
      </c>
      <c r="AD429" s="2">
        <v>136</v>
      </c>
      <c r="AE429" s="2">
        <v>5120</v>
      </c>
      <c r="AF429" s="2">
        <v>140</v>
      </c>
      <c r="AG429" s="2">
        <v>580</v>
      </c>
      <c r="AH429" s="2">
        <v>60</v>
      </c>
      <c r="AI429" s="2">
        <v>94</v>
      </c>
      <c r="AJ429" s="1">
        <v>1000000</v>
      </c>
      <c r="AK429" s="1">
        <v>1.2</v>
      </c>
      <c r="AL429" s="1">
        <v>65</v>
      </c>
      <c r="AM429" s="2">
        <v>50</v>
      </c>
      <c r="AN429" s="2">
        <f t="shared" si="6"/>
        <v>50</v>
      </c>
      <c r="AO429" s="3">
        <v>428</v>
      </c>
      <c r="AP429" s="3">
        <v>54</v>
      </c>
      <c r="AQ429" s="3">
        <v>96</v>
      </c>
      <c r="AR429" s="3">
        <v>135</v>
      </c>
      <c r="AS429" s="1">
        <v>33.299999999999997</v>
      </c>
      <c r="AT429" s="3">
        <v>4</v>
      </c>
      <c r="AU429" s="3" t="s">
        <v>3051</v>
      </c>
    </row>
    <row r="430" spans="1:47" x14ac:dyDescent="0.3">
      <c r="A430" s="1" t="s">
        <v>1217</v>
      </c>
      <c r="B430" s="1" t="s">
        <v>1216</v>
      </c>
      <c r="C430" s="1" t="s">
        <v>293</v>
      </c>
      <c r="D430" s="1" t="s">
        <v>52</v>
      </c>
      <c r="E430" s="1" t="s">
        <v>1215</v>
      </c>
      <c r="F430" t="s">
        <v>3055</v>
      </c>
      <c r="G430" t="s">
        <v>52</v>
      </c>
      <c r="H430" t="s">
        <v>52</v>
      </c>
      <c r="I430" t="s">
        <v>52</v>
      </c>
      <c r="J430" t="s">
        <v>52</v>
      </c>
      <c r="K430" t="s">
        <v>52</v>
      </c>
      <c r="L430" s="2">
        <v>0.5</v>
      </c>
      <c r="M430" s="2">
        <v>2</v>
      </c>
      <c r="N430" s="2">
        <v>1</v>
      </c>
      <c r="O430" s="2">
        <v>1</v>
      </c>
      <c r="P430" s="2">
        <v>1</v>
      </c>
      <c r="Q430" s="2">
        <v>0</v>
      </c>
      <c r="R430" s="2">
        <v>1</v>
      </c>
      <c r="S430" s="2">
        <v>1</v>
      </c>
      <c r="T430" s="2">
        <v>2</v>
      </c>
      <c r="U430" s="2">
        <v>1</v>
      </c>
      <c r="V430" s="2">
        <v>1</v>
      </c>
      <c r="W430" s="2">
        <v>1</v>
      </c>
      <c r="X430" s="2">
        <v>0</v>
      </c>
      <c r="Y430" s="2">
        <v>0.5</v>
      </c>
      <c r="Z430" s="2">
        <v>1</v>
      </c>
      <c r="AA430" s="2">
        <v>1</v>
      </c>
      <c r="AB430" s="2">
        <v>1</v>
      </c>
      <c r="AC430" s="2">
        <v>1</v>
      </c>
      <c r="AD430" s="2">
        <v>60</v>
      </c>
      <c r="AE430" s="2">
        <v>6400</v>
      </c>
      <c r="AF430" s="2">
        <v>35</v>
      </c>
      <c r="AG430" s="2">
        <v>495</v>
      </c>
      <c r="AH430" s="2">
        <v>45</v>
      </c>
      <c r="AI430" s="2">
        <v>60</v>
      </c>
      <c r="AJ430" s="1">
        <v>800000</v>
      </c>
      <c r="AK430" s="1">
        <v>0.9</v>
      </c>
      <c r="AL430" s="1">
        <v>60</v>
      </c>
      <c r="AM430" s="2">
        <v>50</v>
      </c>
      <c r="AN430" s="2">
        <f t="shared" si="6"/>
        <v>50</v>
      </c>
      <c r="AO430" s="3">
        <v>429</v>
      </c>
      <c r="AP430" s="3">
        <v>105</v>
      </c>
      <c r="AQ430" s="3">
        <v>105</v>
      </c>
      <c r="AR430" s="3">
        <v>105</v>
      </c>
      <c r="AS430" s="1">
        <v>4.4000000000000004</v>
      </c>
      <c r="AT430" s="3">
        <v>4</v>
      </c>
      <c r="AU430" s="3" t="s">
        <v>3051</v>
      </c>
    </row>
    <row r="431" spans="1:47" x14ac:dyDescent="0.3">
      <c r="A431" s="1" t="s">
        <v>1220</v>
      </c>
      <c r="B431" s="1" t="s">
        <v>1219</v>
      </c>
      <c r="C431" s="1" t="s">
        <v>99</v>
      </c>
      <c r="D431" s="1" t="s">
        <v>58</v>
      </c>
      <c r="E431" s="1" t="s">
        <v>1218</v>
      </c>
      <c r="F431" t="s">
        <v>3137</v>
      </c>
      <c r="G431" t="s">
        <v>3256</v>
      </c>
      <c r="H431" t="s">
        <v>3252</v>
      </c>
      <c r="I431" t="s">
        <v>52</v>
      </c>
      <c r="J431" t="s">
        <v>52</v>
      </c>
      <c r="K431" t="s">
        <v>52</v>
      </c>
      <c r="L431" s="2">
        <v>1</v>
      </c>
      <c r="M431" s="2">
        <v>0.5</v>
      </c>
      <c r="N431" s="2">
        <v>1</v>
      </c>
      <c r="O431" s="2">
        <v>2</v>
      </c>
      <c r="P431" s="2">
        <v>2</v>
      </c>
      <c r="Q431" s="2">
        <v>1</v>
      </c>
      <c r="R431" s="2">
        <v>1</v>
      </c>
      <c r="S431" s="2">
        <v>1</v>
      </c>
      <c r="T431" s="2">
        <v>0.5</v>
      </c>
      <c r="U431" s="2">
        <v>0.5</v>
      </c>
      <c r="V431" s="2">
        <v>0</v>
      </c>
      <c r="W431" s="2">
        <v>2</v>
      </c>
      <c r="X431" s="2">
        <v>1</v>
      </c>
      <c r="Y431" s="2">
        <v>1</v>
      </c>
      <c r="Z431" s="2">
        <v>0</v>
      </c>
      <c r="AA431" s="2">
        <v>2</v>
      </c>
      <c r="AB431" s="2">
        <v>1</v>
      </c>
      <c r="AC431" s="2">
        <v>1</v>
      </c>
      <c r="AD431" s="2">
        <v>125</v>
      </c>
      <c r="AE431" s="2">
        <v>5120</v>
      </c>
      <c r="AF431" s="2">
        <v>35</v>
      </c>
      <c r="AG431" s="2">
        <v>505</v>
      </c>
      <c r="AH431" s="2">
        <v>30</v>
      </c>
      <c r="AI431" s="2">
        <v>52</v>
      </c>
      <c r="AJ431" s="1">
        <v>1059860</v>
      </c>
      <c r="AK431" s="1">
        <v>0.9</v>
      </c>
      <c r="AL431" s="1">
        <v>100</v>
      </c>
      <c r="AM431" s="2">
        <v>50</v>
      </c>
      <c r="AN431" s="2">
        <f t="shared" si="6"/>
        <v>50</v>
      </c>
      <c r="AO431" s="3">
        <v>430</v>
      </c>
      <c r="AP431" s="3">
        <v>105</v>
      </c>
      <c r="AQ431" s="3">
        <v>52</v>
      </c>
      <c r="AR431" s="3">
        <v>71</v>
      </c>
      <c r="AS431" s="1">
        <v>27.3</v>
      </c>
      <c r="AT431" s="3">
        <v>4</v>
      </c>
      <c r="AU431" s="3" t="s">
        <v>3051</v>
      </c>
    </row>
    <row r="432" spans="1:47" x14ac:dyDescent="0.3">
      <c r="A432" s="1" t="s">
        <v>1223</v>
      </c>
      <c r="B432" s="1" t="s">
        <v>1222</v>
      </c>
      <c r="C432" s="1" t="s">
        <v>90</v>
      </c>
      <c r="D432" s="1" t="s">
        <v>52</v>
      </c>
      <c r="E432" s="1" t="s">
        <v>1221</v>
      </c>
      <c r="F432" t="s">
        <v>3129</v>
      </c>
      <c r="G432" t="s">
        <v>3140</v>
      </c>
      <c r="H432" t="s">
        <v>3118</v>
      </c>
      <c r="I432" t="s">
        <v>52</v>
      </c>
      <c r="J432" t="s">
        <v>52</v>
      </c>
      <c r="K432" t="s">
        <v>52</v>
      </c>
      <c r="L432" s="2">
        <v>1</v>
      </c>
      <c r="M432" s="2">
        <v>1</v>
      </c>
      <c r="N432" s="2">
        <v>1</v>
      </c>
      <c r="O432" s="2">
        <v>1</v>
      </c>
      <c r="P432" s="2">
        <v>1</v>
      </c>
      <c r="Q432" s="2">
        <v>2</v>
      </c>
      <c r="R432" s="2">
        <v>1</v>
      </c>
      <c r="S432" s="2">
        <v>1</v>
      </c>
      <c r="T432" s="2">
        <v>0</v>
      </c>
      <c r="U432" s="2">
        <v>1</v>
      </c>
      <c r="V432" s="2">
        <v>1</v>
      </c>
      <c r="W432" s="2">
        <v>1</v>
      </c>
      <c r="X432" s="2">
        <v>1</v>
      </c>
      <c r="Y432" s="2">
        <v>1</v>
      </c>
      <c r="Z432" s="2">
        <v>1</v>
      </c>
      <c r="AA432" s="2">
        <v>1</v>
      </c>
      <c r="AB432" s="2">
        <v>1</v>
      </c>
      <c r="AC432" s="2">
        <v>1</v>
      </c>
      <c r="AD432" s="2">
        <v>55</v>
      </c>
      <c r="AE432" s="2">
        <v>5120</v>
      </c>
      <c r="AF432" s="2">
        <v>70</v>
      </c>
      <c r="AG432" s="2">
        <v>310</v>
      </c>
      <c r="AH432" s="2">
        <v>190</v>
      </c>
      <c r="AI432" s="2">
        <v>42</v>
      </c>
      <c r="AJ432" s="1">
        <v>800000</v>
      </c>
      <c r="AK432" s="1">
        <v>0.5</v>
      </c>
      <c r="AL432" s="1">
        <v>49</v>
      </c>
      <c r="AM432" s="2">
        <v>24.6</v>
      </c>
      <c r="AN432" s="2">
        <f t="shared" si="6"/>
        <v>75.400000000000006</v>
      </c>
      <c r="AO432" s="3">
        <v>431</v>
      </c>
      <c r="AP432" s="3">
        <v>42</v>
      </c>
      <c r="AQ432" s="3">
        <v>37</v>
      </c>
      <c r="AR432" s="3">
        <v>85</v>
      </c>
      <c r="AS432" s="1">
        <v>3.9</v>
      </c>
      <c r="AT432" s="3">
        <v>4</v>
      </c>
      <c r="AU432" s="3" t="s">
        <v>3051</v>
      </c>
    </row>
    <row r="433" spans="1:47" x14ac:dyDescent="0.3">
      <c r="A433" s="1" t="s">
        <v>1226</v>
      </c>
      <c r="B433" s="1" t="s">
        <v>1225</v>
      </c>
      <c r="C433" s="1" t="s">
        <v>90</v>
      </c>
      <c r="D433" s="1" t="s">
        <v>52</v>
      </c>
      <c r="E433" s="1" t="s">
        <v>1224</v>
      </c>
      <c r="F433" t="s">
        <v>3135</v>
      </c>
      <c r="G433" t="s">
        <v>3140</v>
      </c>
      <c r="H433" t="s">
        <v>3191</v>
      </c>
      <c r="I433" t="s">
        <v>52</v>
      </c>
      <c r="J433" t="s">
        <v>52</v>
      </c>
      <c r="K433" t="s">
        <v>52</v>
      </c>
      <c r="L433" s="2">
        <v>1</v>
      </c>
      <c r="M433" s="2">
        <v>1</v>
      </c>
      <c r="N433" s="2">
        <v>1</v>
      </c>
      <c r="O433" s="2">
        <v>1</v>
      </c>
      <c r="P433" s="2">
        <v>1</v>
      </c>
      <c r="Q433" s="2">
        <v>2</v>
      </c>
      <c r="R433" s="2">
        <v>1</v>
      </c>
      <c r="S433" s="2">
        <v>1</v>
      </c>
      <c r="T433" s="2">
        <v>0</v>
      </c>
      <c r="U433" s="2">
        <v>1</v>
      </c>
      <c r="V433" s="2">
        <v>1</v>
      </c>
      <c r="W433" s="2">
        <v>1</v>
      </c>
      <c r="X433" s="2">
        <v>1</v>
      </c>
      <c r="Y433" s="2">
        <v>1</v>
      </c>
      <c r="Z433" s="2">
        <v>1</v>
      </c>
      <c r="AA433" s="2">
        <v>1</v>
      </c>
      <c r="AB433" s="2">
        <v>1</v>
      </c>
      <c r="AC433" s="2">
        <v>1</v>
      </c>
      <c r="AD433" s="2">
        <v>82</v>
      </c>
      <c r="AE433" s="2">
        <v>5120</v>
      </c>
      <c r="AF433" s="2">
        <v>70</v>
      </c>
      <c r="AG433" s="2">
        <v>452</v>
      </c>
      <c r="AH433" s="2">
        <v>75</v>
      </c>
      <c r="AI433" s="2">
        <v>64</v>
      </c>
      <c r="AJ433" s="1">
        <v>800000</v>
      </c>
      <c r="AK433" s="1">
        <v>1</v>
      </c>
      <c r="AL433" s="1">
        <v>71</v>
      </c>
      <c r="AM433" s="2">
        <v>24.6</v>
      </c>
      <c r="AN433" s="2">
        <f t="shared" si="6"/>
        <v>75.400000000000006</v>
      </c>
      <c r="AO433" s="3">
        <v>432</v>
      </c>
      <c r="AP433" s="3">
        <v>64</v>
      </c>
      <c r="AQ433" s="3">
        <v>59</v>
      </c>
      <c r="AR433" s="3">
        <v>112</v>
      </c>
      <c r="AS433" s="1">
        <v>43.8</v>
      </c>
      <c r="AT433" s="3">
        <v>4</v>
      </c>
      <c r="AU433" s="3" t="s">
        <v>3051</v>
      </c>
    </row>
    <row r="434" spans="1:47" x14ac:dyDescent="0.3">
      <c r="A434" s="1" t="s">
        <v>1229</v>
      </c>
      <c r="B434" s="1" t="s">
        <v>1228</v>
      </c>
      <c r="C434" s="1" t="s">
        <v>216</v>
      </c>
      <c r="D434" s="1" t="s">
        <v>52</v>
      </c>
      <c r="E434" s="1" t="s">
        <v>1227</v>
      </c>
      <c r="F434" t="s">
        <v>3055</v>
      </c>
      <c r="G434" t="s">
        <v>52</v>
      </c>
      <c r="H434" t="s">
        <v>52</v>
      </c>
      <c r="I434" t="s">
        <v>52</v>
      </c>
      <c r="J434" t="s">
        <v>52</v>
      </c>
      <c r="K434" t="s">
        <v>52</v>
      </c>
      <c r="L434" s="2">
        <v>2</v>
      </c>
      <c r="M434" s="2">
        <v>2</v>
      </c>
      <c r="N434" s="2">
        <v>1</v>
      </c>
      <c r="O434" s="2">
        <v>1</v>
      </c>
      <c r="P434" s="2">
        <v>1</v>
      </c>
      <c r="Q434" s="2">
        <v>0.5</v>
      </c>
      <c r="R434" s="2">
        <v>1</v>
      </c>
      <c r="S434" s="2">
        <v>1</v>
      </c>
      <c r="T434" s="2">
        <v>2</v>
      </c>
      <c r="U434" s="2">
        <v>1</v>
      </c>
      <c r="V434" s="2">
        <v>1</v>
      </c>
      <c r="W434" s="2">
        <v>1</v>
      </c>
      <c r="X434" s="2">
        <v>1</v>
      </c>
      <c r="Y434" s="2">
        <v>1</v>
      </c>
      <c r="Z434" s="2">
        <v>0.5</v>
      </c>
      <c r="AA434" s="2">
        <v>1</v>
      </c>
      <c r="AB434" s="2">
        <v>1</v>
      </c>
      <c r="AC434" s="2">
        <v>1</v>
      </c>
      <c r="AD434" s="2">
        <v>30</v>
      </c>
      <c r="AE434" s="2">
        <v>6400</v>
      </c>
      <c r="AF434" s="2">
        <v>70</v>
      </c>
      <c r="AG434" s="2">
        <v>285</v>
      </c>
      <c r="AH434" s="2">
        <v>120</v>
      </c>
      <c r="AI434" s="2">
        <v>50</v>
      </c>
      <c r="AJ434" s="1">
        <v>800000</v>
      </c>
      <c r="AK434" s="1">
        <v>0.2</v>
      </c>
      <c r="AL434" s="1">
        <v>45</v>
      </c>
      <c r="AM434" s="2">
        <v>50</v>
      </c>
      <c r="AN434" s="2">
        <f t="shared" si="6"/>
        <v>50</v>
      </c>
      <c r="AO434" s="3">
        <v>433</v>
      </c>
      <c r="AP434" s="3">
        <v>65</v>
      </c>
      <c r="AQ434" s="3">
        <v>50</v>
      </c>
      <c r="AR434" s="3">
        <v>45</v>
      </c>
      <c r="AS434" s="1">
        <v>0.6</v>
      </c>
      <c r="AT434" s="3">
        <v>4</v>
      </c>
      <c r="AU434" s="3" t="s">
        <v>3051</v>
      </c>
    </row>
    <row r="435" spans="1:47" x14ac:dyDescent="0.3">
      <c r="A435" s="1" t="s">
        <v>1232</v>
      </c>
      <c r="B435" s="1" t="s">
        <v>1231</v>
      </c>
      <c r="C435" s="1" t="s">
        <v>43</v>
      </c>
      <c r="D435" s="1" t="s">
        <v>99</v>
      </c>
      <c r="E435" s="1" t="s">
        <v>1230</v>
      </c>
      <c r="F435" t="s">
        <v>3136</v>
      </c>
      <c r="G435" t="s">
        <v>3170</v>
      </c>
      <c r="H435" t="s">
        <v>3118</v>
      </c>
      <c r="I435" t="s">
        <v>52</v>
      </c>
      <c r="J435" t="s">
        <v>52</v>
      </c>
      <c r="K435" t="s">
        <v>52</v>
      </c>
      <c r="L435" s="2">
        <v>1</v>
      </c>
      <c r="M435" s="2">
        <v>0.5</v>
      </c>
      <c r="N435" s="2">
        <v>1</v>
      </c>
      <c r="O435" s="2">
        <v>1</v>
      </c>
      <c r="P435" s="2">
        <v>1</v>
      </c>
      <c r="Q435" s="2">
        <v>1</v>
      </c>
      <c r="R435" s="2">
        <v>1</v>
      </c>
      <c r="S435" s="2">
        <v>1</v>
      </c>
      <c r="T435" s="2">
        <v>0.5</v>
      </c>
      <c r="U435" s="2">
        <v>0.5</v>
      </c>
      <c r="V435" s="2">
        <v>2</v>
      </c>
      <c r="W435" s="2">
        <v>1</v>
      </c>
      <c r="X435" s="2">
        <v>1</v>
      </c>
      <c r="Y435" s="2">
        <v>0.5</v>
      </c>
      <c r="Z435" s="2">
        <v>0</v>
      </c>
      <c r="AA435" s="2">
        <v>1</v>
      </c>
      <c r="AB435" s="2">
        <v>1</v>
      </c>
      <c r="AC435" s="2">
        <v>1</v>
      </c>
      <c r="AD435" s="2">
        <v>63</v>
      </c>
      <c r="AE435" s="2">
        <v>5120</v>
      </c>
      <c r="AF435" s="2">
        <v>70</v>
      </c>
      <c r="AG435" s="2">
        <v>329</v>
      </c>
      <c r="AH435" s="2">
        <v>225</v>
      </c>
      <c r="AI435" s="2">
        <v>47</v>
      </c>
      <c r="AJ435" s="1">
        <v>1000000</v>
      </c>
      <c r="AK435" s="1">
        <v>0.4</v>
      </c>
      <c r="AL435" s="1">
        <v>63</v>
      </c>
      <c r="AM435" s="2">
        <v>50</v>
      </c>
      <c r="AN435" s="2">
        <f t="shared" si="6"/>
        <v>50</v>
      </c>
      <c r="AO435" s="3">
        <v>434</v>
      </c>
      <c r="AP435" s="3">
        <v>41</v>
      </c>
      <c r="AQ435" s="3">
        <v>41</v>
      </c>
      <c r="AR435" s="3">
        <v>74</v>
      </c>
      <c r="AS435" s="1">
        <v>19.2</v>
      </c>
      <c r="AT435" s="3">
        <v>4</v>
      </c>
      <c r="AU435" s="3" t="s">
        <v>3051</v>
      </c>
    </row>
    <row r="436" spans="1:47" x14ac:dyDescent="0.3">
      <c r="A436" s="1" t="s">
        <v>1234</v>
      </c>
      <c r="B436" s="1" t="s">
        <v>1233</v>
      </c>
      <c r="C436" s="1" t="s">
        <v>43</v>
      </c>
      <c r="D436" s="1" t="s">
        <v>99</v>
      </c>
      <c r="E436" s="1" t="s">
        <v>1230</v>
      </c>
      <c r="F436" t="s">
        <v>3136</v>
      </c>
      <c r="G436" t="s">
        <v>3170</v>
      </c>
      <c r="H436" t="s">
        <v>3118</v>
      </c>
      <c r="I436" t="s">
        <v>52</v>
      </c>
      <c r="J436" t="s">
        <v>52</v>
      </c>
      <c r="K436" t="s">
        <v>52</v>
      </c>
      <c r="L436" s="2">
        <v>1</v>
      </c>
      <c r="M436" s="2">
        <v>0.5</v>
      </c>
      <c r="N436" s="2">
        <v>1</v>
      </c>
      <c r="O436" s="2">
        <v>1</v>
      </c>
      <c r="P436" s="2">
        <v>1</v>
      </c>
      <c r="Q436" s="2">
        <v>1</v>
      </c>
      <c r="R436" s="2">
        <v>1</v>
      </c>
      <c r="S436" s="2">
        <v>1</v>
      </c>
      <c r="T436" s="2">
        <v>0.5</v>
      </c>
      <c r="U436" s="2">
        <v>0.5</v>
      </c>
      <c r="V436" s="2">
        <v>2</v>
      </c>
      <c r="W436" s="2">
        <v>1</v>
      </c>
      <c r="X436" s="2">
        <v>1</v>
      </c>
      <c r="Y436" s="2">
        <v>0.5</v>
      </c>
      <c r="Z436" s="2">
        <v>0</v>
      </c>
      <c r="AA436" s="2">
        <v>1</v>
      </c>
      <c r="AB436" s="2">
        <v>1</v>
      </c>
      <c r="AC436" s="2">
        <v>1</v>
      </c>
      <c r="AD436" s="2">
        <v>93</v>
      </c>
      <c r="AE436" s="2">
        <v>5120</v>
      </c>
      <c r="AF436" s="2">
        <v>70</v>
      </c>
      <c r="AG436" s="2">
        <v>479</v>
      </c>
      <c r="AH436" s="2">
        <v>60</v>
      </c>
      <c r="AI436" s="2">
        <v>67</v>
      </c>
      <c r="AJ436" s="1">
        <v>1000000</v>
      </c>
      <c r="AK436" s="1">
        <v>1</v>
      </c>
      <c r="AL436" s="1">
        <v>103</v>
      </c>
      <c r="AM436" s="2">
        <v>50</v>
      </c>
      <c r="AN436" s="2">
        <f t="shared" si="6"/>
        <v>50</v>
      </c>
      <c r="AO436" s="3">
        <v>435</v>
      </c>
      <c r="AP436" s="3">
        <v>71</v>
      </c>
      <c r="AQ436" s="3">
        <v>61</v>
      </c>
      <c r="AR436" s="3">
        <v>84</v>
      </c>
      <c r="AS436" s="1">
        <v>38</v>
      </c>
      <c r="AT436" s="3">
        <v>4</v>
      </c>
      <c r="AU436" s="3" t="s">
        <v>3051</v>
      </c>
    </row>
    <row r="437" spans="1:47" x14ac:dyDescent="0.3">
      <c r="A437" s="1" t="s">
        <v>1237</v>
      </c>
      <c r="B437" s="1" t="s">
        <v>1236</v>
      </c>
      <c r="C437" s="1" t="s">
        <v>263</v>
      </c>
      <c r="D437" s="1" t="s">
        <v>216</v>
      </c>
      <c r="E437" s="1" t="s">
        <v>1235</v>
      </c>
      <c r="F437" t="s">
        <v>3055</v>
      </c>
      <c r="G437" t="s">
        <v>3271</v>
      </c>
      <c r="H437" t="s">
        <v>3265</v>
      </c>
      <c r="I437" t="s">
        <v>52</v>
      </c>
      <c r="J437" t="s">
        <v>52</v>
      </c>
      <c r="K437" t="s">
        <v>52</v>
      </c>
      <c r="L437" s="2">
        <v>1</v>
      </c>
      <c r="M437" s="2">
        <v>2</v>
      </c>
      <c r="N437" s="2">
        <v>0.5</v>
      </c>
      <c r="O437" s="2">
        <v>1</v>
      </c>
      <c r="P437" s="2">
        <v>0.5</v>
      </c>
      <c r="Q437" s="2">
        <v>1</v>
      </c>
      <c r="R437" s="2">
        <v>2</v>
      </c>
      <c r="S437" s="2">
        <v>0.5</v>
      </c>
      <c r="T437" s="2">
        <v>2</v>
      </c>
      <c r="U437" s="2">
        <v>0.5</v>
      </c>
      <c r="V437" s="2">
        <v>2</v>
      </c>
      <c r="W437" s="2">
        <v>0.5</v>
      </c>
      <c r="X437" s="2">
        <v>0.5</v>
      </c>
      <c r="Y437" s="2">
        <v>0</v>
      </c>
      <c r="Z437" s="2">
        <v>0.25</v>
      </c>
      <c r="AA437" s="2">
        <v>0.5</v>
      </c>
      <c r="AB437" s="2">
        <v>0.5</v>
      </c>
      <c r="AC437" s="2">
        <v>1</v>
      </c>
      <c r="AD437" s="2">
        <v>24</v>
      </c>
      <c r="AE437" s="2">
        <v>5120</v>
      </c>
      <c r="AF437" s="2">
        <v>70</v>
      </c>
      <c r="AG437" s="2">
        <v>300</v>
      </c>
      <c r="AH437" s="2">
        <v>255</v>
      </c>
      <c r="AI437" s="2">
        <v>86</v>
      </c>
      <c r="AJ437" s="1">
        <v>1000000</v>
      </c>
      <c r="AK437" s="1">
        <v>0.5</v>
      </c>
      <c r="AL437" s="1">
        <v>57</v>
      </c>
      <c r="AM437" s="2" t="s">
        <v>52</v>
      </c>
      <c r="AN437" s="2" t="str">
        <f t="shared" si="6"/>
        <v/>
      </c>
      <c r="AO437" s="3">
        <v>436</v>
      </c>
      <c r="AP437" s="3">
        <v>24</v>
      </c>
      <c r="AQ437" s="3">
        <v>86</v>
      </c>
      <c r="AR437" s="3">
        <v>23</v>
      </c>
      <c r="AS437" s="1">
        <v>60.5</v>
      </c>
      <c r="AT437" s="3">
        <v>4</v>
      </c>
      <c r="AU437" s="3" t="s">
        <v>3051</v>
      </c>
    </row>
    <row r="438" spans="1:47" x14ac:dyDescent="0.3">
      <c r="A438" s="1" t="s">
        <v>1240</v>
      </c>
      <c r="B438" s="1" t="s">
        <v>1239</v>
      </c>
      <c r="C438" s="1" t="s">
        <v>263</v>
      </c>
      <c r="D438" s="1" t="s">
        <v>216</v>
      </c>
      <c r="E438" s="1" t="s">
        <v>1238</v>
      </c>
      <c r="F438" t="s">
        <v>3055</v>
      </c>
      <c r="G438" t="s">
        <v>3271</v>
      </c>
      <c r="H438" t="s">
        <v>3265</v>
      </c>
      <c r="I438" t="s">
        <v>52</v>
      </c>
      <c r="J438" t="s">
        <v>52</v>
      </c>
      <c r="K438" t="s">
        <v>52</v>
      </c>
      <c r="L438" s="2">
        <v>1</v>
      </c>
      <c r="M438" s="2">
        <v>2</v>
      </c>
      <c r="N438" s="2">
        <v>0.5</v>
      </c>
      <c r="O438" s="2">
        <v>1</v>
      </c>
      <c r="P438" s="2">
        <v>0.5</v>
      </c>
      <c r="Q438" s="2">
        <v>1</v>
      </c>
      <c r="R438" s="2">
        <v>2</v>
      </c>
      <c r="S438" s="2">
        <v>0.5</v>
      </c>
      <c r="T438" s="2">
        <v>2</v>
      </c>
      <c r="U438" s="2">
        <v>0.5</v>
      </c>
      <c r="V438" s="2">
        <v>2</v>
      </c>
      <c r="W438" s="2">
        <v>0.5</v>
      </c>
      <c r="X438" s="2">
        <v>0.5</v>
      </c>
      <c r="Y438" s="2">
        <v>0</v>
      </c>
      <c r="Z438" s="2">
        <v>0.25</v>
      </c>
      <c r="AA438" s="2">
        <v>0.5</v>
      </c>
      <c r="AB438" s="2">
        <v>0.5</v>
      </c>
      <c r="AC438" s="2">
        <v>1</v>
      </c>
      <c r="AD438" s="2">
        <v>89</v>
      </c>
      <c r="AE438" s="2">
        <v>5120</v>
      </c>
      <c r="AF438" s="2">
        <v>70</v>
      </c>
      <c r="AG438" s="2">
        <v>500</v>
      </c>
      <c r="AH438" s="2">
        <v>90</v>
      </c>
      <c r="AI438" s="2">
        <v>116</v>
      </c>
      <c r="AJ438" s="1">
        <v>1000000</v>
      </c>
      <c r="AK438" s="1">
        <v>1.3</v>
      </c>
      <c r="AL438" s="1">
        <v>67</v>
      </c>
      <c r="AM438" s="2" t="s">
        <v>52</v>
      </c>
      <c r="AN438" s="2" t="str">
        <f t="shared" si="6"/>
        <v/>
      </c>
      <c r="AO438" s="3">
        <v>437</v>
      </c>
      <c r="AP438" s="3">
        <v>79</v>
      </c>
      <c r="AQ438" s="3">
        <v>116</v>
      </c>
      <c r="AR438" s="3">
        <v>33</v>
      </c>
      <c r="AS438" s="1">
        <v>187</v>
      </c>
      <c r="AT438" s="3">
        <v>4</v>
      </c>
      <c r="AU438" s="3" t="s">
        <v>3051</v>
      </c>
    </row>
    <row r="439" spans="1:47" x14ac:dyDescent="0.3">
      <c r="A439" s="1" t="s">
        <v>1243</v>
      </c>
      <c r="B439" s="1" t="s">
        <v>1242</v>
      </c>
      <c r="C439" s="1" t="s">
        <v>243</v>
      </c>
      <c r="D439" s="1" t="s">
        <v>52</v>
      </c>
      <c r="E439" s="1" t="s">
        <v>1241</v>
      </c>
      <c r="F439" t="s">
        <v>3107</v>
      </c>
      <c r="G439" t="s">
        <v>3132</v>
      </c>
      <c r="H439" t="s">
        <v>3238</v>
      </c>
      <c r="I439" t="s">
        <v>52</v>
      </c>
      <c r="J439" t="s">
        <v>52</v>
      </c>
      <c r="K439" t="s">
        <v>52</v>
      </c>
      <c r="L439" s="2">
        <v>1</v>
      </c>
      <c r="M439" s="2">
        <v>1</v>
      </c>
      <c r="N439" s="2">
        <v>1</v>
      </c>
      <c r="O439" s="2">
        <v>1</v>
      </c>
      <c r="P439" s="2">
        <v>1</v>
      </c>
      <c r="Q439" s="2">
        <v>2</v>
      </c>
      <c r="R439" s="2">
        <v>0.5</v>
      </c>
      <c r="S439" s="2">
        <v>0.5</v>
      </c>
      <c r="T439" s="2">
        <v>1</v>
      </c>
      <c r="U439" s="2">
        <v>2</v>
      </c>
      <c r="V439" s="2">
        <v>2</v>
      </c>
      <c r="W439" s="2">
        <v>1</v>
      </c>
      <c r="X439" s="2">
        <v>0.5</v>
      </c>
      <c r="Y439" s="2">
        <v>0.5</v>
      </c>
      <c r="Z439" s="2">
        <v>1</v>
      </c>
      <c r="AA439" s="2">
        <v>1</v>
      </c>
      <c r="AB439" s="2">
        <v>2</v>
      </c>
      <c r="AC439" s="2">
        <v>2</v>
      </c>
      <c r="AD439" s="2">
        <v>80</v>
      </c>
      <c r="AE439" s="2">
        <v>5120</v>
      </c>
      <c r="AF439" s="2">
        <v>70</v>
      </c>
      <c r="AG439" s="2">
        <v>290</v>
      </c>
      <c r="AH439" s="2">
        <v>255</v>
      </c>
      <c r="AI439" s="2">
        <v>95</v>
      </c>
      <c r="AJ439" s="1">
        <v>1000000</v>
      </c>
      <c r="AK439" s="1">
        <v>0.5</v>
      </c>
      <c r="AL439" s="1">
        <v>50</v>
      </c>
      <c r="AM439" s="2">
        <v>50</v>
      </c>
      <c r="AN439" s="2">
        <f t="shared" si="6"/>
        <v>50</v>
      </c>
      <c r="AO439" s="3">
        <v>438</v>
      </c>
      <c r="AP439" s="3">
        <v>10</v>
      </c>
      <c r="AQ439" s="3">
        <v>45</v>
      </c>
      <c r="AR439" s="3">
        <v>10</v>
      </c>
      <c r="AS439" s="1">
        <v>15</v>
      </c>
      <c r="AT439" s="3">
        <v>4</v>
      </c>
      <c r="AU439" s="3" t="s">
        <v>3051</v>
      </c>
    </row>
    <row r="440" spans="1:47" x14ac:dyDescent="0.3">
      <c r="A440" s="1" t="s">
        <v>2247</v>
      </c>
      <c r="B440" s="1" t="s">
        <v>1245</v>
      </c>
      <c r="C440" s="1" t="s">
        <v>216</v>
      </c>
      <c r="D440" s="1" t="s">
        <v>141</v>
      </c>
      <c r="E440" s="1" t="s">
        <v>1244</v>
      </c>
      <c r="F440" t="s">
        <v>3139</v>
      </c>
      <c r="G440" t="s">
        <v>3251</v>
      </c>
      <c r="H440" t="s">
        <v>3169</v>
      </c>
      <c r="I440" t="s">
        <v>52</v>
      </c>
      <c r="J440" t="s">
        <v>52</v>
      </c>
      <c r="K440" t="s">
        <v>52</v>
      </c>
      <c r="L440" s="2">
        <v>1</v>
      </c>
      <c r="M440" s="2">
        <v>1</v>
      </c>
      <c r="N440" s="2">
        <v>0</v>
      </c>
      <c r="O440" s="2">
        <v>1</v>
      </c>
      <c r="P440" s="2">
        <v>1</v>
      </c>
      <c r="Q440" s="2">
        <v>0.25</v>
      </c>
      <c r="R440" s="2">
        <v>1</v>
      </c>
      <c r="S440" s="2">
        <v>1</v>
      </c>
      <c r="T440" s="2">
        <v>2</v>
      </c>
      <c r="U440" s="2">
        <v>1</v>
      </c>
      <c r="V440" s="2">
        <v>1</v>
      </c>
      <c r="W440" s="2">
        <v>1</v>
      </c>
      <c r="X440" s="2">
        <v>1</v>
      </c>
      <c r="Y440" s="2">
        <v>2</v>
      </c>
      <c r="Z440" s="2">
        <v>0.5</v>
      </c>
      <c r="AA440" s="2">
        <v>1</v>
      </c>
      <c r="AB440" s="2">
        <v>2</v>
      </c>
      <c r="AC440" s="2">
        <v>1</v>
      </c>
      <c r="AD440" s="2">
        <v>25</v>
      </c>
      <c r="AE440" s="2">
        <v>6400</v>
      </c>
      <c r="AF440" s="2">
        <v>70</v>
      </c>
      <c r="AG440" s="2">
        <v>310</v>
      </c>
      <c r="AH440" s="2">
        <v>145</v>
      </c>
      <c r="AI440" s="2">
        <v>45</v>
      </c>
      <c r="AJ440" s="1">
        <v>1000000</v>
      </c>
      <c r="AK440" s="1">
        <v>0.6</v>
      </c>
      <c r="AL440" s="1">
        <v>20</v>
      </c>
      <c r="AM440" s="2">
        <v>50</v>
      </c>
      <c r="AN440" s="2">
        <f t="shared" si="6"/>
        <v>50</v>
      </c>
      <c r="AO440" s="3">
        <v>439</v>
      </c>
      <c r="AP440" s="3">
        <v>70</v>
      </c>
      <c r="AQ440" s="3">
        <v>90</v>
      </c>
      <c r="AR440" s="3">
        <v>60</v>
      </c>
      <c r="AS440" s="1">
        <v>13</v>
      </c>
      <c r="AT440" s="3">
        <v>4</v>
      </c>
      <c r="AU440" s="3" t="s">
        <v>3051</v>
      </c>
    </row>
    <row r="441" spans="1:47" x14ac:dyDescent="0.3">
      <c r="A441" s="1" t="s">
        <v>1248</v>
      </c>
      <c r="B441" s="1" t="s">
        <v>1247</v>
      </c>
      <c r="C441" s="1" t="s">
        <v>90</v>
      </c>
      <c r="D441" s="1" t="s">
        <v>52</v>
      </c>
      <c r="E441" s="1" t="s">
        <v>1246</v>
      </c>
      <c r="F441" t="s">
        <v>3058</v>
      </c>
      <c r="G441" t="s">
        <v>3066</v>
      </c>
      <c r="H441" t="s">
        <v>3232</v>
      </c>
      <c r="I441" t="s">
        <v>52</v>
      </c>
      <c r="J441" t="s">
        <v>52</v>
      </c>
      <c r="K441" t="s">
        <v>52</v>
      </c>
      <c r="L441" s="2">
        <v>1</v>
      </c>
      <c r="M441" s="2">
        <v>1</v>
      </c>
      <c r="N441" s="2">
        <v>1</v>
      </c>
      <c r="O441" s="2">
        <v>1</v>
      </c>
      <c r="P441" s="2">
        <v>1</v>
      </c>
      <c r="Q441" s="2">
        <v>2</v>
      </c>
      <c r="R441" s="2">
        <v>1</v>
      </c>
      <c r="S441" s="2">
        <v>1</v>
      </c>
      <c r="T441" s="2">
        <v>0</v>
      </c>
      <c r="U441" s="2">
        <v>1</v>
      </c>
      <c r="V441" s="2">
        <v>1</v>
      </c>
      <c r="W441" s="2">
        <v>1</v>
      </c>
      <c r="X441" s="2">
        <v>1</v>
      </c>
      <c r="Y441" s="2">
        <v>1</v>
      </c>
      <c r="Z441" s="2">
        <v>1</v>
      </c>
      <c r="AA441" s="2">
        <v>1</v>
      </c>
      <c r="AB441" s="2">
        <v>1</v>
      </c>
      <c r="AC441" s="2">
        <v>1</v>
      </c>
      <c r="AD441" s="2">
        <v>5</v>
      </c>
      <c r="AE441" s="2">
        <v>10240</v>
      </c>
      <c r="AF441" s="2">
        <v>140</v>
      </c>
      <c r="AG441" s="2">
        <v>220</v>
      </c>
      <c r="AH441" s="2">
        <v>130</v>
      </c>
      <c r="AI441" s="2">
        <v>5</v>
      </c>
      <c r="AJ441" s="1">
        <v>800000</v>
      </c>
      <c r="AK441" s="1">
        <v>0.6</v>
      </c>
      <c r="AL441" s="1">
        <v>100</v>
      </c>
      <c r="AM441" s="2">
        <v>0</v>
      </c>
      <c r="AN441" s="2">
        <f t="shared" si="6"/>
        <v>100</v>
      </c>
      <c r="AO441" s="3">
        <v>440</v>
      </c>
      <c r="AP441" s="3">
        <v>15</v>
      </c>
      <c r="AQ441" s="3">
        <v>65</v>
      </c>
      <c r="AR441" s="3">
        <v>30</v>
      </c>
      <c r="AS441" s="1">
        <v>24.4</v>
      </c>
      <c r="AT441" s="3">
        <v>4</v>
      </c>
      <c r="AU441" s="3" t="s">
        <v>3051</v>
      </c>
    </row>
    <row r="442" spans="1:47" x14ac:dyDescent="0.3">
      <c r="A442" s="1" t="s">
        <v>1251</v>
      </c>
      <c r="B442" s="1" t="s">
        <v>1250</v>
      </c>
      <c r="C442" s="1" t="s">
        <v>90</v>
      </c>
      <c r="D442" s="1" t="s">
        <v>58</v>
      </c>
      <c r="E442" s="1" t="s">
        <v>1249</v>
      </c>
      <c r="F442" t="s">
        <v>3118</v>
      </c>
      <c r="G442" t="s">
        <v>3227</v>
      </c>
      <c r="H442" t="s">
        <v>3179</v>
      </c>
      <c r="I442" t="s">
        <v>52</v>
      </c>
      <c r="J442" t="s">
        <v>52</v>
      </c>
      <c r="K442" t="s">
        <v>52</v>
      </c>
      <c r="L442" s="2">
        <v>0.5</v>
      </c>
      <c r="M442" s="2">
        <v>1</v>
      </c>
      <c r="N442" s="2">
        <v>1</v>
      </c>
      <c r="O442" s="2">
        <v>2</v>
      </c>
      <c r="P442" s="2">
        <v>1</v>
      </c>
      <c r="Q442" s="2">
        <v>1</v>
      </c>
      <c r="R442" s="2">
        <v>1</v>
      </c>
      <c r="S442" s="2">
        <v>1</v>
      </c>
      <c r="T442" s="2">
        <v>0</v>
      </c>
      <c r="U442" s="2">
        <v>0.5</v>
      </c>
      <c r="V442" s="2">
        <v>0</v>
      </c>
      <c r="W442" s="2">
        <v>2</v>
      </c>
      <c r="X442" s="2">
        <v>1</v>
      </c>
      <c r="Y442" s="2">
        <v>1</v>
      </c>
      <c r="Z442" s="2">
        <v>1</v>
      </c>
      <c r="AA442" s="2">
        <v>2</v>
      </c>
      <c r="AB442" s="2">
        <v>1</v>
      </c>
      <c r="AC442" s="2">
        <v>1</v>
      </c>
      <c r="AD442" s="2">
        <v>65</v>
      </c>
      <c r="AE442" s="2">
        <v>5120</v>
      </c>
      <c r="AF442" s="2">
        <v>35</v>
      </c>
      <c r="AG442" s="2">
        <v>411</v>
      </c>
      <c r="AH442" s="2">
        <v>30</v>
      </c>
      <c r="AI442" s="2">
        <v>45</v>
      </c>
      <c r="AJ442" s="1">
        <v>1059860</v>
      </c>
      <c r="AK442" s="1">
        <v>0.5</v>
      </c>
      <c r="AL442" s="1">
        <v>76</v>
      </c>
      <c r="AM442" s="2">
        <v>50</v>
      </c>
      <c r="AN442" s="2">
        <f t="shared" si="6"/>
        <v>50</v>
      </c>
      <c r="AO442" s="3">
        <v>441</v>
      </c>
      <c r="AP442" s="3">
        <v>92</v>
      </c>
      <c r="AQ442" s="3">
        <v>42</v>
      </c>
      <c r="AR442" s="3">
        <v>91</v>
      </c>
      <c r="AS442" s="1">
        <v>1.9</v>
      </c>
      <c r="AT442" s="3">
        <v>4</v>
      </c>
      <c r="AU442" s="3" t="s">
        <v>3051</v>
      </c>
    </row>
    <row r="443" spans="1:47" x14ac:dyDescent="0.3">
      <c r="A443" s="1" t="s">
        <v>1254</v>
      </c>
      <c r="B443" s="1" t="s">
        <v>1253</v>
      </c>
      <c r="C443" s="1" t="s">
        <v>293</v>
      </c>
      <c r="D443" s="1" t="s">
        <v>99</v>
      </c>
      <c r="E443" s="1" t="s">
        <v>1252</v>
      </c>
      <c r="F443" t="s">
        <v>3067</v>
      </c>
      <c r="G443" t="s">
        <v>3234</v>
      </c>
      <c r="H443" t="s">
        <v>52</v>
      </c>
      <c r="I443" t="s">
        <v>52</v>
      </c>
      <c r="J443" t="s">
        <v>52</v>
      </c>
      <c r="K443" t="s">
        <v>52</v>
      </c>
      <c r="L443" s="2">
        <v>1</v>
      </c>
      <c r="M443" s="2">
        <v>1</v>
      </c>
      <c r="N443" s="2">
        <v>1</v>
      </c>
      <c r="O443" s="2">
        <v>1</v>
      </c>
      <c r="P443" s="2">
        <v>2</v>
      </c>
      <c r="Q443" s="2">
        <v>0</v>
      </c>
      <c r="R443" s="2">
        <v>1</v>
      </c>
      <c r="S443" s="2">
        <v>1</v>
      </c>
      <c r="T443" s="2">
        <v>1</v>
      </c>
      <c r="U443" s="2">
        <v>1</v>
      </c>
      <c r="V443" s="2">
        <v>1</v>
      </c>
      <c r="W443" s="2">
        <v>1</v>
      </c>
      <c r="X443" s="2">
        <v>0</v>
      </c>
      <c r="Y443" s="2">
        <v>0.5</v>
      </c>
      <c r="Z443" s="2">
        <v>0</v>
      </c>
      <c r="AA443" s="2">
        <v>1</v>
      </c>
      <c r="AB443" s="2">
        <v>1</v>
      </c>
      <c r="AC443" s="2">
        <v>1</v>
      </c>
      <c r="AD443" s="2">
        <v>92</v>
      </c>
      <c r="AE443" s="2">
        <v>7680</v>
      </c>
      <c r="AF443" s="2">
        <v>70</v>
      </c>
      <c r="AG443" s="2">
        <v>485</v>
      </c>
      <c r="AH443" s="2">
        <v>100</v>
      </c>
      <c r="AI443" s="2">
        <v>108</v>
      </c>
      <c r="AJ443" s="1">
        <v>1000000</v>
      </c>
      <c r="AK443" s="1">
        <v>1</v>
      </c>
      <c r="AL443" s="1">
        <v>50</v>
      </c>
      <c r="AM443" s="2">
        <v>50</v>
      </c>
      <c r="AN443" s="2">
        <f t="shared" si="6"/>
        <v>50</v>
      </c>
      <c r="AO443" s="3">
        <v>442</v>
      </c>
      <c r="AP443" s="3">
        <v>92</v>
      </c>
      <c r="AQ443" s="3">
        <v>108</v>
      </c>
      <c r="AR443" s="3">
        <v>35</v>
      </c>
      <c r="AS443" s="1">
        <v>108</v>
      </c>
      <c r="AT443" s="3">
        <v>4</v>
      </c>
      <c r="AU443" s="3" t="s">
        <v>3051</v>
      </c>
    </row>
    <row r="444" spans="1:47" x14ac:dyDescent="0.3">
      <c r="A444" s="1" t="s">
        <v>1257</v>
      </c>
      <c r="B444" s="1" t="s">
        <v>1256</v>
      </c>
      <c r="C444" s="1" t="s">
        <v>443</v>
      </c>
      <c r="D444" s="1" t="s">
        <v>120</v>
      </c>
      <c r="E444" s="1" t="s">
        <v>1255</v>
      </c>
      <c r="F444" t="s">
        <v>3122</v>
      </c>
      <c r="G444" t="s">
        <v>3158</v>
      </c>
      <c r="H444" t="s">
        <v>52</v>
      </c>
      <c r="I444" t="s">
        <v>52</v>
      </c>
      <c r="J444" t="s">
        <v>52</v>
      </c>
      <c r="K444" t="s">
        <v>52</v>
      </c>
      <c r="L444" s="2">
        <v>1</v>
      </c>
      <c r="M444" s="2">
        <v>1</v>
      </c>
      <c r="N444" s="2">
        <v>2</v>
      </c>
      <c r="O444" s="2">
        <v>0</v>
      </c>
      <c r="P444" s="2">
        <v>2</v>
      </c>
      <c r="Q444" s="2">
        <v>1</v>
      </c>
      <c r="R444" s="2">
        <v>0.5</v>
      </c>
      <c r="S444" s="2">
        <v>1</v>
      </c>
      <c r="T444" s="2">
        <v>1</v>
      </c>
      <c r="U444" s="2">
        <v>1</v>
      </c>
      <c r="V444" s="2">
        <v>1</v>
      </c>
      <c r="W444" s="2">
        <v>4</v>
      </c>
      <c r="X444" s="2">
        <v>1</v>
      </c>
      <c r="Y444" s="2">
        <v>0.5</v>
      </c>
      <c r="Z444" s="2">
        <v>1</v>
      </c>
      <c r="AA444" s="2">
        <v>0.5</v>
      </c>
      <c r="AB444" s="2">
        <v>1</v>
      </c>
      <c r="AC444" s="2">
        <v>1</v>
      </c>
      <c r="AD444" s="2">
        <v>70</v>
      </c>
      <c r="AE444" s="2">
        <v>10240</v>
      </c>
      <c r="AF444" s="2">
        <v>70</v>
      </c>
      <c r="AG444" s="2">
        <v>300</v>
      </c>
      <c r="AH444" s="2">
        <v>45</v>
      </c>
      <c r="AI444" s="2">
        <v>45</v>
      </c>
      <c r="AJ444" s="1">
        <v>1250000</v>
      </c>
      <c r="AK444" s="1">
        <v>0.7</v>
      </c>
      <c r="AL444" s="1">
        <v>58</v>
      </c>
      <c r="AM444" s="2">
        <v>50</v>
      </c>
      <c r="AN444" s="2">
        <f t="shared" si="6"/>
        <v>50</v>
      </c>
      <c r="AO444" s="3">
        <v>443</v>
      </c>
      <c r="AP444" s="3">
        <v>40</v>
      </c>
      <c r="AQ444" s="3">
        <v>45</v>
      </c>
      <c r="AR444" s="3">
        <v>42</v>
      </c>
      <c r="AS444" s="1">
        <v>20.5</v>
      </c>
      <c r="AT444" s="3">
        <v>4</v>
      </c>
      <c r="AU444" s="3" t="s">
        <v>3051</v>
      </c>
    </row>
    <row r="445" spans="1:47" x14ac:dyDescent="0.3">
      <c r="A445" s="1" t="s">
        <v>1260</v>
      </c>
      <c r="B445" s="1" t="s">
        <v>1259</v>
      </c>
      <c r="C445" s="1" t="s">
        <v>443</v>
      </c>
      <c r="D445" s="1" t="s">
        <v>120</v>
      </c>
      <c r="E445" s="1" t="s">
        <v>1258</v>
      </c>
      <c r="F445" t="s">
        <v>3122</v>
      </c>
      <c r="G445" t="s">
        <v>3158</v>
      </c>
      <c r="H445" t="s">
        <v>52</v>
      </c>
      <c r="I445" t="s">
        <v>52</v>
      </c>
      <c r="J445" t="s">
        <v>52</v>
      </c>
      <c r="K445" t="s">
        <v>52</v>
      </c>
      <c r="L445" s="2">
        <v>1</v>
      </c>
      <c r="M445" s="2">
        <v>1</v>
      </c>
      <c r="N445" s="2">
        <v>2</v>
      </c>
      <c r="O445" s="2">
        <v>0</v>
      </c>
      <c r="P445" s="2">
        <v>2</v>
      </c>
      <c r="Q445" s="2">
        <v>1</v>
      </c>
      <c r="R445" s="2">
        <v>0.5</v>
      </c>
      <c r="S445" s="2">
        <v>1</v>
      </c>
      <c r="T445" s="2">
        <v>1</v>
      </c>
      <c r="U445" s="2">
        <v>1</v>
      </c>
      <c r="V445" s="2">
        <v>1</v>
      </c>
      <c r="W445" s="2">
        <v>4</v>
      </c>
      <c r="X445" s="2">
        <v>1</v>
      </c>
      <c r="Y445" s="2">
        <v>0.5</v>
      </c>
      <c r="Z445" s="2">
        <v>1</v>
      </c>
      <c r="AA445" s="2">
        <v>0.5</v>
      </c>
      <c r="AB445" s="2">
        <v>1</v>
      </c>
      <c r="AC445" s="2">
        <v>1</v>
      </c>
      <c r="AD445" s="2">
        <v>90</v>
      </c>
      <c r="AE445" s="2">
        <v>10240</v>
      </c>
      <c r="AF445" s="2">
        <v>70</v>
      </c>
      <c r="AG445" s="2">
        <v>410</v>
      </c>
      <c r="AH445" s="2">
        <v>45</v>
      </c>
      <c r="AI445" s="2">
        <v>65</v>
      </c>
      <c r="AJ445" s="1">
        <v>1250000</v>
      </c>
      <c r="AK445" s="1">
        <v>1.4</v>
      </c>
      <c r="AL445" s="1">
        <v>68</v>
      </c>
      <c r="AM445" s="2">
        <v>50</v>
      </c>
      <c r="AN445" s="2">
        <f t="shared" si="6"/>
        <v>50</v>
      </c>
      <c r="AO445" s="3">
        <v>444</v>
      </c>
      <c r="AP445" s="3">
        <v>50</v>
      </c>
      <c r="AQ445" s="3">
        <v>55</v>
      </c>
      <c r="AR445" s="3">
        <v>82</v>
      </c>
      <c r="AS445" s="1">
        <v>56</v>
      </c>
      <c r="AT445" s="3">
        <v>4</v>
      </c>
      <c r="AU445" s="3" t="s">
        <v>3051</v>
      </c>
    </row>
    <row r="446" spans="1:47" x14ac:dyDescent="0.3">
      <c r="A446" s="1" t="s">
        <v>1263</v>
      </c>
      <c r="B446" s="1" t="s">
        <v>1262</v>
      </c>
      <c r="C446" s="1" t="s">
        <v>443</v>
      </c>
      <c r="D446" s="1" t="s">
        <v>120</v>
      </c>
      <c r="E446" s="1" t="s">
        <v>1261</v>
      </c>
      <c r="F446" t="s">
        <v>3122</v>
      </c>
      <c r="G446" t="s">
        <v>3158</v>
      </c>
      <c r="H446" t="s">
        <v>52</v>
      </c>
      <c r="I446" t="s">
        <v>52</v>
      </c>
      <c r="J446" t="s">
        <v>52</v>
      </c>
      <c r="K446" t="s">
        <v>52</v>
      </c>
      <c r="L446" s="2">
        <v>1</v>
      </c>
      <c r="M446" s="2">
        <v>1</v>
      </c>
      <c r="N446" s="2">
        <v>2</v>
      </c>
      <c r="O446" s="2">
        <v>0</v>
      </c>
      <c r="P446" s="2">
        <v>2</v>
      </c>
      <c r="Q446" s="2">
        <v>1</v>
      </c>
      <c r="R446" s="2">
        <v>0.5</v>
      </c>
      <c r="S446" s="2">
        <v>1</v>
      </c>
      <c r="T446" s="2">
        <v>1</v>
      </c>
      <c r="U446" s="2">
        <v>1</v>
      </c>
      <c r="V446" s="2">
        <v>1</v>
      </c>
      <c r="W446" s="2">
        <v>4</v>
      </c>
      <c r="X446" s="2">
        <v>1</v>
      </c>
      <c r="Y446" s="2">
        <v>0.5</v>
      </c>
      <c r="Z446" s="2">
        <v>1</v>
      </c>
      <c r="AA446" s="2">
        <v>0.5</v>
      </c>
      <c r="AB446" s="2">
        <v>1</v>
      </c>
      <c r="AC446" s="2">
        <v>1</v>
      </c>
      <c r="AD446" s="2">
        <v>170</v>
      </c>
      <c r="AE446" s="2">
        <v>10240</v>
      </c>
      <c r="AF446" s="2">
        <v>70</v>
      </c>
      <c r="AG446" s="2">
        <v>700</v>
      </c>
      <c r="AH446" s="2">
        <v>45</v>
      </c>
      <c r="AI446" s="2">
        <v>115</v>
      </c>
      <c r="AJ446" s="1">
        <v>1250000</v>
      </c>
      <c r="AK446" s="1">
        <v>1.9</v>
      </c>
      <c r="AL446" s="1">
        <v>108</v>
      </c>
      <c r="AM446" s="2">
        <v>50</v>
      </c>
      <c r="AN446" s="2">
        <f t="shared" si="6"/>
        <v>50</v>
      </c>
      <c r="AO446" s="3">
        <v>445</v>
      </c>
      <c r="AP446" s="3">
        <v>120</v>
      </c>
      <c r="AQ446" s="3">
        <v>95</v>
      </c>
      <c r="AR446" s="3">
        <v>92</v>
      </c>
      <c r="AS446" s="1">
        <v>95</v>
      </c>
      <c r="AT446" s="3">
        <v>4</v>
      </c>
      <c r="AU446" s="3" t="s">
        <v>3051</v>
      </c>
    </row>
    <row r="447" spans="1:47" x14ac:dyDescent="0.3">
      <c r="A447" s="1" t="s">
        <v>1266</v>
      </c>
      <c r="B447" s="1" t="s">
        <v>1265</v>
      </c>
      <c r="C447" s="1" t="s">
        <v>90</v>
      </c>
      <c r="D447" s="1" t="s">
        <v>52</v>
      </c>
      <c r="E447" s="1" t="s">
        <v>1264</v>
      </c>
      <c r="F447" t="s">
        <v>3128</v>
      </c>
      <c r="G447" t="s">
        <v>3135</v>
      </c>
      <c r="H447" t="s">
        <v>3177</v>
      </c>
      <c r="I447" t="s">
        <v>52</v>
      </c>
      <c r="J447" t="s">
        <v>52</v>
      </c>
      <c r="K447" t="s">
        <v>52</v>
      </c>
      <c r="L447" s="2">
        <v>1</v>
      </c>
      <c r="M447" s="2">
        <v>1</v>
      </c>
      <c r="N447" s="2">
        <v>1</v>
      </c>
      <c r="O447" s="2">
        <v>1</v>
      </c>
      <c r="P447" s="2">
        <v>1</v>
      </c>
      <c r="Q447" s="2">
        <v>2</v>
      </c>
      <c r="R447" s="2">
        <v>1</v>
      </c>
      <c r="S447" s="2">
        <v>1</v>
      </c>
      <c r="T447" s="2">
        <v>0</v>
      </c>
      <c r="U447" s="2">
        <v>1</v>
      </c>
      <c r="V447" s="2">
        <v>1</v>
      </c>
      <c r="W447" s="2">
        <v>1</v>
      </c>
      <c r="X447" s="2">
        <v>1</v>
      </c>
      <c r="Y447" s="2">
        <v>1</v>
      </c>
      <c r="Z447" s="2">
        <v>1</v>
      </c>
      <c r="AA447" s="2">
        <v>1</v>
      </c>
      <c r="AB447" s="2">
        <v>1</v>
      </c>
      <c r="AC447" s="2">
        <v>1</v>
      </c>
      <c r="AD447" s="2">
        <v>85</v>
      </c>
      <c r="AE447" s="2">
        <v>10240</v>
      </c>
      <c r="AF447" s="2">
        <v>70</v>
      </c>
      <c r="AG447" s="2">
        <v>390</v>
      </c>
      <c r="AH447" s="2">
        <v>50</v>
      </c>
      <c r="AI447" s="2">
        <v>40</v>
      </c>
      <c r="AJ447" s="1">
        <v>1250000</v>
      </c>
      <c r="AK447" s="1">
        <v>0.6</v>
      </c>
      <c r="AL447" s="1">
        <v>135</v>
      </c>
      <c r="AM447" s="2">
        <v>88.1</v>
      </c>
      <c r="AN447" s="2">
        <f t="shared" si="6"/>
        <v>11.900000000000006</v>
      </c>
      <c r="AO447" s="3">
        <v>446</v>
      </c>
      <c r="AP447" s="3">
        <v>40</v>
      </c>
      <c r="AQ447" s="3">
        <v>85</v>
      </c>
      <c r="AR447" s="3">
        <v>5</v>
      </c>
      <c r="AS447" s="1">
        <v>105</v>
      </c>
      <c r="AT447" s="3">
        <v>4</v>
      </c>
      <c r="AU447" s="3" t="s">
        <v>3051</v>
      </c>
    </row>
    <row r="448" spans="1:47" x14ac:dyDescent="0.3">
      <c r="A448" s="1" t="s">
        <v>1269</v>
      </c>
      <c r="B448" s="1" t="s">
        <v>1268</v>
      </c>
      <c r="C448" s="1" t="s">
        <v>197</v>
      </c>
      <c r="D448" s="1" t="s">
        <v>52</v>
      </c>
      <c r="E448" s="1" t="s">
        <v>1267</v>
      </c>
      <c r="F448" t="s">
        <v>3171</v>
      </c>
      <c r="G448" t="s">
        <v>3126</v>
      </c>
      <c r="H448" t="s">
        <v>3182</v>
      </c>
      <c r="I448" t="s">
        <v>52</v>
      </c>
      <c r="J448" t="s">
        <v>52</v>
      </c>
      <c r="K448" t="s">
        <v>52</v>
      </c>
      <c r="L448" s="2">
        <v>0.5</v>
      </c>
      <c r="M448" s="2">
        <v>0.5</v>
      </c>
      <c r="N448" s="2">
        <v>1</v>
      </c>
      <c r="O448" s="2">
        <v>1</v>
      </c>
      <c r="P448" s="2">
        <v>2</v>
      </c>
      <c r="Q448" s="2">
        <v>1</v>
      </c>
      <c r="R448" s="2">
        <v>1</v>
      </c>
      <c r="S448" s="2">
        <v>2</v>
      </c>
      <c r="T448" s="2">
        <v>1</v>
      </c>
      <c r="U448" s="2">
        <v>1</v>
      </c>
      <c r="V448" s="2">
        <v>1</v>
      </c>
      <c r="W448" s="2">
        <v>1</v>
      </c>
      <c r="X448" s="2">
        <v>1</v>
      </c>
      <c r="Y448" s="2">
        <v>1</v>
      </c>
      <c r="Z448" s="2">
        <v>2</v>
      </c>
      <c r="AA448" s="2">
        <v>0.5</v>
      </c>
      <c r="AB448" s="2">
        <v>1</v>
      </c>
      <c r="AC448" s="2">
        <v>1</v>
      </c>
      <c r="AD448" s="2">
        <v>70</v>
      </c>
      <c r="AE448" s="2">
        <v>6400</v>
      </c>
      <c r="AF448" s="2">
        <v>70</v>
      </c>
      <c r="AG448" s="2">
        <v>285</v>
      </c>
      <c r="AH448" s="2">
        <v>75</v>
      </c>
      <c r="AI448" s="2">
        <v>40</v>
      </c>
      <c r="AJ448" s="1">
        <v>1059860</v>
      </c>
      <c r="AK448" s="1">
        <v>0.7</v>
      </c>
      <c r="AL448" s="1">
        <v>40</v>
      </c>
      <c r="AM448" s="2">
        <v>88.1</v>
      </c>
      <c r="AN448" s="2">
        <f t="shared" si="6"/>
        <v>11.900000000000006</v>
      </c>
      <c r="AO448" s="3">
        <v>447</v>
      </c>
      <c r="AP448" s="3">
        <v>35</v>
      </c>
      <c r="AQ448" s="3">
        <v>40</v>
      </c>
      <c r="AR448" s="3">
        <v>60</v>
      </c>
      <c r="AS448" s="1">
        <v>20.2</v>
      </c>
      <c r="AT448" s="3">
        <v>4</v>
      </c>
      <c r="AU448" s="3" t="s">
        <v>3051</v>
      </c>
    </row>
    <row r="449" spans="1:47" x14ac:dyDescent="0.3">
      <c r="A449" s="1" t="s">
        <v>1272</v>
      </c>
      <c r="B449" s="1" t="s">
        <v>1271</v>
      </c>
      <c r="C449" s="1" t="s">
        <v>197</v>
      </c>
      <c r="D449" s="1" t="s">
        <v>263</v>
      </c>
      <c r="E449" s="1" t="s">
        <v>1270</v>
      </c>
      <c r="F449" t="s">
        <v>3171</v>
      </c>
      <c r="G449" t="s">
        <v>3126</v>
      </c>
      <c r="H449" t="s">
        <v>3080</v>
      </c>
      <c r="I449" t="s">
        <v>52</v>
      </c>
      <c r="J449" t="s">
        <v>52</v>
      </c>
      <c r="K449" t="s">
        <v>52</v>
      </c>
      <c r="L449" s="2">
        <v>0.25</v>
      </c>
      <c r="M449" s="2">
        <v>0.5</v>
      </c>
      <c r="N449" s="2">
        <v>0.5</v>
      </c>
      <c r="O449" s="2">
        <v>1</v>
      </c>
      <c r="P449" s="2">
        <v>1</v>
      </c>
      <c r="Q449" s="2">
        <v>2</v>
      </c>
      <c r="R449" s="2">
        <v>2</v>
      </c>
      <c r="S449" s="2">
        <v>1</v>
      </c>
      <c r="T449" s="2">
        <v>1</v>
      </c>
      <c r="U449" s="2">
        <v>0.5</v>
      </c>
      <c r="V449" s="2">
        <v>2</v>
      </c>
      <c r="W449" s="2">
        <v>0.5</v>
      </c>
      <c r="X449" s="2">
        <v>0.5</v>
      </c>
      <c r="Y449" s="2">
        <v>0</v>
      </c>
      <c r="Z449" s="2">
        <v>1</v>
      </c>
      <c r="AA449" s="2">
        <v>0.25</v>
      </c>
      <c r="AB449" s="2">
        <v>0.5</v>
      </c>
      <c r="AC449" s="2">
        <v>1</v>
      </c>
      <c r="AD449" s="2">
        <v>145</v>
      </c>
      <c r="AE449" s="2">
        <v>6400</v>
      </c>
      <c r="AF449" s="2">
        <v>70</v>
      </c>
      <c r="AG449" s="2">
        <v>625</v>
      </c>
      <c r="AH449" s="2">
        <v>45</v>
      </c>
      <c r="AI449" s="2">
        <v>88</v>
      </c>
      <c r="AJ449" s="1">
        <v>1059860</v>
      </c>
      <c r="AK449" s="1">
        <v>1.2</v>
      </c>
      <c r="AL449" s="1">
        <v>70</v>
      </c>
      <c r="AM449" s="2">
        <v>88.1</v>
      </c>
      <c r="AN449" s="2">
        <f t="shared" si="6"/>
        <v>11.900000000000006</v>
      </c>
      <c r="AO449" s="3">
        <v>448</v>
      </c>
      <c r="AP449" s="3">
        <v>140</v>
      </c>
      <c r="AQ449" s="3">
        <v>70</v>
      </c>
      <c r="AR449" s="3">
        <v>112</v>
      </c>
      <c r="AS449" s="1">
        <v>54</v>
      </c>
      <c r="AT449" s="3">
        <v>4</v>
      </c>
      <c r="AU449" s="3" t="s">
        <v>3051</v>
      </c>
    </row>
    <row r="450" spans="1:47" x14ac:dyDescent="0.3">
      <c r="A450" s="1" t="s">
        <v>1275</v>
      </c>
      <c r="B450" s="1" t="s">
        <v>1274</v>
      </c>
      <c r="C450" s="1" t="s">
        <v>120</v>
      </c>
      <c r="D450" s="1" t="s">
        <v>52</v>
      </c>
      <c r="E450" s="1" t="s">
        <v>1273</v>
      </c>
      <c r="F450" t="s">
        <v>3153</v>
      </c>
      <c r="G450" t="s">
        <v>3192</v>
      </c>
      <c r="H450" t="s">
        <v>52</v>
      </c>
      <c r="I450" t="s">
        <v>52</v>
      </c>
      <c r="J450" t="s">
        <v>52</v>
      </c>
      <c r="K450" t="s">
        <v>52</v>
      </c>
      <c r="L450" s="2">
        <v>1</v>
      </c>
      <c r="M450" s="2">
        <v>1</v>
      </c>
      <c r="N450" s="2">
        <v>1</v>
      </c>
      <c r="O450" s="2">
        <v>0</v>
      </c>
      <c r="P450" s="2">
        <v>1</v>
      </c>
      <c r="Q450" s="2">
        <v>1</v>
      </c>
      <c r="R450" s="2">
        <v>1</v>
      </c>
      <c r="S450" s="2">
        <v>1</v>
      </c>
      <c r="T450" s="2">
        <v>1</v>
      </c>
      <c r="U450" s="2">
        <v>2</v>
      </c>
      <c r="V450" s="2">
        <v>1</v>
      </c>
      <c r="W450" s="2">
        <v>2</v>
      </c>
      <c r="X450" s="2">
        <v>1</v>
      </c>
      <c r="Y450" s="2">
        <v>0.5</v>
      </c>
      <c r="Z450" s="2">
        <v>1</v>
      </c>
      <c r="AA450" s="2">
        <v>0.5</v>
      </c>
      <c r="AB450" s="2">
        <v>1</v>
      </c>
      <c r="AC450" s="2">
        <v>2</v>
      </c>
      <c r="AD450" s="2">
        <v>72</v>
      </c>
      <c r="AE450" s="2">
        <v>7680</v>
      </c>
      <c r="AF450" s="2">
        <v>70</v>
      </c>
      <c r="AG450" s="2">
        <v>330</v>
      </c>
      <c r="AH450" s="2">
        <v>140</v>
      </c>
      <c r="AI450" s="2">
        <v>78</v>
      </c>
      <c r="AJ450" s="1">
        <v>1250000</v>
      </c>
      <c r="AK450" s="1">
        <v>0.8</v>
      </c>
      <c r="AL450" s="1">
        <v>68</v>
      </c>
      <c r="AM450" s="2">
        <v>50</v>
      </c>
      <c r="AN450" s="2">
        <f t="shared" si="6"/>
        <v>50</v>
      </c>
      <c r="AO450" s="3">
        <v>449</v>
      </c>
      <c r="AP450" s="3">
        <v>38</v>
      </c>
      <c r="AQ450" s="3">
        <v>42</v>
      </c>
      <c r="AR450" s="3">
        <v>32</v>
      </c>
      <c r="AS450" s="1">
        <v>49.5</v>
      </c>
      <c r="AT450" s="3">
        <v>4</v>
      </c>
      <c r="AU450" s="3" t="s">
        <v>3051</v>
      </c>
    </row>
    <row r="451" spans="1:47" x14ac:dyDescent="0.3">
      <c r="A451" s="1" t="s">
        <v>1278</v>
      </c>
      <c r="B451" s="1" t="s">
        <v>1277</v>
      </c>
      <c r="C451" s="1" t="s">
        <v>120</v>
      </c>
      <c r="D451" s="1" t="s">
        <v>52</v>
      </c>
      <c r="E451" s="1" t="s">
        <v>1276</v>
      </c>
      <c r="F451" t="s">
        <v>3153</v>
      </c>
      <c r="G451" t="s">
        <v>3192</v>
      </c>
      <c r="H451" t="s">
        <v>52</v>
      </c>
      <c r="I451" t="s">
        <v>52</v>
      </c>
      <c r="J451" t="s">
        <v>52</v>
      </c>
      <c r="K451" t="s">
        <v>52</v>
      </c>
      <c r="L451" s="2">
        <v>1</v>
      </c>
      <c r="M451" s="2">
        <v>1</v>
      </c>
      <c r="N451" s="2">
        <v>1</v>
      </c>
      <c r="O451" s="2">
        <v>0</v>
      </c>
      <c r="P451" s="2">
        <v>1</v>
      </c>
      <c r="Q451" s="2">
        <v>1</v>
      </c>
      <c r="R451" s="2">
        <v>1</v>
      </c>
      <c r="S451" s="2">
        <v>1</v>
      </c>
      <c r="T451" s="2">
        <v>1</v>
      </c>
      <c r="U451" s="2">
        <v>2</v>
      </c>
      <c r="V451" s="2">
        <v>1</v>
      </c>
      <c r="W451" s="2">
        <v>2</v>
      </c>
      <c r="X451" s="2">
        <v>1</v>
      </c>
      <c r="Y451" s="2">
        <v>0.5</v>
      </c>
      <c r="Z451" s="2">
        <v>1</v>
      </c>
      <c r="AA451" s="2">
        <v>0.5</v>
      </c>
      <c r="AB451" s="2">
        <v>1</v>
      </c>
      <c r="AC451" s="2">
        <v>2</v>
      </c>
      <c r="AD451" s="2">
        <v>112</v>
      </c>
      <c r="AE451" s="2">
        <v>7680</v>
      </c>
      <c r="AF451" s="2">
        <v>70</v>
      </c>
      <c r="AG451" s="2">
        <v>525</v>
      </c>
      <c r="AH451" s="2">
        <v>60</v>
      </c>
      <c r="AI451" s="2">
        <v>118</v>
      </c>
      <c r="AJ451" s="1">
        <v>1250000</v>
      </c>
      <c r="AK451" s="1">
        <v>2</v>
      </c>
      <c r="AL451" s="1">
        <v>108</v>
      </c>
      <c r="AM451" s="2">
        <v>50</v>
      </c>
      <c r="AN451" s="2">
        <f t="shared" ref="AN451:AN514" si="7">IF(AM451="","",100-AM451)</f>
        <v>50</v>
      </c>
      <c r="AO451" s="3">
        <v>450</v>
      </c>
      <c r="AP451" s="3">
        <v>68</v>
      </c>
      <c r="AQ451" s="3">
        <v>72</v>
      </c>
      <c r="AR451" s="3">
        <v>47</v>
      </c>
      <c r="AS451" s="1">
        <v>300</v>
      </c>
      <c r="AT451" s="3">
        <v>4</v>
      </c>
      <c r="AU451" s="3" t="s">
        <v>3051</v>
      </c>
    </row>
    <row r="452" spans="1:47" x14ac:dyDescent="0.3">
      <c r="A452" s="1" t="s">
        <v>1281</v>
      </c>
      <c r="B452" s="1" t="s">
        <v>1280</v>
      </c>
      <c r="C452" s="1" t="s">
        <v>43</v>
      </c>
      <c r="D452" s="1" t="s">
        <v>72</v>
      </c>
      <c r="E452" s="1" t="s">
        <v>1279</v>
      </c>
      <c r="F452" t="s">
        <v>3099</v>
      </c>
      <c r="G452" t="s">
        <v>3226</v>
      </c>
      <c r="H452" t="s">
        <v>3118</v>
      </c>
      <c r="I452" t="s">
        <v>52</v>
      </c>
      <c r="J452" t="s">
        <v>52</v>
      </c>
      <c r="K452" t="s">
        <v>52</v>
      </c>
      <c r="L452" s="2">
        <v>0.5</v>
      </c>
      <c r="M452" s="2">
        <v>1</v>
      </c>
      <c r="N452" s="2">
        <v>1</v>
      </c>
      <c r="O452" s="2">
        <v>1</v>
      </c>
      <c r="P452" s="2">
        <v>0.5</v>
      </c>
      <c r="Q452" s="2">
        <v>0.25</v>
      </c>
      <c r="R452" s="2">
        <v>2</v>
      </c>
      <c r="S452" s="2">
        <v>2</v>
      </c>
      <c r="T452" s="2">
        <v>1</v>
      </c>
      <c r="U452" s="2">
        <v>0.25</v>
      </c>
      <c r="V452" s="2">
        <v>1</v>
      </c>
      <c r="W452" s="2">
        <v>1</v>
      </c>
      <c r="X452" s="2">
        <v>1</v>
      </c>
      <c r="Y452" s="2">
        <v>0.5</v>
      </c>
      <c r="Z452" s="2">
        <v>2</v>
      </c>
      <c r="AA452" s="2">
        <v>2</v>
      </c>
      <c r="AB452" s="2">
        <v>1</v>
      </c>
      <c r="AC452" s="2">
        <v>1</v>
      </c>
      <c r="AD452" s="2">
        <v>50</v>
      </c>
      <c r="AE452" s="2">
        <v>5120</v>
      </c>
      <c r="AF452" s="2">
        <v>70</v>
      </c>
      <c r="AG452" s="2">
        <v>330</v>
      </c>
      <c r="AH452" s="2">
        <v>120</v>
      </c>
      <c r="AI452" s="2">
        <v>90</v>
      </c>
      <c r="AJ452" s="1">
        <v>1250000</v>
      </c>
      <c r="AK452" s="1">
        <v>0.8</v>
      </c>
      <c r="AL452" s="1">
        <v>40</v>
      </c>
      <c r="AM452" s="2">
        <v>50</v>
      </c>
      <c r="AN452" s="2">
        <f t="shared" si="7"/>
        <v>50</v>
      </c>
      <c r="AO452" s="3">
        <v>451</v>
      </c>
      <c r="AP452" s="3">
        <v>30</v>
      </c>
      <c r="AQ452" s="3">
        <v>55</v>
      </c>
      <c r="AR452" s="3">
        <v>65</v>
      </c>
      <c r="AS452" s="1">
        <v>12</v>
      </c>
      <c r="AT452" s="3">
        <v>4</v>
      </c>
      <c r="AU452" s="3" t="s">
        <v>3051</v>
      </c>
    </row>
    <row r="453" spans="1:47" x14ac:dyDescent="0.3">
      <c r="A453" s="1" t="s">
        <v>1284</v>
      </c>
      <c r="B453" s="1" t="s">
        <v>1283</v>
      </c>
      <c r="C453" s="1" t="s">
        <v>43</v>
      </c>
      <c r="D453" s="1" t="s">
        <v>99</v>
      </c>
      <c r="E453" s="1" t="s">
        <v>1282</v>
      </c>
      <c r="F453" t="s">
        <v>3099</v>
      </c>
      <c r="G453" t="s">
        <v>3226</v>
      </c>
      <c r="H453" t="s">
        <v>3118</v>
      </c>
      <c r="I453" t="s">
        <v>52</v>
      </c>
      <c r="J453" t="s">
        <v>52</v>
      </c>
      <c r="K453" t="s">
        <v>52</v>
      </c>
      <c r="L453" s="2">
        <v>1</v>
      </c>
      <c r="M453" s="2">
        <v>0.5</v>
      </c>
      <c r="N453" s="2">
        <v>1</v>
      </c>
      <c r="O453" s="2">
        <v>1</v>
      </c>
      <c r="P453" s="2">
        <v>1</v>
      </c>
      <c r="Q453" s="2">
        <v>1</v>
      </c>
      <c r="R453" s="2">
        <v>1</v>
      </c>
      <c r="S453" s="2">
        <v>1</v>
      </c>
      <c r="T453" s="2">
        <v>0.5</v>
      </c>
      <c r="U453" s="2">
        <v>0.5</v>
      </c>
      <c r="V453" s="2">
        <v>2</v>
      </c>
      <c r="W453" s="2">
        <v>1</v>
      </c>
      <c r="X453" s="2">
        <v>1</v>
      </c>
      <c r="Y453" s="2">
        <v>0.5</v>
      </c>
      <c r="Z453" s="2">
        <v>0</v>
      </c>
      <c r="AA453" s="2">
        <v>1</v>
      </c>
      <c r="AB453" s="2">
        <v>1</v>
      </c>
      <c r="AC453" s="2">
        <v>1</v>
      </c>
      <c r="AD453" s="2">
        <v>90</v>
      </c>
      <c r="AE453" s="2">
        <v>5120</v>
      </c>
      <c r="AF453" s="2">
        <v>70</v>
      </c>
      <c r="AG453" s="2">
        <v>500</v>
      </c>
      <c r="AH453" s="2">
        <v>45</v>
      </c>
      <c r="AI453" s="2">
        <v>110</v>
      </c>
      <c r="AJ453" s="1">
        <v>1250000</v>
      </c>
      <c r="AK453" s="1">
        <v>1.3</v>
      </c>
      <c r="AL453" s="1">
        <v>70</v>
      </c>
      <c r="AM453" s="2">
        <v>50</v>
      </c>
      <c r="AN453" s="2">
        <f t="shared" si="7"/>
        <v>50</v>
      </c>
      <c r="AO453" s="3">
        <v>452</v>
      </c>
      <c r="AP453" s="3">
        <v>60</v>
      </c>
      <c r="AQ453" s="3">
        <v>75</v>
      </c>
      <c r="AR453" s="3">
        <v>95</v>
      </c>
      <c r="AS453" s="1">
        <v>61.5</v>
      </c>
      <c r="AT453" s="3">
        <v>4</v>
      </c>
      <c r="AU453" s="3" t="s">
        <v>3051</v>
      </c>
    </row>
    <row r="454" spans="1:47" x14ac:dyDescent="0.3">
      <c r="A454" s="1" t="s">
        <v>1287</v>
      </c>
      <c r="B454" s="1" t="s">
        <v>1286</v>
      </c>
      <c r="C454" s="1" t="s">
        <v>43</v>
      </c>
      <c r="D454" s="1" t="s">
        <v>197</v>
      </c>
      <c r="E454" s="1" t="s">
        <v>1285</v>
      </c>
      <c r="F454" t="s">
        <v>3166</v>
      </c>
      <c r="G454" t="s">
        <v>3198</v>
      </c>
      <c r="H454" t="s">
        <v>3244</v>
      </c>
      <c r="I454" t="s">
        <v>52</v>
      </c>
      <c r="J454" t="s">
        <v>52</v>
      </c>
      <c r="K454" t="s">
        <v>52</v>
      </c>
      <c r="L454" s="2">
        <v>0.25</v>
      </c>
      <c r="M454" s="2">
        <v>0.5</v>
      </c>
      <c r="N454" s="2">
        <v>1</v>
      </c>
      <c r="O454" s="2">
        <v>1</v>
      </c>
      <c r="P454" s="2">
        <v>1</v>
      </c>
      <c r="Q454" s="2">
        <v>0.5</v>
      </c>
      <c r="R454" s="2">
        <v>1</v>
      </c>
      <c r="S454" s="2">
        <v>2</v>
      </c>
      <c r="T454" s="2">
        <v>1</v>
      </c>
      <c r="U454" s="2">
        <v>0.5</v>
      </c>
      <c r="V454" s="2">
        <v>2</v>
      </c>
      <c r="W454" s="2">
        <v>1</v>
      </c>
      <c r="X454" s="2">
        <v>1</v>
      </c>
      <c r="Y454" s="2">
        <v>0.5</v>
      </c>
      <c r="Z454" s="2">
        <v>4</v>
      </c>
      <c r="AA454" s="2">
        <v>0.5</v>
      </c>
      <c r="AB454" s="2">
        <v>1</v>
      </c>
      <c r="AC454" s="2">
        <v>1</v>
      </c>
      <c r="AD454" s="2">
        <v>61</v>
      </c>
      <c r="AE454" s="2">
        <v>2560</v>
      </c>
      <c r="AF454" s="2">
        <v>100</v>
      </c>
      <c r="AG454" s="2">
        <v>300</v>
      </c>
      <c r="AH454" s="2">
        <v>140</v>
      </c>
      <c r="AI454" s="2">
        <v>40</v>
      </c>
      <c r="AJ454" s="1">
        <v>1000000</v>
      </c>
      <c r="AK454" s="1">
        <v>0.7</v>
      </c>
      <c r="AL454" s="1">
        <v>48</v>
      </c>
      <c r="AM454" s="2">
        <v>50</v>
      </c>
      <c r="AN454" s="2">
        <f t="shared" si="7"/>
        <v>50</v>
      </c>
      <c r="AO454" s="3">
        <v>453</v>
      </c>
      <c r="AP454" s="3">
        <v>61</v>
      </c>
      <c r="AQ454" s="3">
        <v>40</v>
      </c>
      <c r="AR454" s="3">
        <v>50</v>
      </c>
      <c r="AS454" s="1">
        <v>23</v>
      </c>
      <c r="AT454" s="3">
        <v>4</v>
      </c>
      <c r="AU454" s="3" t="s">
        <v>3051</v>
      </c>
    </row>
    <row r="455" spans="1:47" x14ac:dyDescent="0.3">
      <c r="A455" s="1" t="s">
        <v>1289</v>
      </c>
      <c r="B455" s="1" t="s">
        <v>1288</v>
      </c>
      <c r="C455" s="1" t="s">
        <v>43</v>
      </c>
      <c r="D455" s="1" t="s">
        <v>197</v>
      </c>
      <c r="E455" s="1" t="s">
        <v>1285</v>
      </c>
      <c r="F455" t="s">
        <v>3166</v>
      </c>
      <c r="G455" t="s">
        <v>3198</v>
      </c>
      <c r="H455" t="s">
        <v>3244</v>
      </c>
      <c r="I455" t="s">
        <v>52</v>
      </c>
      <c r="J455" t="s">
        <v>52</v>
      </c>
      <c r="K455" t="s">
        <v>52</v>
      </c>
      <c r="L455" s="2">
        <v>0.25</v>
      </c>
      <c r="M455" s="2">
        <v>0.5</v>
      </c>
      <c r="N455" s="2">
        <v>1</v>
      </c>
      <c r="O455" s="2">
        <v>1</v>
      </c>
      <c r="P455" s="2">
        <v>1</v>
      </c>
      <c r="Q455" s="2">
        <v>0.5</v>
      </c>
      <c r="R455" s="2">
        <v>1</v>
      </c>
      <c r="S455" s="2">
        <v>2</v>
      </c>
      <c r="T455" s="2">
        <v>1</v>
      </c>
      <c r="U455" s="2">
        <v>0.5</v>
      </c>
      <c r="V455" s="2">
        <v>2</v>
      </c>
      <c r="W455" s="2">
        <v>1</v>
      </c>
      <c r="X455" s="2">
        <v>1</v>
      </c>
      <c r="Y455" s="2">
        <v>0.5</v>
      </c>
      <c r="Z455" s="2">
        <v>4</v>
      </c>
      <c r="AA455" s="2">
        <v>0.5</v>
      </c>
      <c r="AB455" s="2">
        <v>1</v>
      </c>
      <c r="AC455" s="2">
        <v>1</v>
      </c>
      <c r="AD455" s="2">
        <v>106</v>
      </c>
      <c r="AE455" s="2">
        <v>5120</v>
      </c>
      <c r="AF455" s="2">
        <v>70</v>
      </c>
      <c r="AG455" s="2">
        <v>490</v>
      </c>
      <c r="AH455" s="2">
        <v>75</v>
      </c>
      <c r="AI455" s="2">
        <v>65</v>
      </c>
      <c r="AJ455" s="1">
        <v>1000000</v>
      </c>
      <c r="AK455" s="1">
        <v>1.3</v>
      </c>
      <c r="AL455" s="1">
        <v>83</v>
      </c>
      <c r="AM455" s="2">
        <v>50</v>
      </c>
      <c r="AN455" s="2">
        <f t="shared" si="7"/>
        <v>50</v>
      </c>
      <c r="AO455" s="3">
        <v>454</v>
      </c>
      <c r="AP455" s="3">
        <v>86</v>
      </c>
      <c r="AQ455" s="3">
        <v>65</v>
      </c>
      <c r="AR455" s="3">
        <v>85</v>
      </c>
      <c r="AS455" s="1">
        <v>44.4</v>
      </c>
      <c r="AT455" s="3">
        <v>4</v>
      </c>
      <c r="AU455" s="3" t="s">
        <v>3051</v>
      </c>
    </row>
    <row r="456" spans="1:47" x14ac:dyDescent="0.3">
      <c r="A456" s="1" t="s">
        <v>1292</v>
      </c>
      <c r="B456" s="1" t="s">
        <v>1291</v>
      </c>
      <c r="C456" s="1" t="s">
        <v>42</v>
      </c>
      <c r="D456" s="1" t="s">
        <v>52</v>
      </c>
      <c r="E456" s="1" t="s">
        <v>1290</v>
      </c>
      <c r="F456" t="s">
        <v>3055</v>
      </c>
      <c r="G456" t="s">
        <v>52</v>
      </c>
      <c r="H456" t="s">
        <v>52</v>
      </c>
      <c r="I456" t="s">
        <v>52</v>
      </c>
      <c r="J456" t="s">
        <v>52</v>
      </c>
      <c r="K456" t="s">
        <v>52</v>
      </c>
      <c r="L456" s="2">
        <v>2</v>
      </c>
      <c r="M456" s="2">
        <v>1</v>
      </c>
      <c r="N456" s="2">
        <v>1</v>
      </c>
      <c r="O456" s="2">
        <v>0.5</v>
      </c>
      <c r="P456" s="2">
        <v>1</v>
      </c>
      <c r="Q456" s="2">
        <v>1</v>
      </c>
      <c r="R456" s="2">
        <v>2</v>
      </c>
      <c r="S456" s="2">
        <v>2</v>
      </c>
      <c r="T456" s="2">
        <v>1</v>
      </c>
      <c r="U456" s="2">
        <v>0.5</v>
      </c>
      <c r="V456" s="2">
        <v>0.5</v>
      </c>
      <c r="W456" s="2">
        <v>2</v>
      </c>
      <c r="X456" s="2">
        <v>1</v>
      </c>
      <c r="Y456" s="2">
        <v>2</v>
      </c>
      <c r="Z456" s="2">
        <v>1</v>
      </c>
      <c r="AA456" s="2">
        <v>1</v>
      </c>
      <c r="AB456" s="2">
        <v>1</v>
      </c>
      <c r="AC456" s="2">
        <v>0.5</v>
      </c>
      <c r="AD456" s="2">
        <v>100</v>
      </c>
      <c r="AE456" s="2">
        <v>6400</v>
      </c>
      <c r="AF456" s="2">
        <v>70</v>
      </c>
      <c r="AG456" s="2">
        <v>454</v>
      </c>
      <c r="AH456" s="2">
        <v>200</v>
      </c>
      <c r="AI456" s="2">
        <v>72</v>
      </c>
      <c r="AJ456" s="1">
        <v>1250000</v>
      </c>
      <c r="AK456" s="1">
        <v>1.4</v>
      </c>
      <c r="AL456" s="1">
        <v>74</v>
      </c>
      <c r="AM456" s="2">
        <v>50</v>
      </c>
      <c r="AN456" s="2">
        <f t="shared" si="7"/>
        <v>50</v>
      </c>
      <c r="AO456" s="3">
        <v>455</v>
      </c>
      <c r="AP456" s="3">
        <v>90</v>
      </c>
      <c r="AQ456" s="3">
        <v>72</v>
      </c>
      <c r="AR456" s="3">
        <v>46</v>
      </c>
      <c r="AS456" s="1">
        <v>27</v>
      </c>
      <c r="AT456" s="3">
        <v>4</v>
      </c>
      <c r="AU456" s="3" t="s">
        <v>3051</v>
      </c>
    </row>
    <row r="457" spans="1:47" x14ac:dyDescent="0.3">
      <c r="A457" s="1" t="s">
        <v>1295</v>
      </c>
      <c r="B457" s="1" t="s">
        <v>1294</v>
      </c>
      <c r="C457" s="1" t="s">
        <v>62</v>
      </c>
      <c r="D457" s="1" t="s">
        <v>52</v>
      </c>
      <c r="E457" s="1" t="s">
        <v>1293</v>
      </c>
      <c r="F457" t="s">
        <v>3143</v>
      </c>
      <c r="G457" t="s">
        <v>3267</v>
      </c>
      <c r="H457" t="s">
        <v>3159</v>
      </c>
      <c r="I457" t="s">
        <v>52</v>
      </c>
      <c r="J457" t="s">
        <v>52</v>
      </c>
      <c r="K457" t="s">
        <v>52</v>
      </c>
      <c r="L457" s="2">
        <v>1</v>
      </c>
      <c r="M457" s="2">
        <v>1</v>
      </c>
      <c r="N457" s="2">
        <v>1</v>
      </c>
      <c r="O457" s="2">
        <v>2</v>
      </c>
      <c r="P457" s="2">
        <v>1</v>
      </c>
      <c r="Q457" s="2">
        <v>1</v>
      </c>
      <c r="R457" s="2">
        <v>0.5</v>
      </c>
      <c r="S457" s="2">
        <v>1</v>
      </c>
      <c r="T457" s="2">
        <v>1</v>
      </c>
      <c r="U457" s="2">
        <v>2</v>
      </c>
      <c r="V457" s="2">
        <v>1</v>
      </c>
      <c r="W457" s="2">
        <v>0.5</v>
      </c>
      <c r="X457" s="2">
        <v>1</v>
      </c>
      <c r="Y457" s="2">
        <v>1</v>
      </c>
      <c r="Z457" s="2">
        <v>1</v>
      </c>
      <c r="AA457" s="2">
        <v>1</v>
      </c>
      <c r="AB457" s="2">
        <v>0.5</v>
      </c>
      <c r="AC457" s="2">
        <v>0.5</v>
      </c>
      <c r="AD457" s="2">
        <v>49</v>
      </c>
      <c r="AE457" s="2">
        <v>5120</v>
      </c>
      <c r="AF457" s="2">
        <v>70</v>
      </c>
      <c r="AG457" s="2">
        <v>330</v>
      </c>
      <c r="AH457" s="2">
        <v>190</v>
      </c>
      <c r="AI457" s="2">
        <v>56</v>
      </c>
      <c r="AJ457" s="1">
        <v>600000</v>
      </c>
      <c r="AK457" s="1">
        <v>0.4</v>
      </c>
      <c r="AL457" s="1">
        <v>49</v>
      </c>
      <c r="AM457" s="2">
        <v>50</v>
      </c>
      <c r="AN457" s="2">
        <f t="shared" si="7"/>
        <v>50</v>
      </c>
      <c r="AO457" s="3">
        <v>456</v>
      </c>
      <c r="AP457" s="3">
        <v>49</v>
      </c>
      <c r="AQ457" s="3">
        <v>61</v>
      </c>
      <c r="AR457" s="3">
        <v>66</v>
      </c>
      <c r="AS457" s="1">
        <v>7</v>
      </c>
      <c r="AT457" s="3">
        <v>4</v>
      </c>
      <c r="AU457" s="3" t="s">
        <v>3051</v>
      </c>
    </row>
    <row r="458" spans="1:47" x14ac:dyDescent="0.3">
      <c r="A458" s="1" t="s">
        <v>1298</v>
      </c>
      <c r="B458" s="1" t="s">
        <v>1297</v>
      </c>
      <c r="C458" s="1" t="s">
        <v>62</v>
      </c>
      <c r="D458" s="1" t="s">
        <v>52</v>
      </c>
      <c r="E458" s="1" t="s">
        <v>1296</v>
      </c>
      <c r="F458" t="s">
        <v>3143</v>
      </c>
      <c r="G458" t="s">
        <v>3267</v>
      </c>
      <c r="H458" t="s">
        <v>3159</v>
      </c>
      <c r="I458" t="s">
        <v>52</v>
      </c>
      <c r="J458" t="s">
        <v>52</v>
      </c>
      <c r="K458" t="s">
        <v>52</v>
      </c>
      <c r="L458" s="2">
        <v>1</v>
      </c>
      <c r="M458" s="2">
        <v>1</v>
      </c>
      <c r="N458" s="2">
        <v>1</v>
      </c>
      <c r="O458" s="2">
        <v>2</v>
      </c>
      <c r="P458" s="2">
        <v>1</v>
      </c>
      <c r="Q458" s="2">
        <v>1</v>
      </c>
      <c r="R458" s="2">
        <v>0.5</v>
      </c>
      <c r="S458" s="2">
        <v>1</v>
      </c>
      <c r="T458" s="2">
        <v>1</v>
      </c>
      <c r="U458" s="2">
        <v>2</v>
      </c>
      <c r="V458" s="2">
        <v>1</v>
      </c>
      <c r="W458" s="2">
        <v>0.5</v>
      </c>
      <c r="X458" s="2">
        <v>1</v>
      </c>
      <c r="Y458" s="2">
        <v>1</v>
      </c>
      <c r="Z458" s="2">
        <v>1</v>
      </c>
      <c r="AA458" s="2">
        <v>1</v>
      </c>
      <c r="AB458" s="2">
        <v>0.5</v>
      </c>
      <c r="AC458" s="2">
        <v>0.5</v>
      </c>
      <c r="AD458" s="2">
        <v>69</v>
      </c>
      <c r="AE458" s="2">
        <v>5120</v>
      </c>
      <c r="AF458" s="2">
        <v>70</v>
      </c>
      <c r="AG458" s="2">
        <v>460</v>
      </c>
      <c r="AH458" s="2">
        <v>75</v>
      </c>
      <c r="AI458" s="2">
        <v>76</v>
      </c>
      <c r="AJ458" s="1">
        <v>600000</v>
      </c>
      <c r="AK458" s="1">
        <v>1.2</v>
      </c>
      <c r="AL458" s="1">
        <v>69</v>
      </c>
      <c r="AM458" s="2">
        <v>50</v>
      </c>
      <c r="AN458" s="2">
        <f t="shared" si="7"/>
        <v>50</v>
      </c>
      <c r="AO458" s="3">
        <v>457</v>
      </c>
      <c r="AP458" s="3">
        <v>69</v>
      </c>
      <c r="AQ458" s="3">
        <v>86</v>
      </c>
      <c r="AR458" s="3">
        <v>91</v>
      </c>
      <c r="AS458" s="1">
        <v>24</v>
      </c>
      <c r="AT458" s="3">
        <v>4</v>
      </c>
      <c r="AU458" s="3" t="s">
        <v>3051</v>
      </c>
    </row>
    <row r="459" spans="1:47" x14ac:dyDescent="0.3">
      <c r="A459" s="1" t="s">
        <v>1300</v>
      </c>
      <c r="B459" s="1" t="s">
        <v>1299</v>
      </c>
      <c r="C459" s="1" t="s">
        <v>62</v>
      </c>
      <c r="D459" s="1" t="s">
        <v>58</v>
      </c>
      <c r="E459" s="1" t="s">
        <v>653</v>
      </c>
      <c r="F459" t="s">
        <v>3143</v>
      </c>
      <c r="G459" t="s">
        <v>3092</v>
      </c>
      <c r="H459" t="s">
        <v>3159</v>
      </c>
      <c r="I459" t="s">
        <v>52</v>
      </c>
      <c r="J459" t="s">
        <v>52</v>
      </c>
      <c r="K459" t="s">
        <v>52</v>
      </c>
      <c r="L459" s="2">
        <v>0.5</v>
      </c>
      <c r="M459" s="2">
        <v>1</v>
      </c>
      <c r="N459" s="2">
        <v>1</v>
      </c>
      <c r="O459" s="2">
        <v>4</v>
      </c>
      <c r="P459" s="2">
        <v>1</v>
      </c>
      <c r="Q459" s="2">
        <v>0.5</v>
      </c>
      <c r="R459" s="2">
        <v>0.5</v>
      </c>
      <c r="S459" s="2">
        <v>1</v>
      </c>
      <c r="T459" s="2">
        <v>1</v>
      </c>
      <c r="U459" s="2">
        <v>1</v>
      </c>
      <c r="V459" s="2">
        <v>0</v>
      </c>
      <c r="W459" s="2">
        <v>1</v>
      </c>
      <c r="X459" s="2">
        <v>1</v>
      </c>
      <c r="Y459" s="2">
        <v>1</v>
      </c>
      <c r="Z459" s="2">
        <v>1</v>
      </c>
      <c r="AA459" s="2">
        <v>2</v>
      </c>
      <c r="AB459" s="2">
        <v>0.5</v>
      </c>
      <c r="AC459" s="2">
        <v>0.5</v>
      </c>
      <c r="AD459" s="2">
        <v>20</v>
      </c>
      <c r="AE459" s="2">
        <v>6400</v>
      </c>
      <c r="AF459" s="2">
        <v>70</v>
      </c>
      <c r="AG459" s="2">
        <v>345</v>
      </c>
      <c r="AH459" s="2">
        <v>25</v>
      </c>
      <c r="AI459" s="2">
        <v>50</v>
      </c>
      <c r="AJ459" s="1">
        <v>1250000</v>
      </c>
      <c r="AK459" s="1">
        <v>1</v>
      </c>
      <c r="AL459" s="1">
        <v>45</v>
      </c>
      <c r="AM459" s="2">
        <v>50</v>
      </c>
      <c r="AN459" s="2">
        <f t="shared" si="7"/>
        <v>50</v>
      </c>
      <c r="AO459" s="3">
        <v>458</v>
      </c>
      <c r="AP459" s="3">
        <v>60</v>
      </c>
      <c r="AQ459" s="3">
        <v>120</v>
      </c>
      <c r="AR459" s="3">
        <v>50</v>
      </c>
      <c r="AS459" s="1">
        <v>65</v>
      </c>
      <c r="AT459" s="3">
        <v>4</v>
      </c>
      <c r="AU459" s="3" t="s">
        <v>3051</v>
      </c>
    </row>
    <row r="460" spans="1:47" x14ac:dyDescent="0.3">
      <c r="A460" s="1" t="s">
        <v>1303</v>
      </c>
      <c r="B460" s="1" t="s">
        <v>1302</v>
      </c>
      <c r="C460" s="1" t="s">
        <v>42</v>
      </c>
      <c r="D460" s="1" t="s">
        <v>121</v>
      </c>
      <c r="E460" s="1" t="s">
        <v>1301</v>
      </c>
      <c r="F460" t="s">
        <v>3172</v>
      </c>
      <c r="G460" t="s">
        <v>3139</v>
      </c>
      <c r="H460" t="s">
        <v>52</v>
      </c>
      <c r="I460" t="s">
        <v>52</v>
      </c>
      <c r="J460" t="s">
        <v>52</v>
      </c>
      <c r="K460" t="s">
        <v>52</v>
      </c>
      <c r="L460" s="2">
        <v>2</v>
      </c>
      <c r="M460" s="2">
        <v>1</v>
      </c>
      <c r="N460" s="2">
        <v>1</v>
      </c>
      <c r="O460" s="2">
        <v>0.5</v>
      </c>
      <c r="P460" s="2">
        <v>1</v>
      </c>
      <c r="Q460" s="2">
        <v>2</v>
      </c>
      <c r="R460" s="2">
        <v>4</v>
      </c>
      <c r="S460" s="2">
        <v>2</v>
      </c>
      <c r="T460" s="2">
        <v>1</v>
      </c>
      <c r="U460" s="2">
        <v>0.5</v>
      </c>
      <c r="V460" s="2">
        <v>0.5</v>
      </c>
      <c r="W460" s="2">
        <v>1</v>
      </c>
      <c r="X460" s="2">
        <v>1</v>
      </c>
      <c r="Y460" s="2">
        <v>2</v>
      </c>
      <c r="Z460" s="2">
        <v>1</v>
      </c>
      <c r="AA460" s="2">
        <v>2</v>
      </c>
      <c r="AB460" s="2">
        <v>2</v>
      </c>
      <c r="AC460" s="2">
        <v>0.5</v>
      </c>
      <c r="AD460" s="2">
        <v>62</v>
      </c>
      <c r="AE460" s="2">
        <v>5120</v>
      </c>
      <c r="AF460" s="2">
        <v>70</v>
      </c>
      <c r="AG460" s="2">
        <v>334</v>
      </c>
      <c r="AH460" s="2">
        <v>120</v>
      </c>
      <c r="AI460" s="2">
        <v>50</v>
      </c>
      <c r="AJ460" s="1">
        <v>1250000</v>
      </c>
      <c r="AK460" s="1">
        <v>1</v>
      </c>
      <c r="AL460" s="1">
        <v>60</v>
      </c>
      <c r="AM460" s="2">
        <v>50</v>
      </c>
      <c r="AN460" s="2">
        <f t="shared" si="7"/>
        <v>50</v>
      </c>
      <c r="AO460" s="3">
        <v>459</v>
      </c>
      <c r="AP460" s="3">
        <v>62</v>
      </c>
      <c r="AQ460" s="3">
        <v>60</v>
      </c>
      <c r="AR460" s="3">
        <v>40</v>
      </c>
      <c r="AS460" s="1">
        <v>50.5</v>
      </c>
      <c r="AT460" s="3">
        <v>4</v>
      </c>
      <c r="AU460" s="3" t="s">
        <v>3051</v>
      </c>
    </row>
    <row r="461" spans="1:47" x14ac:dyDescent="0.3">
      <c r="A461" s="1" t="s">
        <v>1305</v>
      </c>
      <c r="B461" s="1" t="s">
        <v>1304</v>
      </c>
      <c r="C461" s="1" t="s">
        <v>42</v>
      </c>
      <c r="D461" s="1" t="s">
        <v>121</v>
      </c>
      <c r="E461" s="1" t="s">
        <v>1301</v>
      </c>
      <c r="F461" t="s">
        <v>3172</v>
      </c>
      <c r="G461" t="s">
        <v>3139</v>
      </c>
      <c r="H461" t="s">
        <v>52</v>
      </c>
      <c r="I461" t="s">
        <v>52</v>
      </c>
      <c r="J461" t="s">
        <v>52</v>
      </c>
      <c r="K461" t="s">
        <v>52</v>
      </c>
      <c r="L461" s="2">
        <v>2</v>
      </c>
      <c r="M461" s="2">
        <v>1</v>
      </c>
      <c r="N461" s="2">
        <v>1</v>
      </c>
      <c r="O461" s="2">
        <v>0.5</v>
      </c>
      <c r="P461" s="2">
        <v>1</v>
      </c>
      <c r="Q461" s="2">
        <v>2</v>
      </c>
      <c r="R461" s="2">
        <v>4</v>
      </c>
      <c r="S461" s="2">
        <v>2</v>
      </c>
      <c r="T461" s="2">
        <v>1</v>
      </c>
      <c r="U461" s="2">
        <v>0.5</v>
      </c>
      <c r="V461" s="2">
        <v>0.5</v>
      </c>
      <c r="W461" s="2">
        <v>1</v>
      </c>
      <c r="X461" s="2">
        <v>1</v>
      </c>
      <c r="Y461" s="2">
        <v>2</v>
      </c>
      <c r="Z461" s="2">
        <v>1</v>
      </c>
      <c r="AA461" s="2">
        <v>2</v>
      </c>
      <c r="AB461" s="2">
        <v>2</v>
      </c>
      <c r="AC461" s="2">
        <v>0.5</v>
      </c>
      <c r="AD461" s="2">
        <v>132</v>
      </c>
      <c r="AE461" s="2">
        <v>5120</v>
      </c>
      <c r="AF461" s="2">
        <v>70</v>
      </c>
      <c r="AG461" s="2">
        <v>594</v>
      </c>
      <c r="AH461" s="2">
        <v>60</v>
      </c>
      <c r="AI461" s="2">
        <v>105</v>
      </c>
      <c r="AJ461" s="1">
        <v>1250000</v>
      </c>
      <c r="AK461" s="1">
        <v>2.2000000000000002</v>
      </c>
      <c r="AL461" s="1">
        <v>90</v>
      </c>
      <c r="AM461" s="2">
        <v>50</v>
      </c>
      <c r="AN461" s="2">
        <f t="shared" si="7"/>
        <v>50</v>
      </c>
      <c r="AO461" s="3">
        <v>460</v>
      </c>
      <c r="AP461" s="3">
        <v>132</v>
      </c>
      <c r="AQ461" s="3">
        <v>105</v>
      </c>
      <c r="AR461" s="3">
        <v>30</v>
      </c>
      <c r="AS461" s="1">
        <v>135.5</v>
      </c>
      <c r="AT461" s="3">
        <v>4</v>
      </c>
      <c r="AU461" s="3" t="s">
        <v>3051</v>
      </c>
    </row>
    <row r="462" spans="1:47" x14ac:dyDescent="0.3">
      <c r="A462" s="1" t="s">
        <v>1307</v>
      </c>
      <c r="B462" s="1" t="s">
        <v>1306</v>
      </c>
      <c r="C462" s="1" t="s">
        <v>99</v>
      </c>
      <c r="D462" s="1" t="s">
        <v>121</v>
      </c>
      <c r="E462" s="1" t="s">
        <v>622</v>
      </c>
      <c r="F462" t="s">
        <v>3067</v>
      </c>
      <c r="G462" t="s">
        <v>3260</v>
      </c>
      <c r="H462" t="s">
        <v>52</v>
      </c>
      <c r="I462" t="s">
        <v>52</v>
      </c>
      <c r="J462" t="s">
        <v>52</v>
      </c>
      <c r="K462" t="s">
        <v>52</v>
      </c>
      <c r="L462" s="2">
        <v>2</v>
      </c>
      <c r="M462" s="2">
        <v>0.5</v>
      </c>
      <c r="N462" s="2">
        <v>1</v>
      </c>
      <c r="O462" s="2">
        <v>1</v>
      </c>
      <c r="P462" s="2">
        <v>2</v>
      </c>
      <c r="Q462" s="2">
        <v>4</v>
      </c>
      <c r="R462" s="2">
        <v>2</v>
      </c>
      <c r="S462" s="2">
        <v>1</v>
      </c>
      <c r="T462" s="2">
        <v>0.5</v>
      </c>
      <c r="U462" s="2">
        <v>1</v>
      </c>
      <c r="V462" s="2">
        <v>1</v>
      </c>
      <c r="W462" s="2">
        <v>0.5</v>
      </c>
      <c r="X462" s="2">
        <v>1</v>
      </c>
      <c r="Y462" s="2">
        <v>1</v>
      </c>
      <c r="Z462" s="2">
        <v>0</v>
      </c>
      <c r="AA462" s="2">
        <v>2</v>
      </c>
      <c r="AB462" s="2">
        <v>2</v>
      </c>
      <c r="AC462" s="2">
        <v>1</v>
      </c>
      <c r="AD462" s="2">
        <v>120</v>
      </c>
      <c r="AE462" s="2">
        <v>5120</v>
      </c>
      <c r="AF462" s="2">
        <v>35</v>
      </c>
      <c r="AG462" s="2">
        <v>510</v>
      </c>
      <c r="AH462" s="2">
        <v>45</v>
      </c>
      <c r="AI462" s="2">
        <v>65</v>
      </c>
      <c r="AJ462" s="1">
        <v>1059860</v>
      </c>
      <c r="AK462" s="1">
        <v>1.1000000000000001</v>
      </c>
      <c r="AL462" s="1">
        <v>70</v>
      </c>
      <c r="AM462" s="2">
        <v>50</v>
      </c>
      <c r="AN462" s="2">
        <f t="shared" si="7"/>
        <v>50</v>
      </c>
      <c r="AO462" s="3">
        <v>461</v>
      </c>
      <c r="AP462" s="3">
        <v>45</v>
      </c>
      <c r="AQ462" s="3">
        <v>85</v>
      </c>
      <c r="AR462" s="3">
        <v>125</v>
      </c>
      <c r="AS462" s="1">
        <v>34</v>
      </c>
      <c r="AT462" s="3">
        <v>4</v>
      </c>
      <c r="AU462" s="3" t="s">
        <v>3051</v>
      </c>
    </row>
    <row r="463" spans="1:47" x14ac:dyDescent="0.3">
      <c r="A463" s="1" t="s">
        <v>1310</v>
      </c>
      <c r="B463" s="1" t="s">
        <v>1309</v>
      </c>
      <c r="C463" s="1" t="s">
        <v>115</v>
      </c>
      <c r="D463" s="1" t="s">
        <v>263</v>
      </c>
      <c r="E463" s="1" t="s">
        <v>1308</v>
      </c>
      <c r="F463" t="s">
        <v>3134</v>
      </c>
      <c r="G463" t="s">
        <v>3107</v>
      </c>
      <c r="H463" t="s">
        <v>3243</v>
      </c>
      <c r="I463" t="s">
        <v>52</v>
      </c>
      <c r="J463" t="s">
        <v>52</v>
      </c>
      <c r="K463" t="s">
        <v>52</v>
      </c>
      <c r="L463" s="2">
        <v>0.5</v>
      </c>
      <c r="M463" s="2">
        <v>1</v>
      </c>
      <c r="N463" s="2">
        <v>0.5</v>
      </c>
      <c r="O463" s="2">
        <v>0.5</v>
      </c>
      <c r="P463" s="2">
        <v>0.5</v>
      </c>
      <c r="Q463" s="2">
        <v>2</v>
      </c>
      <c r="R463" s="2">
        <v>2</v>
      </c>
      <c r="S463" s="2">
        <v>0.25</v>
      </c>
      <c r="T463" s="2">
        <v>1</v>
      </c>
      <c r="U463" s="2">
        <v>0.5</v>
      </c>
      <c r="V463" s="2">
        <v>4</v>
      </c>
      <c r="W463" s="2">
        <v>0.5</v>
      </c>
      <c r="X463" s="2">
        <v>0.5</v>
      </c>
      <c r="Y463" s="2">
        <v>0</v>
      </c>
      <c r="Z463" s="2">
        <v>0.5</v>
      </c>
      <c r="AA463" s="2">
        <v>0.5</v>
      </c>
      <c r="AB463" s="2">
        <v>0.25</v>
      </c>
      <c r="AC463" s="2">
        <v>1</v>
      </c>
      <c r="AD463" s="2">
        <v>70</v>
      </c>
      <c r="AE463" s="2">
        <v>5120</v>
      </c>
      <c r="AF463" s="2">
        <v>70</v>
      </c>
      <c r="AG463" s="2">
        <v>535</v>
      </c>
      <c r="AH463" s="2">
        <v>30</v>
      </c>
      <c r="AI463" s="2">
        <v>115</v>
      </c>
      <c r="AJ463" s="1">
        <v>1000000</v>
      </c>
      <c r="AK463" s="1">
        <v>1.2</v>
      </c>
      <c r="AL463" s="1">
        <v>70</v>
      </c>
      <c r="AM463" s="2" t="s">
        <v>52</v>
      </c>
      <c r="AN463" s="2" t="str">
        <f t="shared" si="7"/>
        <v/>
      </c>
      <c r="AO463" s="3">
        <v>462</v>
      </c>
      <c r="AP463" s="3">
        <v>130</v>
      </c>
      <c r="AQ463" s="3">
        <v>90</v>
      </c>
      <c r="AR463" s="3">
        <v>60</v>
      </c>
      <c r="AS463" s="1">
        <v>180</v>
      </c>
      <c r="AT463" s="3">
        <v>4</v>
      </c>
      <c r="AU463" s="3" t="s">
        <v>3051</v>
      </c>
    </row>
    <row r="464" spans="1:47" x14ac:dyDescent="0.3">
      <c r="A464" s="1" t="s">
        <v>1312</v>
      </c>
      <c r="B464" s="1" t="s">
        <v>1311</v>
      </c>
      <c r="C464" s="1" t="s">
        <v>90</v>
      </c>
      <c r="D464" s="1" t="s">
        <v>52</v>
      </c>
      <c r="E464" s="1" t="s">
        <v>336</v>
      </c>
      <c r="F464" t="s">
        <v>3140</v>
      </c>
      <c r="G464" t="s">
        <v>3133</v>
      </c>
      <c r="H464" t="s">
        <v>3239</v>
      </c>
      <c r="I464" t="s">
        <v>52</v>
      </c>
      <c r="J464" t="s">
        <v>52</v>
      </c>
      <c r="K464" t="s">
        <v>52</v>
      </c>
      <c r="L464" s="2">
        <v>1</v>
      </c>
      <c r="M464" s="2">
        <v>1</v>
      </c>
      <c r="N464" s="2">
        <v>1</v>
      </c>
      <c r="O464" s="2">
        <v>1</v>
      </c>
      <c r="P464" s="2">
        <v>1</v>
      </c>
      <c r="Q464" s="2">
        <v>2</v>
      </c>
      <c r="R464" s="2">
        <v>1</v>
      </c>
      <c r="S464" s="2">
        <v>1</v>
      </c>
      <c r="T464" s="2">
        <v>0</v>
      </c>
      <c r="U464" s="2">
        <v>1</v>
      </c>
      <c r="V464" s="2">
        <v>1</v>
      </c>
      <c r="W464" s="2">
        <v>1</v>
      </c>
      <c r="X464" s="2">
        <v>1</v>
      </c>
      <c r="Y464" s="2">
        <v>1</v>
      </c>
      <c r="Z464" s="2">
        <v>1</v>
      </c>
      <c r="AA464" s="2">
        <v>1</v>
      </c>
      <c r="AB464" s="2">
        <v>1</v>
      </c>
      <c r="AC464" s="2">
        <v>1</v>
      </c>
      <c r="AD464" s="2">
        <v>85</v>
      </c>
      <c r="AE464" s="2">
        <v>5120</v>
      </c>
      <c r="AF464" s="2">
        <v>70</v>
      </c>
      <c r="AG464" s="2">
        <v>515</v>
      </c>
      <c r="AH464" s="2">
        <v>30</v>
      </c>
      <c r="AI464" s="2">
        <v>95</v>
      </c>
      <c r="AJ464" s="1">
        <v>1000000</v>
      </c>
      <c r="AK464" s="1">
        <v>1.7</v>
      </c>
      <c r="AL464" s="1">
        <v>110</v>
      </c>
      <c r="AM464" s="2">
        <v>50</v>
      </c>
      <c r="AN464" s="2">
        <f t="shared" si="7"/>
        <v>50</v>
      </c>
      <c r="AO464" s="3">
        <v>463</v>
      </c>
      <c r="AP464" s="3">
        <v>80</v>
      </c>
      <c r="AQ464" s="3">
        <v>95</v>
      </c>
      <c r="AR464" s="3">
        <v>50</v>
      </c>
      <c r="AS464" s="1">
        <v>140</v>
      </c>
      <c r="AT464" s="3">
        <v>4</v>
      </c>
      <c r="AU464" s="3" t="s">
        <v>3051</v>
      </c>
    </row>
    <row r="465" spans="1:47" x14ac:dyDescent="0.3">
      <c r="A465" s="1" t="s">
        <v>1314</v>
      </c>
      <c r="B465" s="1" t="s">
        <v>1313</v>
      </c>
      <c r="C465" s="1" t="s">
        <v>120</v>
      </c>
      <c r="D465" s="1" t="s">
        <v>243</v>
      </c>
      <c r="E465" s="1" t="s">
        <v>129</v>
      </c>
      <c r="F465" t="s">
        <v>3141</v>
      </c>
      <c r="G465" t="s">
        <v>3185</v>
      </c>
      <c r="H465" t="s">
        <v>3183</v>
      </c>
      <c r="I465" t="s">
        <v>52</v>
      </c>
      <c r="J465" t="s">
        <v>52</v>
      </c>
      <c r="K465" t="s">
        <v>52</v>
      </c>
      <c r="L465" s="2">
        <v>1</v>
      </c>
      <c r="M465" s="2">
        <v>1</v>
      </c>
      <c r="N465" s="2">
        <v>1</v>
      </c>
      <c r="O465" s="2">
        <v>0</v>
      </c>
      <c r="P465" s="2">
        <v>1</v>
      </c>
      <c r="Q465" s="2">
        <v>2</v>
      </c>
      <c r="R465" s="2">
        <v>0.5</v>
      </c>
      <c r="S465" s="2">
        <v>0.5</v>
      </c>
      <c r="T465" s="2">
        <v>1</v>
      </c>
      <c r="U465" s="2">
        <v>4</v>
      </c>
      <c r="V465" s="2">
        <v>2</v>
      </c>
      <c r="W465" s="2">
        <v>2</v>
      </c>
      <c r="X465" s="2">
        <v>0.5</v>
      </c>
      <c r="Y465" s="2">
        <v>0.25</v>
      </c>
      <c r="Z465" s="2">
        <v>1</v>
      </c>
      <c r="AA465" s="2">
        <v>0.5</v>
      </c>
      <c r="AB465" s="2">
        <v>2</v>
      </c>
      <c r="AC465" s="2">
        <v>4</v>
      </c>
      <c r="AD465" s="2">
        <v>140</v>
      </c>
      <c r="AE465" s="2">
        <v>5120</v>
      </c>
      <c r="AF465" s="2">
        <v>70</v>
      </c>
      <c r="AG465" s="2">
        <v>535</v>
      </c>
      <c r="AH465" s="2">
        <v>30</v>
      </c>
      <c r="AI465" s="2">
        <v>130</v>
      </c>
      <c r="AJ465" s="1">
        <v>1250000</v>
      </c>
      <c r="AK465" s="1">
        <v>2.4</v>
      </c>
      <c r="AL465" s="1">
        <v>115</v>
      </c>
      <c r="AM465" s="2">
        <v>50</v>
      </c>
      <c r="AN465" s="2">
        <f t="shared" si="7"/>
        <v>50</v>
      </c>
      <c r="AO465" s="3">
        <v>464</v>
      </c>
      <c r="AP465" s="3">
        <v>55</v>
      </c>
      <c r="AQ465" s="3">
        <v>55</v>
      </c>
      <c r="AR465" s="3">
        <v>40</v>
      </c>
      <c r="AS465" s="1">
        <v>282.8</v>
      </c>
      <c r="AT465" s="3">
        <v>4</v>
      </c>
      <c r="AU465" s="3" t="s">
        <v>3051</v>
      </c>
    </row>
    <row r="466" spans="1:47" x14ac:dyDescent="0.3">
      <c r="A466" s="1" t="s">
        <v>1316</v>
      </c>
      <c r="B466" s="1" t="s">
        <v>1315</v>
      </c>
      <c r="C466" s="1" t="s">
        <v>42</v>
      </c>
      <c r="D466" s="1" t="s">
        <v>52</v>
      </c>
      <c r="E466" s="1" t="s">
        <v>351</v>
      </c>
      <c r="F466" t="s">
        <v>3068</v>
      </c>
      <c r="G466" t="s">
        <v>3174</v>
      </c>
      <c r="H466" t="s">
        <v>3242</v>
      </c>
      <c r="I466" t="s">
        <v>52</v>
      </c>
      <c r="J466" t="s">
        <v>52</v>
      </c>
      <c r="K466" t="s">
        <v>52</v>
      </c>
      <c r="L466" s="2">
        <v>2</v>
      </c>
      <c r="M466" s="2">
        <v>1</v>
      </c>
      <c r="N466" s="2">
        <v>1</v>
      </c>
      <c r="O466" s="2">
        <v>0.5</v>
      </c>
      <c r="P466" s="2">
        <v>1</v>
      </c>
      <c r="Q466" s="2">
        <v>1</v>
      </c>
      <c r="R466" s="2">
        <v>2</v>
      </c>
      <c r="S466" s="2">
        <v>2</v>
      </c>
      <c r="T466" s="2">
        <v>1</v>
      </c>
      <c r="U466" s="2">
        <v>0.5</v>
      </c>
      <c r="V466" s="2">
        <v>0.5</v>
      </c>
      <c r="W466" s="2">
        <v>2</v>
      </c>
      <c r="X466" s="2">
        <v>1</v>
      </c>
      <c r="Y466" s="2">
        <v>2</v>
      </c>
      <c r="Z466" s="2">
        <v>1</v>
      </c>
      <c r="AA466" s="2">
        <v>1</v>
      </c>
      <c r="AB466" s="2">
        <v>1</v>
      </c>
      <c r="AC466" s="2">
        <v>0.5</v>
      </c>
      <c r="AD466" s="2">
        <v>100</v>
      </c>
      <c r="AE466" s="2">
        <v>5120</v>
      </c>
      <c r="AF466" s="2">
        <v>70</v>
      </c>
      <c r="AG466" s="2">
        <v>535</v>
      </c>
      <c r="AH466" s="2">
        <v>30</v>
      </c>
      <c r="AI466" s="2">
        <v>125</v>
      </c>
      <c r="AJ466" s="1">
        <v>1000000</v>
      </c>
      <c r="AK466" s="1">
        <v>2</v>
      </c>
      <c r="AL466" s="1">
        <v>100</v>
      </c>
      <c r="AM466" s="2">
        <v>50</v>
      </c>
      <c r="AN466" s="2">
        <f t="shared" si="7"/>
        <v>50</v>
      </c>
      <c r="AO466" s="3">
        <v>465</v>
      </c>
      <c r="AP466" s="3">
        <v>110</v>
      </c>
      <c r="AQ466" s="3">
        <v>50</v>
      </c>
      <c r="AR466" s="3">
        <v>50</v>
      </c>
      <c r="AS466" s="1">
        <v>128.6</v>
      </c>
      <c r="AT466" s="3">
        <v>4</v>
      </c>
      <c r="AU466" s="3" t="s">
        <v>3051</v>
      </c>
    </row>
    <row r="467" spans="1:47" x14ac:dyDescent="0.3">
      <c r="A467" s="1" t="s">
        <v>1319</v>
      </c>
      <c r="B467" s="1" t="s">
        <v>1318</v>
      </c>
      <c r="C467" s="1" t="s">
        <v>115</v>
      </c>
      <c r="D467" s="1" t="s">
        <v>52</v>
      </c>
      <c r="E467" s="1" t="s">
        <v>1317</v>
      </c>
      <c r="F467" t="s">
        <v>3173</v>
      </c>
      <c r="G467" t="s">
        <v>3060</v>
      </c>
      <c r="H467" t="s">
        <v>52</v>
      </c>
      <c r="I467" t="s">
        <v>52</v>
      </c>
      <c r="J467" t="s">
        <v>52</v>
      </c>
      <c r="K467" t="s">
        <v>52</v>
      </c>
      <c r="L467" s="2">
        <v>1</v>
      </c>
      <c r="M467" s="2">
        <v>1</v>
      </c>
      <c r="N467" s="2">
        <v>1</v>
      </c>
      <c r="O467" s="2">
        <v>0.5</v>
      </c>
      <c r="P467" s="2">
        <v>1</v>
      </c>
      <c r="Q467" s="2">
        <v>1</v>
      </c>
      <c r="R467" s="2">
        <v>1</v>
      </c>
      <c r="S467" s="2">
        <v>0.5</v>
      </c>
      <c r="T467" s="2">
        <v>1</v>
      </c>
      <c r="U467" s="2">
        <v>1</v>
      </c>
      <c r="V467" s="2">
        <v>2</v>
      </c>
      <c r="W467" s="2">
        <v>1</v>
      </c>
      <c r="X467" s="2">
        <v>1</v>
      </c>
      <c r="Y467" s="2">
        <v>1</v>
      </c>
      <c r="Z467" s="2">
        <v>1</v>
      </c>
      <c r="AA467" s="2">
        <v>1</v>
      </c>
      <c r="AB467" s="2">
        <v>0.5</v>
      </c>
      <c r="AC467" s="2">
        <v>1</v>
      </c>
      <c r="AD467" s="2">
        <v>123</v>
      </c>
      <c r="AE467" s="2">
        <v>6400</v>
      </c>
      <c r="AF467" s="2">
        <v>70</v>
      </c>
      <c r="AG467" s="2">
        <v>540</v>
      </c>
      <c r="AH467" s="2">
        <v>30</v>
      </c>
      <c r="AI467" s="2">
        <v>67</v>
      </c>
      <c r="AJ467" s="1">
        <v>1000000</v>
      </c>
      <c r="AK467" s="1">
        <v>1.8</v>
      </c>
      <c r="AL467" s="1">
        <v>75</v>
      </c>
      <c r="AM467" s="2">
        <v>75.400000000000006</v>
      </c>
      <c r="AN467" s="2">
        <f t="shared" si="7"/>
        <v>24.599999999999994</v>
      </c>
      <c r="AO467" s="3">
        <v>466</v>
      </c>
      <c r="AP467" s="3">
        <v>95</v>
      </c>
      <c r="AQ467" s="3">
        <v>85</v>
      </c>
      <c r="AR467" s="3">
        <v>95</v>
      </c>
      <c r="AS467" s="1">
        <v>138.6</v>
      </c>
      <c r="AT467" s="3">
        <v>4</v>
      </c>
      <c r="AU467" s="3" t="s">
        <v>3051</v>
      </c>
    </row>
    <row r="468" spans="1:47" x14ac:dyDescent="0.3">
      <c r="A468" s="1" t="s">
        <v>1322</v>
      </c>
      <c r="B468" s="1" t="s">
        <v>1321</v>
      </c>
      <c r="C468" s="1" t="s">
        <v>51</v>
      </c>
      <c r="D468" s="1" t="s">
        <v>52</v>
      </c>
      <c r="E468" s="1" t="s">
        <v>1320</v>
      </c>
      <c r="F468" t="s">
        <v>3145</v>
      </c>
      <c r="G468" t="s">
        <v>3060</v>
      </c>
      <c r="H468" t="s">
        <v>52</v>
      </c>
      <c r="I468" t="s">
        <v>52</v>
      </c>
      <c r="J468" t="s">
        <v>52</v>
      </c>
      <c r="K468" t="s">
        <v>52</v>
      </c>
      <c r="L468" s="2">
        <v>0.5</v>
      </c>
      <c r="M468" s="2">
        <v>1</v>
      </c>
      <c r="N468" s="2">
        <v>1</v>
      </c>
      <c r="O468" s="2">
        <v>1</v>
      </c>
      <c r="P468" s="2">
        <v>0.5</v>
      </c>
      <c r="Q468" s="2">
        <v>1</v>
      </c>
      <c r="R468" s="2">
        <v>0.5</v>
      </c>
      <c r="S468" s="2">
        <v>1</v>
      </c>
      <c r="T468" s="2">
        <v>1</v>
      </c>
      <c r="U468" s="2">
        <v>0.5</v>
      </c>
      <c r="V468" s="2">
        <v>2</v>
      </c>
      <c r="W468" s="2">
        <v>0.5</v>
      </c>
      <c r="X468" s="2">
        <v>1</v>
      </c>
      <c r="Y468" s="2">
        <v>1</v>
      </c>
      <c r="Z468" s="2">
        <v>1</v>
      </c>
      <c r="AA468" s="2">
        <v>2</v>
      </c>
      <c r="AB468" s="2">
        <v>0.5</v>
      </c>
      <c r="AC468" s="2">
        <v>2</v>
      </c>
      <c r="AD468" s="2">
        <v>95</v>
      </c>
      <c r="AE468" s="2">
        <v>6400</v>
      </c>
      <c r="AF468" s="2">
        <v>70</v>
      </c>
      <c r="AG468" s="2">
        <v>540</v>
      </c>
      <c r="AH468" s="2">
        <v>30</v>
      </c>
      <c r="AI468" s="2">
        <v>67</v>
      </c>
      <c r="AJ468" s="1">
        <v>1000000</v>
      </c>
      <c r="AK468" s="1">
        <v>1.6</v>
      </c>
      <c r="AL468" s="1">
        <v>75</v>
      </c>
      <c r="AM468" s="2">
        <v>75.400000000000006</v>
      </c>
      <c r="AN468" s="2">
        <f t="shared" si="7"/>
        <v>24.599999999999994</v>
      </c>
      <c r="AO468" s="3">
        <v>467</v>
      </c>
      <c r="AP468" s="3">
        <v>125</v>
      </c>
      <c r="AQ468" s="3">
        <v>95</v>
      </c>
      <c r="AR468" s="3">
        <v>83</v>
      </c>
      <c r="AS468" s="1">
        <v>68</v>
      </c>
      <c r="AT468" s="3">
        <v>4</v>
      </c>
      <c r="AU468" s="3" t="s">
        <v>3051</v>
      </c>
    </row>
    <row r="469" spans="1:47" x14ac:dyDescent="0.3">
      <c r="A469" s="1" t="s">
        <v>1325</v>
      </c>
      <c r="B469" s="1" t="s">
        <v>1324</v>
      </c>
      <c r="C469" s="1" t="s">
        <v>141</v>
      </c>
      <c r="D469" s="1" t="s">
        <v>58</v>
      </c>
      <c r="E469" s="1" t="s">
        <v>1323</v>
      </c>
      <c r="F469" t="s">
        <v>3079</v>
      </c>
      <c r="G469" t="s">
        <v>3066</v>
      </c>
      <c r="H469" t="s">
        <v>3256</v>
      </c>
      <c r="I469" t="s">
        <v>52</v>
      </c>
      <c r="J469" t="s">
        <v>52</v>
      </c>
      <c r="K469" t="s">
        <v>52</v>
      </c>
      <c r="L469" s="2">
        <v>0.25</v>
      </c>
      <c r="M469" s="2">
        <v>0.5</v>
      </c>
      <c r="N469" s="2">
        <v>0</v>
      </c>
      <c r="O469" s="2">
        <v>2</v>
      </c>
      <c r="P469" s="2">
        <v>1</v>
      </c>
      <c r="Q469" s="2">
        <v>0.25</v>
      </c>
      <c r="R469" s="2">
        <v>1</v>
      </c>
      <c r="S469" s="2">
        <v>1</v>
      </c>
      <c r="T469" s="2">
        <v>1</v>
      </c>
      <c r="U469" s="2">
        <v>0.5</v>
      </c>
      <c r="V469" s="2">
        <v>0</v>
      </c>
      <c r="W469" s="2">
        <v>2</v>
      </c>
      <c r="X469" s="2">
        <v>1</v>
      </c>
      <c r="Y469" s="2">
        <v>2</v>
      </c>
      <c r="Z469" s="2">
        <v>1</v>
      </c>
      <c r="AA469" s="2">
        <v>2</v>
      </c>
      <c r="AB469" s="2">
        <v>2</v>
      </c>
      <c r="AC469" s="2">
        <v>1</v>
      </c>
      <c r="AD469" s="2">
        <v>50</v>
      </c>
      <c r="AE469" s="2">
        <v>2560</v>
      </c>
      <c r="AF469" s="2">
        <v>70</v>
      </c>
      <c r="AG469" s="2">
        <v>545</v>
      </c>
      <c r="AH469" s="2">
        <v>30</v>
      </c>
      <c r="AI469" s="2">
        <v>95</v>
      </c>
      <c r="AJ469" s="1">
        <v>800000</v>
      </c>
      <c r="AK469" s="1">
        <v>1.5</v>
      </c>
      <c r="AL469" s="1">
        <v>85</v>
      </c>
      <c r="AM469" s="2">
        <v>88.1</v>
      </c>
      <c r="AN469" s="2">
        <f t="shared" si="7"/>
        <v>11.900000000000006</v>
      </c>
      <c r="AO469" s="3">
        <v>468</v>
      </c>
      <c r="AP469" s="3">
        <v>120</v>
      </c>
      <c r="AQ469" s="3">
        <v>115</v>
      </c>
      <c r="AR469" s="3">
        <v>80</v>
      </c>
      <c r="AS469" s="1">
        <v>38</v>
      </c>
      <c r="AT469" s="3">
        <v>4</v>
      </c>
      <c r="AU469" s="3" t="s">
        <v>3051</v>
      </c>
    </row>
    <row r="470" spans="1:47" x14ac:dyDescent="0.3">
      <c r="A470" s="1" t="s">
        <v>1328</v>
      </c>
      <c r="B470" s="1" t="s">
        <v>1327</v>
      </c>
      <c r="C470" s="1" t="s">
        <v>72</v>
      </c>
      <c r="D470" s="1" t="s">
        <v>58</v>
      </c>
      <c r="E470" s="1" t="s">
        <v>1326</v>
      </c>
      <c r="F470" t="s">
        <v>3149</v>
      </c>
      <c r="G470" t="s">
        <v>3225</v>
      </c>
      <c r="H470" t="s">
        <v>3186</v>
      </c>
      <c r="I470" t="s">
        <v>52</v>
      </c>
      <c r="J470" t="s">
        <v>52</v>
      </c>
      <c r="K470" t="s">
        <v>52</v>
      </c>
      <c r="L470" s="2">
        <v>0.5</v>
      </c>
      <c r="M470" s="2">
        <v>1</v>
      </c>
      <c r="N470" s="2">
        <v>1</v>
      </c>
      <c r="O470" s="2">
        <v>2</v>
      </c>
      <c r="P470" s="2">
        <v>1</v>
      </c>
      <c r="Q470" s="2">
        <v>0.25</v>
      </c>
      <c r="R470" s="2">
        <v>2</v>
      </c>
      <c r="S470" s="2">
        <v>2</v>
      </c>
      <c r="T470" s="2">
        <v>1</v>
      </c>
      <c r="U470" s="2">
        <v>0.25</v>
      </c>
      <c r="V470" s="2">
        <v>0</v>
      </c>
      <c r="W470" s="2">
        <v>2</v>
      </c>
      <c r="X470" s="2">
        <v>1</v>
      </c>
      <c r="Y470" s="2">
        <v>1</v>
      </c>
      <c r="Z470" s="2">
        <v>1</v>
      </c>
      <c r="AA470" s="2">
        <v>4</v>
      </c>
      <c r="AB470" s="2">
        <v>1</v>
      </c>
      <c r="AC470" s="2">
        <v>1</v>
      </c>
      <c r="AD470" s="2">
        <v>76</v>
      </c>
      <c r="AE470" s="2">
        <v>5120</v>
      </c>
      <c r="AF470" s="2">
        <v>70</v>
      </c>
      <c r="AG470" s="2">
        <v>515</v>
      </c>
      <c r="AH470" s="2">
        <v>30</v>
      </c>
      <c r="AI470" s="2">
        <v>86</v>
      </c>
      <c r="AJ470" s="1">
        <v>1000000</v>
      </c>
      <c r="AK470" s="1">
        <v>1.9</v>
      </c>
      <c r="AL470" s="1">
        <v>86</v>
      </c>
      <c r="AM470" s="2">
        <v>50</v>
      </c>
      <c r="AN470" s="2">
        <f t="shared" si="7"/>
        <v>50</v>
      </c>
      <c r="AO470" s="3">
        <v>469</v>
      </c>
      <c r="AP470" s="3">
        <v>116</v>
      </c>
      <c r="AQ470" s="3">
        <v>56</v>
      </c>
      <c r="AR470" s="3">
        <v>95</v>
      </c>
      <c r="AS470" s="1">
        <v>51.5</v>
      </c>
      <c r="AT470" s="3">
        <v>4</v>
      </c>
      <c r="AU470" s="3" t="s">
        <v>3051</v>
      </c>
    </row>
    <row r="471" spans="1:47" x14ac:dyDescent="0.3">
      <c r="A471" s="1" t="s">
        <v>1331</v>
      </c>
      <c r="B471" s="1" t="s">
        <v>1330</v>
      </c>
      <c r="C471" s="1" t="s">
        <v>42</v>
      </c>
      <c r="D471" s="1" t="s">
        <v>52</v>
      </c>
      <c r="E471" s="1" t="s">
        <v>1329</v>
      </c>
      <c r="F471" t="s">
        <v>3174</v>
      </c>
      <c r="G471" t="s">
        <v>3068</v>
      </c>
      <c r="H471" t="s">
        <v>52</v>
      </c>
      <c r="I471" t="s">
        <v>52</v>
      </c>
      <c r="J471" t="s">
        <v>52</v>
      </c>
      <c r="K471" t="s">
        <v>52</v>
      </c>
      <c r="L471" s="2">
        <v>2</v>
      </c>
      <c r="M471" s="2">
        <v>1</v>
      </c>
      <c r="N471" s="2">
        <v>1</v>
      </c>
      <c r="O471" s="2">
        <v>0.5</v>
      </c>
      <c r="P471" s="2">
        <v>1</v>
      </c>
      <c r="Q471" s="2">
        <v>1</v>
      </c>
      <c r="R471" s="2">
        <v>2</v>
      </c>
      <c r="S471" s="2">
        <v>2</v>
      </c>
      <c r="T471" s="2">
        <v>1</v>
      </c>
      <c r="U471" s="2">
        <v>0.5</v>
      </c>
      <c r="V471" s="2">
        <v>0.5</v>
      </c>
      <c r="W471" s="2">
        <v>2</v>
      </c>
      <c r="X471" s="2">
        <v>1</v>
      </c>
      <c r="Y471" s="2">
        <v>2</v>
      </c>
      <c r="Z471" s="2">
        <v>1</v>
      </c>
      <c r="AA471" s="2">
        <v>1</v>
      </c>
      <c r="AB471" s="2">
        <v>1</v>
      </c>
      <c r="AC471" s="2">
        <v>0.5</v>
      </c>
      <c r="AD471" s="2">
        <v>110</v>
      </c>
      <c r="AE471" s="2">
        <v>8960</v>
      </c>
      <c r="AF471" s="2">
        <v>35</v>
      </c>
      <c r="AG471" s="2">
        <v>525</v>
      </c>
      <c r="AH471" s="2">
        <v>45</v>
      </c>
      <c r="AI471" s="2">
        <v>130</v>
      </c>
      <c r="AJ471" s="1">
        <v>1000000</v>
      </c>
      <c r="AK471" s="1">
        <v>1</v>
      </c>
      <c r="AL471" s="1">
        <v>65</v>
      </c>
      <c r="AM471" s="2">
        <v>88.1</v>
      </c>
      <c r="AN471" s="2">
        <f t="shared" si="7"/>
        <v>11.900000000000006</v>
      </c>
      <c r="AO471" s="3">
        <v>470</v>
      </c>
      <c r="AP471" s="3">
        <v>60</v>
      </c>
      <c r="AQ471" s="3">
        <v>65</v>
      </c>
      <c r="AR471" s="3">
        <v>95</v>
      </c>
      <c r="AS471" s="1">
        <v>25.5</v>
      </c>
      <c r="AT471" s="3">
        <v>4</v>
      </c>
      <c r="AU471" s="3" t="s">
        <v>3051</v>
      </c>
    </row>
    <row r="472" spans="1:47" x14ac:dyDescent="0.3">
      <c r="A472" s="1" t="s">
        <v>1334</v>
      </c>
      <c r="B472" s="1" t="s">
        <v>1333</v>
      </c>
      <c r="C472" s="1" t="s">
        <v>121</v>
      </c>
      <c r="D472" s="1" t="s">
        <v>52</v>
      </c>
      <c r="E472" s="1" t="s">
        <v>1332</v>
      </c>
      <c r="F472" t="s">
        <v>3175</v>
      </c>
      <c r="G472" t="s">
        <v>3188</v>
      </c>
      <c r="H472" t="s">
        <v>52</v>
      </c>
      <c r="I472" t="s">
        <v>52</v>
      </c>
      <c r="J472" t="s">
        <v>52</v>
      </c>
      <c r="K472" t="s">
        <v>52</v>
      </c>
      <c r="L472" s="2">
        <v>1</v>
      </c>
      <c r="M472" s="2">
        <v>1</v>
      </c>
      <c r="N472" s="2">
        <v>1</v>
      </c>
      <c r="O472" s="2">
        <v>1</v>
      </c>
      <c r="P472" s="2">
        <v>1</v>
      </c>
      <c r="Q472" s="2">
        <v>2</v>
      </c>
      <c r="R472" s="2">
        <v>2</v>
      </c>
      <c r="S472" s="2">
        <v>1</v>
      </c>
      <c r="T472" s="2">
        <v>1</v>
      </c>
      <c r="U472" s="2">
        <v>1</v>
      </c>
      <c r="V472" s="2">
        <v>1</v>
      </c>
      <c r="W472" s="2">
        <v>0.5</v>
      </c>
      <c r="X472" s="2">
        <v>1</v>
      </c>
      <c r="Y472" s="2">
        <v>1</v>
      </c>
      <c r="Z472" s="2">
        <v>1</v>
      </c>
      <c r="AA472" s="2">
        <v>2</v>
      </c>
      <c r="AB472" s="2">
        <v>2</v>
      </c>
      <c r="AC472" s="2">
        <v>1</v>
      </c>
      <c r="AD472" s="2">
        <v>60</v>
      </c>
      <c r="AE472" s="2">
        <v>8960</v>
      </c>
      <c r="AF472" s="2">
        <v>35</v>
      </c>
      <c r="AG472" s="2">
        <v>525</v>
      </c>
      <c r="AH472" s="2">
        <v>45</v>
      </c>
      <c r="AI472" s="2">
        <v>110</v>
      </c>
      <c r="AJ472" s="1">
        <v>1000000</v>
      </c>
      <c r="AK472" s="1">
        <v>0.8</v>
      </c>
      <c r="AL472" s="1">
        <v>65</v>
      </c>
      <c r="AM472" s="2">
        <v>88.1</v>
      </c>
      <c r="AN472" s="2">
        <f t="shared" si="7"/>
        <v>11.900000000000006</v>
      </c>
      <c r="AO472" s="3">
        <v>471</v>
      </c>
      <c r="AP472" s="3">
        <v>130</v>
      </c>
      <c r="AQ472" s="3">
        <v>95</v>
      </c>
      <c r="AR472" s="3">
        <v>65</v>
      </c>
      <c r="AS472" s="1">
        <v>25.9</v>
      </c>
      <c r="AT472" s="3">
        <v>4</v>
      </c>
      <c r="AU472" s="3" t="s">
        <v>3051</v>
      </c>
    </row>
    <row r="473" spans="1:47" x14ac:dyDescent="0.3">
      <c r="A473" s="1" t="s">
        <v>1337</v>
      </c>
      <c r="B473" s="1" t="s">
        <v>1336</v>
      </c>
      <c r="C473" s="1" t="s">
        <v>120</v>
      </c>
      <c r="D473" s="1" t="s">
        <v>58</v>
      </c>
      <c r="E473" s="1" t="s">
        <v>1335</v>
      </c>
      <c r="F473" t="s">
        <v>3138</v>
      </c>
      <c r="G473" t="s">
        <v>3122</v>
      </c>
      <c r="H473" t="s">
        <v>3262</v>
      </c>
      <c r="I473" t="s">
        <v>52</v>
      </c>
      <c r="J473" t="s">
        <v>52</v>
      </c>
      <c r="K473" t="s">
        <v>52</v>
      </c>
      <c r="L473" s="2">
        <v>0.5</v>
      </c>
      <c r="M473" s="2">
        <v>1</v>
      </c>
      <c r="N473" s="2">
        <v>1</v>
      </c>
      <c r="O473" s="2">
        <v>0</v>
      </c>
      <c r="P473" s="2">
        <v>1</v>
      </c>
      <c r="Q473" s="2">
        <v>0.5</v>
      </c>
      <c r="R473" s="2">
        <v>1</v>
      </c>
      <c r="S473" s="2">
        <v>1</v>
      </c>
      <c r="T473" s="2">
        <v>1</v>
      </c>
      <c r="U473" s="2">
        <v>1</v>
      </c>
      <c r="V473" s="2">
        <v>0</v>
      </c>
      <c r="W473" s="2">
        <v>4</v>
      </c>
      <c r="X473" s="2">
        <v>1</v>
      </c>
      <c r="Y473" s="2">
        <v>0.5</v>
      </c>
      <c r="Z473" s="2">
        <v>1</v>
      </c>
      <c r="AA473" s="2">
        <v>1</v>
      </c>
      <c r="AB473" s="2">
        <v>1</v>
      </c>
      <c r="AC473" s="2">
        <v>2</v>
      </c>
      <c r="AD473" s="2">
        <v>95</v>
      </c>
      <c r="AE473" s="2">
        <v>5120</v>
      </c>
      <c r="AF473" s="2">
        <v>70</v>
      </c>
      <c r="AG473" s="2">
        <v>510</v>
      </c>
      <c r="AH473" s="2">
        <v>30</v>
      </c>
      <c r="AI473" s="2">
        <v>125</v>
      </c>
      <c r="AJ473" s="1">
        <v>1059860</v>
      </c>
      <c r="AK473" s="1">
        <v>2</v>
      </c>
      <c r="AL473" s="1">
        <v>75</v>
      </c>
      <c r="AM473" s="2">
        <v>50</v>
      </c>
      <c r="AN473" s="2">
        <f t="shared" si="7"/>
        <v>50</v>
      </c>
      <c r="AO473" s="3">
        <v>472</v>
      </c>
      <c r="AP473" s="3">
        <v>45</v>
      </c>
      <c r="AQ473" s="3">
        <v>75</v>
      </c>
      <c r="AR473" s="3">
        <v>95</v>
      </c>
      <c r="AS473" s="1">
        <v>42.5</v>
      </c>
      <c r="AT473" s="3">
        <v>4</v>
      </c>
      <c r="AU473" s="3" t="s">
        <v>3051</v>
      </c>
    </row>
    <row r="474" spans="1:47" x14ac:dyDescent="0.3">
      <c r="A474" s="1" t="s">
        <v>1340</v>
      </c>
      <c r="B474" s="1" t="s">
        <v>1339</v>
      </c>
      <c r="C474" s="1" t="s">
        <v>121</v>
      </c>
      <c r="D474" s="1" t="s">
        <v>120</v>
      </c>
      <c r="E474" s="1" t="s">
        <v>1338</v>
      </c>
      <c r="F474" t="s">
        <v>3133</v>
      </c>
      <c r="G474" t="s">
        <v>3175</v>
      </c>
      <c r="H474" t="s">
        <v>3135</v>
      </c>
      <c r="I474" t="s">
        <v>52</v>
      </c>
      <c r="J474" t="s">
        <v>52</v>
      </c>
      <c r="K474" t="s">
        <v>52</v>
      </c>
      <c r="L474" s="2">
        <v>1</v>
      </c>
      <c r="M474" s="2">
        <v>1</v>
      </c>
      <c r="N474" s="2">
        <v>1</v>
      </c>
      <c r="O474" s="2">
        <v>0</v>
      </c>
      <c r="P474" s="2">
        <v>1</v>
      </c>
      <c r="Q474" s="2">
        <v>2</v>
      </c>
      <c r="R474" s="2">
        <v>2</v>
      </c>
      <c r="S474" s="2">
        <v>1</v>
      </c>
      <c r="T474" s="2">
        <v>1</v>
      </c>
      <c r="U474" s="2">
        <v>2</v>
      </c>
      <c r="V474" s="2">
        <v>1</v>
      </c>
      <c r="W474" s="2">
        <v>1</v>
      </c>
      <c r="X474" s="2">
        <v>1</v>
      </c>
      <c r="Y474" s="2">
        <v>0.5</v>
      </c>
      <c r="Z474" s="2">
        <v>1</v>
      </c>
      <c r="AA474" s="2">
        <v>1</v>
      </c>
      <c r="AB474" s="2">
        <v>2</v>
      </c>
      <c r="AC474" s="2">
        <v>2</v>
      </c>
      <c r="AD474" s="2">
        <v>130</v>
      </c>
      <c r="AE474" s="2">
        <v>5120</v>
      </c>
      <c r="AF474" s="2">
        <v>70</v>
      </c>
      <c r="AG474" s="2">
        <v>530</v>
      </c>
      <c r="AH474" s="2">
        <v>50</v>
      </c>
      <c r="AI474" s="2">
        <v>80</v>
      </c>
      <c r="AJ474" s="1">
        <v>1250000</v>
      </c>
      <c r="AK474" s="1">
        <v>2.5</v>
      </c>
      <c r="AL474" s="1">
        <v>110</v>
      </c>
      <c r="AM474" s="2">
        <v>50</v>
      </c>
      <c r="AN474" s="2">
        <f t="shared" si="7"/>
        <v>50</v>
      </c>
      <c r="AO474" s="3">
        <v>473</v>
      </c>
      <c r="AP474" s="3">
        <v>70</v>
      </c>
      <c r="AQ474" s="3">
        <v>60</v>
      </c>
      <c r="AR474" s="3">
        <v>80</v>
      </c>
      <c r="AS474" s="1">
        <v>291</v>
      </c>
      <c r="AT474" s="3">
        <v>4</v>
      </c>
      <c r="AU474" s="3" t="s">
        <v>3051</v>
      </c>
    </row>
    <row r="475" spans="1:47" x14ac:dyDescent="0.3">
      <c r="A475" s="1" t="s">
        <v>1342</v>
      </c>
      <c r="B475" s="1" t="s">
        <v>1341</v>
      </c>
      <c r="C475" s="1" t="s">
        <v>90</v>
      </c>
      <c r="D475" s="1" t="s">
        <v>52</v>
      </c>
      <c r="E475" s="1" t="s">
        <v>416</v>
      </c>
      <c r="F475" t="s">
        <v>3176</v>
      </c>
      <c r="G475" t="s">
        <v>3083</v>
      </c>
      <c r="H475" t="s">
        <v>3243</v>
      </c>
      <c r="I475" t="s">
        <v>52</v>
      </c>
      <c r="J475" t="s">
        <v>52</v>
      </c>
      <c r="K475" t="s">
        <v>52</v>
      </c>
      <c r="L475" s="2">
        <v>1</v>
      </c>
      <c r="M475" s="2">
        <v>1</v>
      </c>
      <c r="N475" s="2">
        <v>1</v>
      </c>
      <c r="O475" s="2">
        <v>1</v>
      </c>
      <c r="P475" s="2">
        <v>1</v>
      </c>
      <c r="Q475" s="2">
        <v>2</v>
      </c>
      <c r="R475" s="2">
        <v>1</v>
      </c>
      <c r="S475" s="2">
        <v>1</v>
      </c>
      <c r="T475" s="2">
        <v>0</v>
      </c>
      <c r="U475" s="2">
        <v>1</v>
      </c>
      <c r="V475" s="2">
        <v>1</v>
      </c>
      <c r="W475" s="2">
        <v>1</v>
      </c>
      <c r="X475" s="2">
        <v>1</v>
      </c>
      <c r="Y475" s="2">
        <v>1</v>
      </c>
      <c r="Z475" s="2">
        <v>1</v>
      </c>
      <c r="AA475" s="2">
        <v>1</v>
      </c>
      <c r="AB475" s="2">
        <v>1</v>
      </c>
      <c r="AC475" s="2">
        <v>1</v>
      </c>
      <c r="AD475" s="2">
        <v>80</v>
      </c>
      <c r="AE475" s="2">
        <v>5120</v>
      </c>
      <c r="AF475" s="2">
        <v>70</v>
      </c>
      <c r="AG475" s="2">
        <v>535</v>
      </c>
      <c r="AH475" s="2">
        <v>30</v>
      </c>
      <c r="AI475" s="2">
        <v>70</v>
      </c>
      <c r="AJ475" s="1">
        <v>1000000</v>
      </c>
      <c r="AK475" s="1">
        <v>0.9</v>
      </c>
      <c r="AL475" s="1">
        <v>85</v>
      </c>
      <c r="AM475" s="2" t="s">
        <v>52</v>
      </c>
      <c r="AN475" s="2" t="str">
        <f t="shared" si="7"/>
        <v/>
      </c>
      <c r="AO475" s="3">
        <v>474</v>
      </c>
      <c r="AP475" s="3">
        <v>135</v>
      </c>
      <c r="AQ475" s="3">
        <v>75</v>
      </c>
      <c r="AR475" s="3">
        <v>90</v>
      </c>
      <c r="AS475" s="1">
        <v>34</v>
      </c>
      <c r="AT475" s="3">
        <v>4</v>
      </c>
      <c r="AU475" s="3" t="s">
        <v>3051</v>
      </c>
    </row>
    <row r="476" spans="1:47" x14ac:dyDescent="0.3">
      <c r="A476" s="1" t="s">
        <v>1345</v>
      </c>
      <c r="B476" s="1" t="s">
        <v>1344</v>
      </c>
      <c r="C476" s="1" t="s">
        <v>216</v>
      </c>
      <c r="D476" s="1" t="s">
        <v>197</v>
      </c>
      <c r="E476" s="1" t="s">
        <v>1343</v>
      </c>
      <c r="F476" t="s">
        <v>3171</v>
      </c>
      <c r="G476" t="s">
        <v>3080</v>
      </c>
      <c r="H476" t="s">
        <v>52</v>
      </c>
      <c r="I476" t="s">
        <v>52</v>
      </c>
      <c r="J476" t="s">
        <v>52</v>
      </c>
      <c r="K476" t="s">
        <v>52</v>
      </c>
      <c r="L476" s="2">
        <v>1</v>
      </c>
      <c r="M476" s="2">
        <v>1</v>
      </c>
      <c r="N476" s="2">
        <v>1</v>
      </c>
      <c r="O476" s="2">
        <v>1</v>
      </c>
      <c r="P476" s="2">
        <v>2</v>
      </c>
      <c r="Q476" s="2">
        <v>0.5</v>
      </c>
      <c r="R476" s="2">
        <v>1</v>
      </c>
      <c r="S476" s="2">
        <v>2</v>
      </c>
      <c r="T476" s="2">
        <v>2</v>
      </c>
      <c r="U476" s="2">
        <v>1</v>
      </c>
      <c r="V476" s="2">
        <v>1</v>
      </c>
      <c r="W476" s="2">
        <v>1</v>
      </c>
      <c r="X476" s="2">
        <v>1</v>
      </c>
      <c r="Y476" s="2">
        <v>1</v>
      </c>
      <c r="Z476" s="2">
        <v>1</v>
      </c>
      <c r="AA476" s="2">
        <v>0.5</v>
      </c>
      <c r="AB476" s="2">
        <v>1</v>
      </c>
      <c r="AC476" s="2">
        <v>1</v>
      </c>
      <c r="AD476" s="2">
        <v>165</v>
      </c>
      <c r="AE476" s="2">
        <v>5120</v>
      </c>
      <c r="AF476" s="2">
        <v>35</v>
      </c>
      <c r="AG476" s="2">
        <v>618</v>
      </c>
      <c r="AH476" s="2">
        <v>45</v>
      </c>
      <c r="AI476" s="2">
        <v>95</v>
      </c>
      <c r="AJ476" s="1">
        <v>1250000</v>
      </c>
      <c r="AK476" s="1">
        <v>1.6</v>
      </c>
      <c r="AL476" s="1">
        <v>68</v>
      </c>
      <c r="AM476" s="2">
        <v>100</v>
      </c>
      <c r="AN476" s="2">
        <f t="shared" si="7"/>
        <v>0</v>
      </c>
      <c r="AO476" s="3">
        <v>475</v>
      </c>
      <c r="AP476" s="3">
        <v>65</v>
      </c>
      <c r="AQ476" s="3">
        <v>115</v>
      </c>
      <c r="AR476" s="3">
        <v>110</v>
      </c>
      <c r="AS476" s="1">
        <v>52</v>
      </c>
      <c r="AT476" s="3">
        <v>4</v>
      </c>
      <c r="AU476" s="3" t="s">
        <v>3051</v>
      </c>
    </row>
    <row r="477" spans="1:47" x14ac:dyDescent="0.3">
      <c r="A477" s="1" t="s">
        <v>1347</v>
      </c>
      <c r="B477" s="1" t="s">
        <v>1346</v>
      </c>
      <c r="C477" s="1" t="s">
        <v>243</v>
      </c>
      <c r="D477" s="1" t="s">
        <v>263</v>
      </c>
      <c r="E477" s="1" t="s">
        <v>854</v>
      </c>
      <c r="F477" t="s">
        <v>3107</v>
      </c>
      <c r="G477" t="s">
        <v>3134</v>
      </c>
      <c r="H477" t="s">
        <v>3192</v>
      </c>
      <c r="I477" t="s">
        <v>52</v>
      </c>
      <c r="J477" t="s">
        <v>52</v>
      </c>
      <c r="K477" t="s">
        <v>52</v>
      </c>
      <c r="L477" s="2">
        <v>0.5</v>
      </c>
      <c r="M477" s="2">
        <v>1</v>
      </c>
      <c r="N477" s="2">
        <v>0.5</v>
      </c>
      <c r="O477" s="2">
        <v>1</v>
      </c>
      <c r="P477" s="2">
        <v>0.5</v>
      </c>
      <c r="Q477" s="2">
        <v>4</v>
      </c>
      <c r="R477" s="2">
        <v>1</v>
      </c>
      <c r="S477" s="2">
        <v>0.25</v>
      </c>
      <c r="T477" s="2">
        <v>1</v>
      </c>
      <c r="U477" s="2">
        <v>1</v>
      </c>
      <c r="V477" s="2">
        <v>4</v>
      </c>
      <c r="W477" s="2">
        <v>0.5</v>
      </c>
      <c r="X477" s="2">
        <v>0.25</v>
      </c>
      <c r="Y477" s="2">
        <v>0</v>
      </c>
      <c r="Z477" s="2">
        <v>0.5</v>
      </c>
      <c r="AA477" s="2">
        <v>0.5</v>
      </c>
      <c r="AB477" s="2">
        <v>1</v>
      </c>
      <c r="AC477" s="2">
        <v>2</v>
      </c>
      <c r="AD477" s="2">
        <v>55</v>
      </c>
      <c r="AE477" s="2">
        <v>5120</v>
      </c>
      <c r="AF477" s="2">
        <v>70</v>
      </c>
      <c r="AG477" s="2">
        <v>525</v>
      </c>
      <c r="AH477" s="2">
        <v>60</v>
      </c>
      <c r="AI477" s="2">
        <v>145</v>
      </c>
      <c r="AJ477" s="1">
        <v>1000000</v>
      </c>
      <c r="AK477" s="1">
        <v>1.4</v>
      </c>
      <c r="AL477" s="1">
        <v>60</v>
      </c>
      <c r="AM477" s="2">
        <v>50</v>
      </c>
      <c r="AN477" s="2">
        <f t="shared" si="7"/>
        <v>50</v>
      </c>
      <c r="AO477" s="3">
        <v>476</v>
      </c>
      <c r="AP477" s="3">
        <v>75</v>
      </c>
      <c r="AQ477" s="3">
        <v>150</v>
      </c>
      <c r="AR477" s="3">
        <v>40</v>
      </c>
      <c r="AS477" s="1">
        <v>340</v>
      </c>
      <c r="AT477" s="3">
        <v>4</v>
      </c>
      <c r="AU477" s="3" t="s">
        <v>3051</v>
      </c>
    </row>
    <row r="478" spans="1:47" x14ac:dyDescent="0.3">
      <c r="A478" s="1" t="s">
        <v>1350</v>
      </c>
      <c r="B478" s="1" t="s">
        <v>1349</v>
      </c>
      <c r="C478" s="1" t="s">
        <v>293</v>
      </c>
      <c r="D478" s="1" t="s">
        <v>52</v>
      </c>
      <c r="E478" s="1" t="s">
        <v>1348</v>
      </c>
      <c r="F478" t="s">
        <v>3067</v>
      </c>
      <c r="G478" t="s">
        <v>3186</v>
      </c>
      <c r="H478" t="s">
        <v>52</v>
      </c>
      <c r="I478" t="s">
        <v>52</v>
      </c>
      <c r="J478" t="s">
        <v>52</v>
      </c>
      <c r="K478" t="s">
        <v>52</v>
      </c>
      <c r="L478" s="2">
        <v>0.5</v>
      </c>
      <c r="M478" s="2">
        <v>2</v>
      </c>
      <c r="N478" s="2">
        <v>1</v>
      </c>
      <c r="O478" s="2">
        <v>1</v>
      </c>
      <c r="P478" s="2">
        <v>1</v>
      </c>
      <c r="Q478" s="2">
        <v>0</v>
      </c>
      <c r="R478" s="2">
        <v>1</v>
      </c>
      <c r="S478" s="2">
        <v>1</v>
      </c>
      <c r="T478" s="2">
        <v>2</v>
      </c>
      <c r="U478" s="2">
        <v>1</v>
      </c>
      <c r="V478" s="2">
        <v>1</v>
      </c>
      <c r="W478" s="2">
        <v>1</v>
      </c>
      <c r="X478" s="2">
        <v>0</v>
      </c>
      <c r="Y478" s="2">
        <v>0.5</v>
      </c>
      <c r="Z478" s="2">
        <v>1</v>
      </c>
      <c r="AA478" s="2">
        <v>1</v>
      </c>
      <c r="AB478" s="2">
        <v>1</v>
      </c>
      <c r="AC478" s="2">
        <v>1</v>
      </c>
      <c r="AD478" s="2">
        <v>100</v>
      </c>
      <c r="AE478" s="2">
        <v>6400</v>
      </c>
      <c r="AF478" s="2">
        <v>35</v>
      </c>
      <c r="AG478" s="2">
        <v>525</v>
      </c>
      <c r="AH478" s="2">
        <v>45</v>
      </c>
      <c r="AI478" s="2">
        <v>135</v>
      </c>
      <c r="AJ478" s="1">
        <v>800000</v>
      </c>
      <c r="AK478" s="1">
        <v>2.2000000000000002</v>
      </c>
      <c r="AL478" s="1">
        <v>45</v>
      </c>
      <c r="AM478" s="2">
        <v>50</v>
      </c>
      <c r="AN478" s="2">
        <f t="shared" si="7"/>
        <v>50</v>
      </c>
      <c r="AO478" s="3">
        <v>477</v>
      </c>
      <c r="AP478" s="3">
        <v>65</v>
      </c>
      <c r="AQ478" s="3">
        <v>135</v>
      </c>
      <c r="AR478" s="3">
        <v>45</v>
      </c>
      <c r="AS478" s="1">
        <v>106.6</v>
      </c>
      <c r="AT478" s="3">
        <v>4</v>
      </c>
      <c r="AU478" s="3" t="s">
        <v>3051</v>
      </c>
    </row>
    <row r="479" spans="1:47" x14ac:dyDescent="0.3">
      <c r="A479" s="1" t="s">
        <v>1353</v>
      </c>
      <c r="B479" s="1" t="s">
        <v>1352</v>
      </c>
      <c r="C479" s="1" t="s">
        <v>121</v>
      </c>
      <c r="D479" s="1" t="s">
        <v>293</v>
      </c>
      <c r="E479" s="1" t="s">
        <v>1351</v>
      </c>
      <c r="F479" t="s">
        <v>3175</v>
      </c>
      <c r="G479" t="s">
        <v>3056</v>
      </c>
      <c r="H479" t="s">
        <v>52</v>
      </c>
      <c r="I479" t="s">
        <v>52</v>
      </c>
      <c r="J479" t="s">
        <v>52</v>
      </c>
      <c r="K479" t="s">
        <v>52</v>
      </c>
      <c r="L479" s="2">
        <v>0.5</v>
      </c>
      <c r="M479" s="2">
        <v>2</v>
      </c>
      <c r="N479" s="2">
        <v>1</v>
      </c>
      <c r="O479" s="2">
        <v>1</v>
      </c>
      <c r="P479" s="2">
        <v>1</v>
      </c>
      <c r="Q479" s="2">
        <v>0</v>
      </c>
      <c r="R479" s="2">
        <v>2</v>
      </c>
      <c r="S479" s="2">
        <v>1</v>
      </c>
      <c r="T479" s="2">
        <v>2</v>
      </c>
      <c r="U479" s="2">
        <v>1</v>
      </c>
      <c r="V479" s="2">
        <v>1</v>
      </c>
      <c r="W479" s="2">
        <v>0.5</v>
      </c>
      <c r="X479" s="2">
        <v>0</v>
      </c>
      <c r="Y479" s="2">
        <v>0.5</v>
      </c>
      <c r="Z479" s="2">
        <v>1</v>
      </c>
      <c r="AA479" s="2">
        <v>2</v>
      </c>
      <c r="AB479" s="2">
        <v>2</v>
      </c>
      <c r="AC479" s="2">
        <v>1</v>
      </c>
      <c r="AD479" s="2">
        <v>80</v>
      </c>
      <c r="AE479" s="2">
        <v>5120</v>
      </c>
      <c r="AF479" s="2">
        <v>70</v>
      </c>
      <c r="AG479" s="2">
        <v>480</v>
      </c>
      <c r="AH479" s="2">
        <v>75</v>
      </c>
      <c r="AI479" s="2">
        <v>70</v>
      </c>
      <c r="AJ479" s="1">
        <v>1000000</v>
      </c>
      <c r="AK479" s="1">
        <v>1.3</v>
      </c>
      <c r="AL479" s="1">
        <v>70</v>
      </c>
      <c r="AM479" s="2">
        <v>0</v>
      </c>
      <c r="AN479" s="2">
        <f t="shared" si="7"/>
        <v>100</v>
      </c>
      <c r="AO479" s="3">
        <v>478</v>
      </c>
      <c r="AP479" s="3">
        <v>80</v>
      </c>
      <c r="AQ479" s="3">
        <v>70</v>
      </c>
      <c r="AR479" s="3">
        <v>110</v>
      </c>
      <c r="AS479" s="1">
        <v>26.6</v>
      </c>
      <c r="AT479" s="3">
        <v>4</v>
      </c>
      <c r="AU479" s="3" t="s">
        <v>3051</v>
      </c>
    </row>
    <row r="480" spans="1:47" x14ac:dyDescent="0.3">
      <c r="A480" s="1" t="s">
        <v>1356</v>
      </c>
      <c r="B480" s="1" t="s">
        <v>1355</v>
      </c>
      <c r="C480" s="1" t="s">
        <v>115</v>
      </c>
      <c r="D480" s="1" t="s">
        <v>293</v>
      </c>
      <c r="E480" s="1" t="s">
        <v>1354</v>
      </c>
      <c r="F480" t="s">
        <v>3055</v>
      </c>
      <c r="G480" t="s">
        <v>52</v>
      </c>
      <c r="H480" t="s">
        <v>52</v>
      </c>
      <c r="I480" t="s">
        <v>52</v>
      </c>
      <c r="J480" t="s">
        <v>52</v>
      </c>
      <c r="K480" t="s">
        <v>52</v>
      </c>
      <c r="L480" s="2">
        <v>0.5</v>
      </c>
      <c r="M480" s="2">
        <v>2</v>
      </c>
      <c r="N480" s="2">
        <v>1</v>
      </c>
      <c r="O480" s="2">
        <v>0.5</v>
      </c>
      <c r="P480" s="2">
        <v>1</v>
      </c>
      <c r="Q480" s="2">
        <v>0</v>
      </c>
      <c r="R480" s="2">
        <v>1</v>
      </c>
      <c r="S480" s="2">
        <v>0.5</v>
      </c>
      <c r="T480" s="2">
        <v>2</v>
      </c>
      <c r="U480" s="2">
        <v>1</v>
      </c>
      <c r="V480" s="2">
        <v>2</v>
      </c>
      <c r="W480" s="2">
        <v>1</v>
      </c>
      <c r="X480" s="2">
        <v>0</v>
      </c>
      <c r="Y480" s="2">
        <v>0.5</v>
      </c>
      <c r="Z480" s="2">
        <v>1</v>
      </c>
      <c r="AA480" s="2">
        <v>1</v>
      </c>
      <c r="AB480" s="2">
        <v>0.5</v>
      </c>
      <c r="AC480" s="2">
        <v>1</v>
      </c>
      <c r="AD480" s="2">
        <v>65</v>
      </c>
      <c r="AE480" s="2">
        <v>5120</v>
      </c>
      <c r="AF480" s="2">
        <v>70</v>
      </c>
      <c r="AG480" s="2">
        <v>520</v>
      </c>
      <c r="AH480" s="2">
        <v>45</v>
      </c>
      <c r="AI480" s="2">
        <v>107</v>
      </c>
      <c r="AJ480" s="1">
        <v>1000000</v>
      </c>
      <c r="AK480" s="1">
        <v>0.3</v>
      </c>
      <c r="AL480" s="1">
        <v>50</v>
      </c>
      <c r="AM480" s="2" t="s">
        <v>52</v>
      </c>
      <c r="AN480" s="2" t="str">
        <f t="shared" si="7"/>
        <v/>
      </c>
      <c r="AO480" s="3">
        <v>479</v>
      </c>
      <c r="AP480" s="3">
        <v>105</v>
      </c>
      <c r="AQ480" s="3">
        <v>107</v>
      </c>
      <c r="AR480" s="3">
        <v>86</v>
      </c>
      <c r="AS480" s="1">
        <v>0.3</v>
      </c>
      <c r="AT480" s="3">
        <v>4</v>
      </c>
      <c r="AU480" s="3" t="s">
        <v>3051</v>
      </c>
    </row>
    <row r="481" spans="1:47" x14ac:dyDescent="0.3">
      <c r="A481" s="1" t="s">
        <v>1359</v>
      </c>
      <c r="B481" s="1" t="s">
        <v>1358</v>
      </c>
      <c r="C481" s="1" t="s">
        <v>216</v>
      </c>
      <c r="D481" s="1" t="s">
        <v>52</v>
      </c>
      <c r="E481" s="1" t="s">
        <v>1357</v>
      </c>
      <c r="F481" t="s">
        <v>3055</v>
      </c>
      <c r="G481" t="s">
        <v>52</v>
      </c>
      <c r="H481" t="s">
        <v>52</v>
      </c>
      <c r="I481" t="s">
        <v>52</v>
      </c>
      <c r="J481" t="s">
        <v>52</v>
      </c>
      <c r="K481" t="s">
        <v>52</v>
      </c>
      <c r="L481" s="2">
        <v>2</v>
      </c>
      <c r="M481" s="2">
        <v>2</v>
      </c>
      <c r="N481" s="2">
        <v>1</v>
      </c>
      <c r="O481" s="2">
        <v>1</v>
      </c>
      <c r="P481" s="2">
        <v>1</v>
      </c>
      <c r="Q481" s="2">
        <v>0.5</v>
      </c>
      <c r="R481" s="2">
        <v>1</v>
      </c>
      <c r="S481" s="2">
        <v>1</v>
      </c>
      <c r="T481" s="2">
        <v>2</v>
      </c>
      <c r="U481" s="2">
        <v>1</v>
      </c>
      <c r="V481" s="2">
        <v>1</v>
      </c>
      <c r="W481" s="2">
        <v>1</v>
      </c>
      <c r="X481" s="2">
        <v>1</v>
      </c>
      <c r="Y481" s="2">
        <v>1</v>
      </c>
      <c r="Z481" s="2">
        <v>0.5</v>
      </c>
      <c r="AA481" s="2">
        <v>1</v>
      </c>
      <c r="AB481" s="2">
        <v>1</v>
      </c>
      <c r="AC481" s="2">
        <v>1</v>
      </c>
      <c r="AD481" s="2">
        <v>75</v>
      </c>
      <c r="AE481" s="2">
        <v>20480</v>
      </c>
      <c r="AF481" s="2">
        <v>140</v>
      </c>
      <c r="AG481" s="2">
        <v>580</v>
      </c>
      <c r="AH481" s="2">
        <v>3</v>
      </c>
      <c r="AI481" s="2">
        <v>130</v>
      </c>
      <c r="AJ481" s="1">
        <v>1250000</v>
      </c>
      <c r="AK481" s="1">
        <v>0.3</v>
      </c>
      <c r="AL481" s="1">
        <v>75</v>
      </c>
      <c r="AM481" s="2" t="s">
        <v>52</v>
      </c>
      <c r="AN481" s="2" t="str">
        <f t="shared" si="7"/>
        <v/>
      </c>
      <c r="AO481" s="3">
        <v>480</v>
      </c>
      <c r="AP481" s="3">
        <v>75</v>
      </c>
      <c r="AQ481" s="3">
        <v>130</v>
      </c>
      <c r="AR481" s="3">
        <v>95</v>
      </c>
      <c r="AS481" s="1">
        <v>0.3</v>
      </c>
      <c r="AT481" s="3">
        <v>4</v>
      </c>
      <c r="AU481" s="3" t="s">
        <v>3052</v>
      </c>
    </row>
    <row r="482" spans="1:47" x14ac:dyDescent="0.3">
      <c r="A482" s="1" t="s">
        <v>1361</v>
      </c>
      <c r="B482" s="1" t="s">
        <v>1360</v>
      </c>
      <c r="C482" s="1" t="s">
        <v>216</v>
      </c>
      <c r="D482" s="1" t="s">
        <v>52</v>
      </c>
      <c r="E482" s="1" t="s">
        <v>802</v>
      </c>
      <c r="F482" t="s">
        <v>3055</v>
      </c>
      <c r="G482" t="s">
        <v>52</v>
      </c>
      <c r="H482" t="s">
        <v>52</v>
      </c>
      <c r="I482" t="s">
        <v>52</v>
      </c>
      <c r="J482" t="s">
        <v>52</v>
      </c>
      <c r="K482" t="s">
        <v>52</v>
      </c>
      <c r="L482" s="2">
        <v>2</v>
      </c>
      <c r="M482" s="2">
        <v>2</v>
      </c>
      <c r="N482" s="2">
        <v>1</v>
      </c>
      <c r="O482" s="2">
        <v>1</v>
      </c>
      <c r="P482" s="2">
        <v>1</v>
      </c>
      <c r="Q482" s="2">
        <v>0.5</v>
      </c>
      <c r="R482" s="2">
        <v>1</v>
      </c>
      <c r="S482" s="2">
        <v>1</v>
      </c>
      <c r="T482" s="2">
        <v>2</v>
      </c>
      <c r="U482" s="2">
        <v>1</v>
      </c>
      <c r="V482" s="2">
        <v>1</v>
      </c>
      <c r="W482" s="2">
        <v>1</v>
      </c>
      <c r="X482" s="2">
        <v>1</v>
      </c>
      <c r="Y482" s="2">
        <v>1</v>
      </c>
      <c r="Z482" s="2">
        <v>0.5</v>
      </c>
      <c r="AA482" s="2">
        <v>1</v>
      </c>
      <c r="AB482" s="2">
        <v>1</v>
      </c>
      <c r="AC482" s="2">
        <v>1</v>
      </c>
      <c r="AD482" s="2">
        <v>105</v>
      </c>
      <c r="AE482" s="2">
        <v>20480</v>
      </c>
      <c r="AF482" s="2">
        <v>140</v>
      </c>
      <c r="AG482" s="2">
        <v>580</v>
      </c>
      <c r="AH482" s="2">
        <v>3</v>
      </c>
      <c r="AI482" s="2">
        <v>105</v>
      </c>
      <c r="AJ482" s="1">
        <v>1250000</v>
      </c>
      <c r="AK482" s="1">
        <v>0.3</v>
      </c>
      <c r="AL482" s="1">
        <v>80</v>
      </c>
      <c r="AM482" s="2" t="s">
        <v>52</v>
      </c>
      <c r="AN482" s="2" t="str">
        <f t="shared" si="7"/>
        <v/>
      </c>
      <c r="AO482" s="3">
        <v>481</v>
      </c>
      <c r="AP482" s="3">
        <v>105</v>
      </c>
      <c r="AQ482" s="3">
        <v>105</v>
      </c>
      <c r="AR482" s="3">
        <v>80</v>
      </c>
      <c r="AS482" s="1">
        <v>0.3</v>
      </c>
      <c r="AT482" s="3">
        <v>4</v>
      </c>
      <c r="AU482" s="3" t="s">
        <v>3052</v>
      </c>
    </row>
    <row r="483" spans="1:47" x14ac:dyDescent="0.3">
      <c r="A483" s="1" t="s">
        <v>1364</v>
      </c>
      <c r="B483" s="1" t="s">
        <v>1363</v>
      </c>
      <c r="C483" s="1" t="s">
        <v>216</v>
      </c>
      <c r="D483" s="1" t="s">
        <v>52</v>
      </c>
      <c r="E483" s="1" t="s">
        <v>1362</v>
      </c>
      <c r="F483" t="s">
        <v>3055</v>
      </c>
      <c r="G483" t="s">
        <v>52</v>
      </c>
      <c r="H483" t="s">
        <v>52</v>
      </c>
      <c r="I483" t="s">
        <v>52</v>
      </c>
      <c r="J483" t="s">
        <v>52</v>
      </c>
      <c r="K483" t="s">
        <v>52</v>
      </c>
      <c r="L483" s="2">
        <v>2</v>
      </c>
      <c r="M483" s="2">
        <v>2</v>
      </c>
      <c r="N483" s="2">
        <v>1</v>
      </c>
      <c r="O483" s="2">
        <v>1</v>
      </c>
      <c r="P483" s="2">
        <v>1</v>
      </c>
      <c r="Q483" s="2">
        <v>0.5</v>
      </c>
      <c r="R483" s="2">
        <v>1</v>
      </c>
      <c r="S483" s="2">
        <v>1</v>
      </c>
      <c r="T483" s="2">
        <v>2</v>
      </c>
      <c r="U483" s="2">
        <v>1</v>
      </c>
      <c r="V483" s="2">
        <v>1</v>
      </c>
      <c r="W483" s="2">
        <v>1</v>
      </c>
      <c r="X483" s="2">
        <v>1</v>
      </c>
      <c r="Y483" s="2">
        <v>1</v>
      </c>
      <c r="Z483" s="2">
        <v>0.5</v>
      </c>
      <c r="AA483" s="2">
        <v>1</v>
      </c>
      <c r="AB483" s="2">
        <v>1</v>
      </c>
      <c r="AC483" s="2">
        <v>1</v>
      </c>
      <c r="AD483" s="2">
        <v>125</v>
      </c>
      <c r="AE483" s="2">
        <v>20480</v>
      </c>
      <c r="AF483" s="2">
        <v>140</v>
      </c>
      <c r="AG483" s="2">
        <v>580</v>
      </c>
      <c r="AH483" s="2">
        <v>3</v>
      </c>
      <c r="AI483" s="2">
        <v>70</v>
      </c>
      <c r="AJ483" s="1">
        <v>1250000</v>
      </c>
      <c r="AK483" s="1">
        <v>0.3</v>
      </c>
      <c r="AL483" s="1">
        <v>75</v>
      </c>
      <c r="AM483" s="2" t="s">
        <v>52</v>
      </c>
      <c r="AN483" s="2" t="str">
        <f t="shared" si="7"/>
        <v/>
      </c>
      <c r="AO483" s="3">
        <v>482</v>
      </c>
      <c r="AP483" s="3">
        <v>125</v>
      </c>
      <c r="AQ483" s="3">
        <v>70</v>
      </c>
      <c r="AR483" s="3">
        <v>115</v>
      </c>
      <c r="AS483" s="1">
        <v>0.3</v>
      </c>
      <c r="AT483" s="3">
        <v>4</v>
      </c>
      <c r="AU483" s="3" t="s">
        <v>3052</v>
      </c>
    </row>
    <row r="484" spans="1:47" x14ac:dyDescent="0.3">
      <c r="A484" s="1" t="s">
        <v>1367</v>
      </c>
      <c r="B484" s="1" t="s">
        <v>1366</v>
      </c>
      <c r="C484" s="1" t="s">
        <v>263</v>
      </c>
      <c r="D484" s="1" t="s">
        <v>443</v>
      </c>
      <c r="E484" s="1" t="s">
        <v>1365</v>
      </c>
      <c r="F484" t="s">
        <v>3067</v>
      </c>
      <c r="G484" t="s">
        <v>3189</v>
      </c>
      <c r="H484" t="s">
        <v>52</v>
      </c>
      <c r="I484" t="s">
        <v>52</v>
      </c>
      <c r="J484" t="s">
        <v>52</v>
      </c>
      <c r="K484" t="s">
        <v>52</v>
      </c>
      <c r="L484" s="2">
        <v>0.5</v>
      </c>
      <c r="M484" s="2">
        <v>1</v>
      </c>
      <c r="N484" s="2">
        <v>1</v>
      </c>
      <c r="O484" s="2">
        <v>0.5</v>
      </c>
      <c r="P484" s="2">
        <v>1</v>
      </c>
      <c r="Q484" s="2">
        <v>2</v>
      </c>
      <c r="R484" s="2">
        <v>1</v>
      </c>
      <c r="S484" s="2">
        <v>0.5</v>
      </c>
      <c r="T484" s="2">
        <v>1</v>
      </c>
      <c r="U484" s="2">
        <v>0.25</v>
      </c>
      <c r="V484" s="2">
        <v>2</v>
      </c>
      <c r="W484" s="2">
        <v>1</v>
      </c>
      <c r="X484" s="2">
        <v>0.5</v>
      </c>
      <c r="Y484" s="2">
        <v>0</v>
      </c>
      <c r="Z484" s="2">
        <v>0.5</v>
      </c>
      <c r="AA484" s="2">
        <v>0.5</v>
      </c>
      <c r="AB484" s="2">
        <v>0.5</v>
      </c>
      <c r="AC484" s="2">
        <v>0.5</v>
      </c>
      <c r="AD484" s="2">
        <v>120</v>
      </c>
      <c r="AE484" s="2">
        <v>30720</v>
      </c>
      <c r="AF484" s="2">
        <v>0</v>
      </c>
      <c r="AG484" s="2">
        <v>680</v>
      </c>
      <c r="AH484" s="2">
        <v>3</v>
      </c>
      <c r="AI484" s="2">
        <v>120</v>
      </c>
      <c r="AJ484" s="1">
        <v>1250000</v>
      </c>
      <c r="AK484" s="1">
        <v>5.4</v>
      </c>
      <c r="AL484" s="1">
        <v>100</v>
      </c>
      <c r="AM484" s="2" t="s">
        <v>52</v>
      </c>
      <c r="AN484" s="2" t="str">
        <f t="shared" si="7"/>
        <v/>
      </c>
      <c r="AO484" s="3">
        <v>483</v>
      </c>
      <c r="AP484" s="3">
        <v>150</v>
      </c>
      <c r="AQ484" s="3">
        <v>100</v>
      </c>
      <c r="AR484" s="3">
        <v>90</v>
      </c>
      <c r="AS484" s="1">
        <v>683</v>
      </c>
      <c r="AT484" s="3">
        <v>4</v>
      </c>
      <c r="AU484" s="3" t="s">
        <v>3052</v>
      </c>
    </row>
    <row r="485" spans="1:47" x14ac:dyDescent="0.3">
      <c r="A485" s="1" t="s">
        <v>1370</v>
      </c>
      <c r="B485" s="1" t="s">
        <v>1369</v>
      </c>
      <c r="C485" s="1" t="s">
        <v>62</v>
      </c>
      <c r="D485" s="1" t="s">
        <v>443</v>
      </c>
      <c r="E485" s="1" t="s">
        <v>1368</v>
      </c>
      <c r="F485" t="s">
        <v>3067</v>
      </c>
      <c r="G485" t="s">
        <v>3189</v>
      </c>
      <c r="H485" t="s">
        <v>52</v>
      </c>
      <c r="I485" t="s">
        <v>52</v>
      </c>
      <c r="J485" t="s">
        <v>52</v>
      </c>
      <c r="K485" t="s">
        <v>52</v>
      </c>
      <c r="L485" s="2">
        <v>1</v>
      </c>
      <c r="M485" s="2">
        <v>1</v>
      </c>
      <c r="N485" s="2">
        <v>2</v>
      </c>
      <c r="O485" s="2">
        <v>1</v>
      </c>
      <c r="P485" s="2">
        <v>2</v>
      </c>
      <c r="Q485" s="2">
        <v>1</v>
      </c>
      <c r="R485" s="2">
        <v>0.25</v>
      </c>
      <c r="S485" s="2">
        <v>1</v>
      </c>
      <c r="T485" s="2">
        <v>1</v>
      </c>
      <c r="U485" s="2">
        <v>1</v>
      </c>
      <c r="V485" s="2">
        <v>1</v>
      </c>
      <c r="W485" s="2">
        <v>1</v>
      </c>
      <c r="X485" s="2">
        <v>1</v>
      </c>
      <c r="Y485" s="2">
        <v>1</v>
      </c>
      <c r="Z485" s="2">
        <v>1</v>
      </c>
      <c r="AA485" s="2">
        <v>1</v>
      </c>
      <c r="AB485" s="2">
        <v>0.5</v>
      </c>
      <c r="AC485" s="2">
        <v>0.25</v>
      </c>
      <c r="AD485" s="2">
        <v>120</v>
      </c>
      <c r="AE485" s="2">
        <v>30720</v>
      </c>
      <c r="AF485" s="2">
        <v>0</v>
      </c>
      <c r="AG485" s="2">
        <v>680</v>
      </c>
      <c r="AH485" s="2">
        <v>3</v>
      </c>
      <c r="AI485" s="2">
        <v>100</v>
      </c>
      <c r="AJ485" s="1">
        <v>1250000</v>
      </c>
      <c r="AK485" s="1">
        <v>4.2</v>
      </c>
      <c r="AL485" s="1">
        <v>90</v>
      </c>
      <c r="AM485" s="2" t="s">
        <v>52</v>
      </c>
      <c r="AN485" s="2" t="str">
        <f t="shared" si="7"/>
        <v/>
      </c>
      <c r="AO485" s="3">
        <v>484</v>
      </c>
      <c r="AP485" s="3">
        <v>150</v>
      </c>
      <c r="AQ485" s="3">
        <v>120</v>
      </c>
      <c r="AR485" s="3">
        <v>100</v>
      </c>
      <c r="AS485" s="1">
        <v>336</v>
      </c>
      <c r="AT485" s="3">
        <v>4</v>
      </c>
      <c r="AU485" s="3" t="s">
        <v>3052</v>
      </c>
    </row>
    <row r="486" spans="1:47" x14ac:dyDescent="0.3">
      <c r="A486" s="1" t="s">
        <v>1373</v>
      </c>
      <c r="B486" s="1" t="s">
        <v>1372</v>
      </c>
      <c r="C486" s="1" t="s">
        <v>51</v>
      </c>
      <c r="D486" s="1" t="s">
        <v>263</v>
      </c>
      <c r="E486" s="1" t="s">
        <v>1371</v>
      </c>
      <c r="F486" t="s">
        <v>3125</v>
      </c>
      <c r="G486" t="s">
        <v>3145</v>
      </c>
      <c r="H486" t="s">
        <v>52</v>
      </c>
      <c r="I486" t="s">
        <v>52</v>
      </c>
      <c r="J486" t="s">
        <v>52</v>
      </c>
      <c r="K486" t="s">
        <v>52</v>
      </c>
      <c r="L486" s="2">
        <v>0.25</v>
      </c>
      <c r="M486" s="2">
        <v>1</v>
      </c>
      <c r="N486" s="2">
        <v>0.5</v>
      </c>
      <c r="O486" s="2">
        <v>1</v>
      </c>
      <c r="P486" s="2">
        <v>0.25</v>
      </c>
      <c r="Q486" s="2">
        <v>2</v>
      </c>
      <c r="R486" s="2">
        <v>1</v>
      </c>
      <c r="S486" s="2">
        <v>0.5</v>
      </c>
      <c r="T486" s="2">
        <v>1</v>
      </c>
      <c r="U486" s="2">
        <v>0.25</v>
      </c>
      <c r="V486" s="2">
        <v>4</v>
      </c>
      <c r="W486" s="2">
        <v>0.25</v>
      </c>
      <c r="X486" s="2">
        <v>0.5</v>
      </c>
      <c r="Y486" s="2">
        <v>0</v>
      </c>
      <c r="Z486" s="2">
        <v>0.5</v>
      </c>
      <c r="AA486" s="2">
        <v>1</v>
      </c>
      <c r="AB486" s="2">
        <v>0.25</v>
      </c>
      <c r="AC486" s="2">
        <v>2</v>
      </c>
      <c r="AD486" s="2">
        <v>90</v>
      </c>
      <c r="AE486" s="2">
        <v>2560</v>
      </c>
      <c r="AF486" s="2">
        <v>100</v>
      </c>
      <c r="AG486" s="2">
        <v>600</v>
      </c>
      <c r="AH486" s="2">
        <v>3</v>
      </c>
      <c r="AI486" s="2">
        <v>106</v>
      </c>
      <c r="AJ486" s="1">
        <v>1250000</v>
      </c>
      <c r="AK486" s="1">
        <v>1.7</v>
      </c>
      <c r="AL486" s="1">
        <v>91</v>
      </c>
      <c r="AM486" s="2">
        <v>50</v>
      </c>
      <c r="AN486" s="2">
        <f t="shared" si="7"/>
        <v>50</v>
      </c>
      <c r="AO486" s="3">
        <v>485</v>
      </c>
      <c r="AP486" s="3">
        <v>130</v>
      </c>
      <c r="AQ486" s="3">
        <v>106</v>
      </c>
      <c r="AR486" s="3">
        <v>77</v>
      </c>
      <c r="AS486" s="1">
        <v>430</v>
      </c>
      <c r="AT486" s="3">
        <v>4</v>
      </c>
      <c r="AU486" s="3" t="s">
        <v>3052</v>
      </c>
    </row>
    <row r="487" spans="1:47" x14ac:dyDescent="0.3">
      <c r="A487" s="1" t="s">
        <v>1376</v>
      </c>
      <c r="B487" s="1" t="s">
        <v>1375</v>
      </c>
      <c r="C487" s="1" t="s">
        <v>90</v>
      </c>
      <c r="D487" s="1" t="s">
        <v>52</v>
      </c>
      <c r="E487" s="1" t="s">
        <v>1374</v>
      </c>
      <c r="F487" t="s">
        <v>3070</v>
      </c>
      <c r="G487" t="s">
        <v>52</v>
      </c>
      <c r="H487" t="s">
        <v>52</v>
      </c>
      <c r="I487" t="s">
        <v>52</v>
      </c>
      <c r="J487" t="s">
        <v>52</v>
      </c>
      <c r="K487" t="s">
        <v>52</v>
      </c>
      <c r="L487" s="2">
        <v>1</v>
      </c>
      <c r="M487" s="2">
        <v>1</v>
      </c>
      <c r="N487" s="2">
        <v>1</v>
      </c>
      <c r="O487" s="2">
        <v>1</v>
      </c>
      <c r="P487" s="2">
        <v>1</v>
      </c>
      <c r="Q487" s="2">
        <v>2</v>
      </c>
      <c r="R487" s="2">
        <v>1</v>
      </c>
      <c r="S487" s="2">
        <v>1</v>
      </c>
      <c r="T487" s="2">
        <v>0</v>
      </c>
      <c r="U487" s="2">
        <v>1</v>
      </c>
      <c r="V487" s="2">
        <v>1</v>
      </c>
      <c r="W487" s="2">
        <v>1</v>
      </c>
      <c r="X487" s="2">
        <v>1</v>
      </c>
      <c r="Y487" s="2">
        <v>1</v>
      </c>
      <c r="Z487" s="2">
        <v>1</v>
      </c>
      <c r="AA487" s="2">
        <v>1</v>
      </c>
      <c r="AB487" s="2">
        <v>1</v>
      </c>
      <c r="AC487" s="2">
        <v>1</v>
      </c>
      <c r="AD487" s="2">
        <v>160</v>
      </c>
      <c r="AE487" s="2">
        <v>30720</v>
      </c>
      <c r="AF487" s="2">
        <v>0</v>
      </c>
      <c r="AG487" s="2">
        <v>670</v>
      </c>
      <c r="AH487" s="2">
        <v>3</v>
      </c>
      <c r="AI487" s="2">
        <v>110</v>
      </c>
      <c r="AJ487" s="1">
        <v>1250000</v>
      </c>
      <c r="AK487" s="1">
        <v>3.7</v>
      </c>
      <c r="AL487" s="1">
        <v>110</v>
      </c>
      <c r="AM487" s="2" t="s">
        <v>52</v>
      </c>
      <c r="AN487" s="2" t="str">
        <f t="shared" si="7"/>
        <v/>
      </c>
      <c r="AO487" s="3">
        <v>486</v>
      </c>
      <c r="AP487" s="3">
        <v>80</v>
      </c>
      <c r="AQ487" s="3">
        <v>110</v>
      </c>
      <c r="AR487" s="3">
        <v>100</v>
      </c>
      <c r="AS487" s="1">
        <v>420</v>
      </c>
      <c r="AT487" s="3">
        <v>4</v>
      </c>
      <c r="AU487" s="3" t="s">
        <v>3052</v>
      </c>
    </row>
    <row r="488" spans="1:47" x14ac:dyDescent="0.3">
      <c r="A488" s="1" t="s">
        <v>1379</v>
      </c>
      <c r="B488" s="1" t="s">
        <v>1378</v>
      </c>
      <c r="C488" s="1" t="s">
        <v>293</v>
      </c>
      <c r="D488" s="1" t="s">
        <v>443</v>
      </c>
      <c r="E488" s="1" t="s">
        <v>1377</v>
      </c>
      <c r="F488" t="s">
        <v>3067</v>
      </c>
      <c r="G488" t="s">
        <v>3189</v>
      </c>
      <c r="H488" t="s">
        <v>3055</v>
      </c>
      <c r="I488" t="s">
        <v>52</v>
      </c>
      <c r="J488" t="s">
        <v>52</v>
      </c>
      <c r="K488" t="s">
        <v>52</v>
      </c>
      <c r="L488" s="2">
        <v>0.5</v>
      </c>
      <c r="M488" s="2">
        <v>2</v>
      </c>
      <c r="N488" s="2">
        <v>2</v>
      </c>
      <c r="O488" s="2">
        <v>0.5</v>
      </c>
      <c r="P488" s="2">
        <v>2</v>
      </c>
      <c r="Q488" s="2">
        <v>0</v>
      </c>
      <c r="R488" s="2">
        <v>0.5</v>
      </c>
      <c r="S488" s="2">
        <v>1</v>
      </c>
      <c r="T488" s="2">
        <v>2</v>
      </c>
      <c r="U488" s="2">
        <v>0.5</v>
      </c>
      <c r="V488" s="2">
        <v>1</v>
      </c>
      <c r="W488" s="2">
        <v>2</v>
      </c>
      <c r="X488" s="2">
        <v>0</v>
      </c>
      <c r="Y488" s="2">
        <v>0.5</v>
      </c>
      <c r="Z488" s="2">
        <v>1</v>
      </c>
      <c r="AA488" s="2">
        <v>1</v>
      </c>
      <c r="AB488" s="2">
        <v>1</v>
      </c>
      <c r="AC488" s="2">
        <v>0.5</v>
      </c>
      <c r="AD488" s="2">
        <v>120</v>
      </c>
      <c r="AE488" s="2">
        <v>30720</v>
      </c>
      <c r="AF488" s="2">
        <v>0</v>
      </c>
      <c r="AG488" s="2">
        <v>680</v>
      </c>
      <c r="AH488" s="2">
        <v>3</v>
      </c>
      <c r="AI488" s="2">
        <v>100</v>
      </c>
      <c r="AJ488" s="1">
        <v>1250000</v>
      </c>
      <c r="AK488" s="1">
        <v>4.5</v>
      </c>
      <c r="AL488" s="1">
        <v>150</v>
      </c>
      <c r="AM488" s="2" t="s">
        <v>52</v>
      </c>
      <c r="AN488" s="2" t="str">
        <f t="shared" si="7"/>
        <v/>
      </c>
      <c r="AO488" s="3">
        <v>487</v>
      </c>
      <c r="AP488" s="3">
        <v>120</v>
      </c>
      <c r="AQ488" s="3">
        <v>100</v>
      </c>
      <c r="AR488" s="3">
        <v>90</v>
      </c>
      <c r="AS488" s="1">
        <v>750</v>
      </c>
      <c r="AT488" s="3">
        <v>4</v>
      </c>
      <c r="AU488" s="3" t="s">
        <v>3052</v>
      </c>
    </row>
    <row r="489" spans="1:47" x14ac:dyDescent="0.3">
      <c r="A489" s="1" t="s">
        <v>1382</v>
      </c>
      <c r="B489" s="1" t="s">
        <v>1381</v>
      </c>
      <c r="C489" s="1" t="s">
        <v>216</v>
      </c>
      <c r="D489" s="1" t="s">
        <v>52</v>
      </c>
      <c r="E489" s="1" t="s">
        <v>1380</v>
      </c>
      <c r="F489" t="s">
        <v>3055</v>
      </c>
      <c r="G489" t="s">
        <v>52</v>
      </c>
      <c r="H489" t="s">
        <v>52</v>
      </c>
      <c r="I489" t="s">
        <v>52</v>
      </c>
      <c r="J489" t="s">
        <v>52</v>
      </c>
      <c r="K489" t="s">
        <v>52</v>
      </c>
      <c r="L489" s="2">
        <v>2</v>
      </c>
      <c r="M489" s="2">
        <v>2</v>
      </c>
      <c r="N489" s="2">
        <v>1</v>
      </c>
      <c r="O489" s="2">
        <v>1</v>
      </c>
      <c r="P489" s="2">
        <v>1</v>
      </c>
      <c r="Q489" s="2">
        <v>0.5</v>
      </c>
      <c r="R489" s="2">
        <v>1</v>
      </c>
      <c r="S489" s="2">
        <v>1</v>
      </c>
      <c r="T489" s="2">
        <v>2</v>
      </c>
      <c r="U489" s="2">
        <v>1</v>
      </c>
      <c r="V489" s="2">
        <v>1</v>
      </c>
      <c r="W489" s="2">
        <v>1</v>
      </c>
      <c r="X489" s="2">
        <v>1</v>
      </c>
      <c r="Y489" s="2">
        <v>1</v>
      </c>
      <c r="Z489" s="2">
        <v>0.5</v>
      </c>
      <c r="AA489" s="2">
        <v>1</v>
      </c>
      <c r="AB489" s="2">
        <v>1</v>
      </c>
      <c r="AC489" s="2">
        <v>1</v>
      </c>
      <c r="AD489" s="2">
        <v>70</v>
      </c>
      <c r="AE489" s="2">
        <v>30720</v>
      </c>
      <c r="AF489" s="2">
        <v>100</v>
      </c>
      <c r="AG489" s="2">
        <v>600</v>
      </c>
      <c r="AH489" s="2">
        <v>3</v>
      </c>
      <c r="AI489" s="2">
        <v>120</v>
      </c>
      <c r="AJ489" s="1">
        <v>1250000</v>
      </c>
      <c r="AK489" s="1">
        <v>1.5</v>
      </c>
      <c r="AL489" s="1">
        <v>120</v>
      </c>
      <c r="AM489" s="2">
        <v>0</v>
      </c>
      <c r="AN489" s="2">
        <f t="shared" si="7"/>
        <v>100</v>
      </c>
      <c r="AO489" s="3">
        <v>488</v>
      </c>
      <c r="AP489" s="3">
        <v>75</v>
      </c>
      <c r="AQ489" s="3">
        <v>130</v>
      </c>
      <c r="AR489" s="3">
        <v>85</v>
      </c>
      <c r="AS489" s="1">
        <v>85.6</v>
      </c>
      <c r="AT489" s="3">
        <v>4</v>
      </c>
      <c r="AU489" s="3" t="s">
        <v>3052</v>
      </c>
    </row>
    <row r="490" spans="1:47" x14ac:dyDescent="0.3">
      <c r="A490" s="1" t="s">
        <v>1385</v>
      </c>
      <c r="B490" s="1" t="s">
        <v>1384</v>
      </c>
      <c r="C490" s="1" t="s">
        <v>62</v>
      </c>
      <c r="D490" s="1" t="s">
        <v>52</v>
      </c>
      <c r="E490" s="1" t="s">
        <v>1383</v>
      </c>
      <c r="F490" t="s">
        <v>3071</v>
      </c>
      <c r="G490" t="s">
        <v>52</v>
      </c>
      <c r="H490" t="s">
        <v>52</v>
      </c>
      <c r="I490" t="s">
        <v>52</v>
      </c>
      <c r="J490" t="s">
        <v>52</v>
      </c>
      <c r="K490" t="s">
        <v>52</v>
      </c>
      <c r="L490" s="2">
        <v>1</v>
      </c>
      <c r="M490" s="2">
        <v>1</v>
      </c>
      <c r="N490" s="2">
        <v>1</v>
      </c>
      <c r="O490" s="2">
        <v>2</v>
      </c>
      <c r="P490" s="2">
        <v>1</v>
      </c>
      <c r="Q490" s="2">
        <v>1</v>
      </c>
      <c r="R490" s="2">
        <v>0.5</v>
      </c>
      <c r="S490" s="2">
        <v>1</v>
      </c>
      <c r="T490" s="2">
        <v>1</v>
      </c>
      <c r="U490" s="2">
        <v>2</v>
      </c>
      <c r="V490" s="2">
        <v>1</v>
      </c>
      <c r="W490" s="2">
        <v>0.5</v>
      </c>
      <c r="X490" s="2">
        <v>1</v>
      </c>
      <c r="Y490" s="2">
        <v>1</v>
      </c>
      <c r="Z490" s="2">
        <v>1</v>
      </c>
      <c r="AA490" s="2">
        <v>1</v>
      </c>
      <c r="AB490" s="2">
        <v>0.5</v>
      </c>
      <c r="AC490" s="2">
        <v>0.5</v>
      </c>
      <c r="AD490" s="2">
        <v>80</v>
      </c>
      <c r="AE490" s="2">
        <v>10240</v>
      </c>
      <c r="AF490" s="2">
        <v>70</v>
      </c>
      <c r="AG490" s="2">
        <v>480</v>
      </c>
      <c r="AH490" s="2">
        <v>30</v>
      </c>
      <c r="AI490" s="2">
        <v>80</v>
      </c>
      <c r="AJ490" s="1">
        <v>1250000</v>
      </c>
      <c r="AK490" s="1">
        <v>0.4</v>
      </c>
      <c r="AL490" s="1">
        <v>80</v>
      </c>
      <c r="AM490" s="2" t="s">
        <v>52</v>
      </c>
      <c r="AN490" s="2" t="str">
        <f t="shared" si="7"/>
        <v/>
      </c>
      <c r="AO490" s="3">
        <v>489</v>
      </c>
      <c r="AP490" s="3">
        <v>80</v>
      </c>
      <c r="AQ490" s="3">
        <v>80</v>
      </c>
      <c r="AR490" s="3">
        <v>80</v>
      </c>
      <c r="AS490" s="1">
        <v>3.1</v>
      </c>
      <c r="AT490" s="3">
        <v>4</v>
      </c>
      <c r="AU490" s="3" t="s">
        <v>3051</v>
      </c>
    </row>
    <row r="491" spans="1:47" x14ac:dyDescent="0.3">
      <c r="A491" s="1" t="s">
        <v>1388</v>
      </c>
      <c r="B491" s="1" t="s">
        <v>1387</v>
      </c>
      <c r="C491" s="1" t="s">
        <v>62</v>
      </c>
      <c r="D491" s="1" t="s">
        <v>52</v>
      </c>
      <c r="E491" s="1" t="s">
        <v>1386</v>
      </c>
      <c r="F491" t="s">
        <v>3071</v>
      </c>
      <c r="G491" t="s">
        <v>52</v>
      </c>
      <c r="H491" t="s">
        <v>52</v>
      </c>
      <c r="I491" t="s">
        <v>52</v>
      </c>
      <c r="J491" t="s">
        <v>52</v>
      </c>
      <c r="K491" t="s">
        <v>52</v>
      </c>
      <c r="L491" s="2">
        <v>1</v>
      </c>
      <c r="M491" s="2">
        <v>1</v>
      </c>
      <c r="N491" s="2">
        <v>1</v>
      </c>
      <c r="O491" s="2">
        <v>2</v>
      </c>
      <c r="P491" s="2">
        <v>1</v>
      </c>
      <c r="Q491" s="2">
        <v>1</v>
      </c>
      <c r="R491" s="2">
        <v>0.5</v>
      </c>
      <c r="S491" s="2">
        <v>1</v>
      </c>
      <c r="T491" s="2">
        <v>1</v>
      </c>
      <c r="U491" s="2">
        <v>2</v>
      </c>
      <c r="V491" s="2">
        <v>1</v>
      </c>
      <c r="W491" s="2">
        <v>0.5</v>
      </c>
      <c r="X491" s="2">
        <v>1</v>
      </c>
      <c r="Y491" s="2">
        <v>1</v>
      </c>
      <c r="Z491" s="2">
        <v>1</v>
      </c>
      <c r="AA491" s="2">
        <v>1</v>
      </c>
      <c r="AB491" s="2">
        <v>0.5</v>
      </c>
      <c r="AC491" s="2">
        <v>0.5</v>
      </c>
      <c r="AD491" s="2">
        <v>100</v>
      </c>
      <c r="AE491" s="2">
        <v>2560</v>
      </c>
      <c r="AF491" s="2">
        <v>70</v>
      </c>
      <c r="AG491" s="2">
        <v>600</v>
      </c>
      <c r="AH491" s="2">
        <v>3</v>
      </c>
      <c r="AI491" s="2">
        <v>100</v>
      </c>
      <c r="AJ491" s="1">
        <v>1250000</v>
      </c>
      <c r="AK491" s="1">
        <v>0.3</v>
      </c>
      <c r="AL491" s="1">
        <v>100</v>
      </c>
      <c r="AM491" s="2" t="s">
        <v>52</v>
      </c>
      <c r="AN491" s="2" t="str">
        <f t="shared" si="7"/>
        <v/>
      </c>
      <c r="AO491" s="3">
        <v>490</v>
      </c>
      <c r="AP491" s="3">
        <v>100</v>
      </c>
      <c r="AQ491" s="3">
        <v>100</v>
      </c>
      <c r="AR491" s="3">
        <v>100</v>
      </c>
      <c r="AS491" s="1">
        <v>1.4</v>
      </c>
      <c r="AT491" s="3">
        <v>4</v>
      </c>
      <c r="AU491" s="3" t="s">
        <v>3052</v>
      </c>
    </row>
    <row r="492" spans="1:47" x14ac:dyDescent="0.3">
      <c r="A492" s="1" t="s">
        <v>1391</v>
      </c>
      <c r="B492" s="1" t="s">
        <v>1390</v>
      </c>
      <c r="C492" s="1" t="s">
        <v>99</v>
      </c>
      <c r="D492" s="1" t="s">
        <v>52</v>
      </c>
      <c r="E492" s="1" t="s">
        <v>1389</v>
      </c>
      <c r="F492" t="s">
        <v>3072</v>
      </c>
      <c r="G492" t="s">
        <v>52</v>
      </c>
      <c r="H492" t="s">
        <v>52</v>
      </c>
      <c r="I492" t="s">
        <v>52</v>
      </c>
      <c r="J492" t="s">
        <v>52</v>
      </c>
      <c r="K492" t="s">
        <v>52</v>
      </c>
      <c r="L492" s="2">
        <v>2</v>
      </c>
      <c r="M492" s="2">
        <v>0.5</v>
      </c>
      <c r="N492" s="2">
        <v>1</v>
      </c>
      <c r="O492" s="2">
        <v>1</v>
      </c>
      <c r="P492" s="2">
        <v>2</v>
      </c>
      <c r="Q492" s="2">
        <v>2</v>
      </c>
      <c r="R492" s="2">
        <v>1</v>
      </c>
      <c r="S492" s="2">
        <v>1</v>
      </c>
      <c r="T492" s="2">
        <v>0.5</v>
      </c>
      <c r="U492" s="2">
        <v>1</v>
      </c>
      <c r="V492" s="2">
        <v>1</v>
      </c>
      <c r="W492" s="2">
        <v>1</v>
      </c>
      <c r="X492" s="2">
        <v>1</v>
      </c>
      <c r="Y492" s="2">
        <v>1</v>
      </c>
      <c r="Z492" s="2">
        <v>0</v>
      </c>
      <c r="AA492" s="2">
        <v>1</v>
      </c>
      <c r="AB492" s="2">
        <v>1</v>
      </c>
      <c r="AC492" s="2">
        <v>1</v>
      </c>
      <c r="AD492" s="2">
        <v>90</v>
      </c>
      <c r="AE492" s="2">
        <v>30720</v>
      </c>
      <c r="AF492" s="2">
        <v>0</v>
      </c>
      <c r="AG492" s="2">
        <v>600</v>
      </c>
      <c r="AH492" s="2">
        <v>3</v>
      </c>
      <c r="AI492" s="2">
        <v>90</v>
      </c>
      <c r="AJ492" s="1">
        <v>1250000</v>
      </c>
      <c r="AK492" s="1">
        <v>1.5</v>
      </c>
      <c r="AL492" s="1">
        <v>70</v>
      </c>
      <c r="AM492" s="2" t="s">
        <v>52</v>
      </c>
      <c r="AN492" s="2" t="str">
        <f t="shared" si="7"/>
        <v/>
      </c>
      <c r="AO492" s="3">
        <v>491</v>
      </c>
      <c r="AP492" s="3">
        <v>135</v>
      </c>
      <c r="AQ492" s="3">
        <v>90</v>
      </c>
      <c r="AR492" s="3">
        <v>125</v>
      </c>
      <c r="AS492" s="1">
        <v>50.5</v>
      </c>
      <c r="AT492" s="3">
        <v>4</v>
      </c>
      <c r="AU492" s="3" t="s">
        <v>3052</v>
      </c>
    </row>
    <row r="493" spans="1:47" x14ac:dyDescent="0.3">
      <c r="A493" s="1" t="s">
        <v>1394</v>
      </c>
      <c r="B493" s="1" t="s">
        <v>1393</v>
      </c>
      <c r="C493" s="1" t="s">
        <v>42</v>
      </c>
      <c r="D493" s="1" t="s">
        <v>42</v>
      </c>
      <c r="E493" s="1" t="s">
        <v>1392</v>
      </c>
      <c r="F493" t="s">
        <v>3058</v>
      </c>
      <c r="G493" t="s">
        <v>3066</v>
      </c>
      <c r="H493" t="s">
        <v>52</v>
      </c>
      <c r="I493" t="s">
        <v>52</v>
      </c>
      <c r="J493" t="s">
        <v>52</v>
      </c>
      <c r="K493" t="s">
        <v>52</v>
      </c>
      <c r="L493" s="2">
        <v>2</v>
      </c>
      <c r="M493" s="2">
        <v>1</v>
      </c>
      <c r="N493" s="2">
        <v>1</v>
      </c>
      <c r="O493" s="2">
        <v>0.5</v>
      </c>
      <c r="P493" s="2">
        <v>1</v>
      </c>
      <c r="Q493" s="2">
        <v>1</v>
      </c>
      <c r="R493" s="2">
        <v>2</v>
      </c>
      <c r="S493" s="2">
        <v>2</v>
      </c>
      <c r="T493" s="2">
        <v>1</v>
      </c>
      <c r="U493" s="2">
        <v>0.5</v>
      </c>
      <c r="V493" s="2">
        <v>0.5</v>
      </c>
      <c r="W493" s="2">
        <v>2</v>
      </c>
      <c r="X493" s="2">
        <v>1</v>
      </c>
      <c r="Y493" s="2">
        <v>2</v>
      </c>
      <c r="Z493" s="2">
        <v>1</v>
      </c>
      <c r="AA493" s="2">
        <v>1</v>
      </c>
      <c r="AB493" s="2">
        <v>1</v>
      </c>
      <c r="AC493" s="2">
        <v>0.5</v>
      </c>
      <c r="AD493" s="2">
        <v>103</v>
      </c>
      <c r="AE493" s="2">
        <v>30720</v>
      </c>
      <c r="AF493" s="2">
        <v>100</v>
      </c>
      <c r="AG493" s="2">
        <v>600</v>
      </c>
      <c r="AH493" s="2">
        <v>45</v>
      </c>
      <c r="AI493" s="2">
        <v>75</v>
      </c>
      <c r="AJ493" s="1">
        <v>1059860</v>
      </c>
      <c r="AK493" s="1">
        <v>0.2</v>
      </c>
      <c r="AL493" s="1">
        <v>100</v>
      </c>
      <c r="AM493" s="2" t="s">
        <v>52</v>
      </c>
      <c r="AN493" s="2" t="str">
        <f t="shared" si="7"/>
        <v/>
      </c>
      <c r="AO493" s="3">
        <v>492</v>
      </c>
      <c r="AP493" s="3">
        <v>120</v>
      </c>
      <c r="AQ493" s="3">
        <v>75</v>
      </c>
      <c r="AR493" s="3">
        <v>127</v>
      </c>
      <c r="AS493" s="1">
        <v>2.1</v>
      </c>
      <c r="AT493" s="3">
        <v>4</v>
      </c>
      <c r="AU493" s="3" t="s">
        <v>3052</v>
      </c>
    </row>
    <row r="494" spans="1:47" x14ac:dyDescent="0.3">
      <c r="A494" s="1" t="s">
        <v>1397</v>
      </c>
      <c r="B494" s="1" t="s">
        <v>1396</v>
      </c>
      <c r="C494" s="1" t="s">
        <v>90</v>
      </c>
      <c r="D494" s="1" t="s">
        <v>52</v>
      </c>
      <c r="E494" s="1" t="s">
        <v>1395</v>
      </c>
      <c r="F494" t="s">
        <v>3073</v>
      </c>
      <c r="G494" t="s">
        <v>52</v>
      </c>
      <c r="H494" t="s">
        <v>52</v>
      </c>
      <c r="I494" t="s">
        <v>52</v>
      </c>
      <c r="J494" t="s">
        <v>52</v>
      </c>
      <c r="K494" t="s">
        <v>52</v>
      </c>
      <c r="L494" s="2">
        <v>1</v>
      </c>
      <c r="M494" s="2">
        <v>1</v>
      </c>
      <c r="N494" s="2">
        <v>1</v>
      </c>
      <c r="O494" s="2">
        <v>1</v>
      </c>
      <c r="P494" s="2">
        <v>1</v>
      </c>
      <c r="Q494" s="2">
        <v>2</v>
      </c>
      <c r="R494" s="2">
        <v>1</v>
      </c>
      <c r="S494" s="2">
        <v>1</v>
      </c>
      <c r="T494" s="2">
        <v>0</v>
      </c>
      <c r="U494" s="2">
        <v>1</v>
      </c>
      <c r="V494" s="2">
        <v>1</v>
      </c>
      <c r="W494" s="2">
        <v>1</v>
      </c>
      <c r="X494" s="2">
        <v>1</v>
      </c>
      <c r="Y494" s="2">
        <v>1</v>
      </c>
      <c r="Z494" s="2">
        <v>1</v>
      </c>
      <c r="AA494" s="2">
        <v>1</v>
      </c>
      <c r="AB494" s="2">
        <v>1</v>
      </c>
      <c r="AC494" s="2">
        <v>1</v>
      </c>
      <c r="AD494" s="2">
        <v>120</v>
      </c>
      <c r="AE494" s="2">
        <v>30720</v>
      </c>
      <c r="AF494" s="2">
        <v>0</v>
      </c>
      <c r="AG494" s="2">
        <v>720</v>
      </c>
      <c r="AH494" s="2">
        <v>3</v>
      </c>
      <c r="AI494" s="2">
        <v>120</v>
      </c>
      <c r="AJ494" s="1">
        <v>1250000</v>
      </c>
      <c r="AK494" s="1">
        <v>3.2</v>
      </c>
      <c r="AL494" s="1">
        <v>120</v>
      </c>
      <c r="AM494" s="2" t="s">
        <v>52</v>
      </c>
      <c r="AN494" s="2" t="str">
        <f t="shared" si="7"/>
        <v/>
      </c>
      <c r="AO494" s="3">
        <v>493</v>
      </c>
      <c r="AP494" s="3">
        <v>120</v>
      </c>
      <c r="AQ494" s="3">
        <v>120</v>
      </c>
      <c r="AR494" s="3">
        <v>120</v>
      </c>
      <c r="AS494" s="1">
        <v>320</v>
      </c>
      <c r="AT494" s="3">
        <v>4</v>
      </c>
      <c r="AU494" s="3" t="s">
        <v>3052</v>
      </c>
    </row>
    <row r="495" spans="1:47" x14ac:dyDescent="0.3">
      <c r="A495" s="1" t="s">
        <v>1400</v>
      </c>
      <c r="B495" s="1" t="s">
        <v>1399</v>
      </c>
      <c r="C495" s="1" t="s">
        <v>216</v>
      </c>
      <c r="D495" s="1" t="s">
        <v>51</v>
      </c>
      <c r="E495" s="1" t="s">
        <v>1398</v>
      </c>
      <c r="F495" t="s">
        <v>3074</v>
      </c>
      <c r="G495" t="s">
        <v>52</v>
      </c>
      <c r="H495" t="s">
        <v>52</v>
      </c>
      <c r="I495" t="s">
        <v>52</v>
      </c>
      <c r="J495" t="s">
        <v>52</v>
      </c>
      <c r="K495" t="s">
        <v>52</v>
      </c>
      <c r="L495" s="2">
        <v>1</v>
      </c>
      <c r="M495" s="2">
        <v>2</v>
      </c>
      <c r="N495" s="2">
        <v>1</v>
      </c>
      <c r="O495" s="2">
        <v>1</v>
      </c>
      <c r="P495" s="2">
        <v>0.5</v>
      </c>
      <c r="Q495" s="2">
        <v>0.5</v>
      </c>
      <c r="R495" s="2">
        <v>0.5</v>
      </c>
      <c r="S495" s="2">
        <v>1</v>
      </c>
      <c r="T495" s="2">
        <v>2</v>
      </c>
      <c r="U495" s="2">
        <v>0.5</v>
      </c>
      <c r="V495" s="2">
        <v>2</v>
      </c>
      <c r="W495" s="2">
        <v>0.5</v>
      </c>
      <c r="X495" s="2">
        <v>1</v>
      </c>
      <c r="Y495" s="2">
        <v>1</v>
      </c>
      <c r="Z495" s="2">
        <v>0.5</v>
      </c>
      <c r="AA495" s="2">
        <v>2</v>
      </c>
      <c r="AB495" s="2">
        <v>0.5</v>
      </c>
      <c r="AC495" s="2">
        <v>2</v>
      </c>
      <c r="AD495" s="2">
        <v>100</v>
      </c>
      <c r="AE495" s="2">
        <v>30720</v>
      </c>
      <c r="AF495" s="2">
        <v>100</v>
      </c>
      <c r="AG495" s="2">
        <v>600</v>
      </c>
      <c r="AH495" s="2">
        <v>3</v>
      </c>
      <c r="AI495" s="2">
        <v>100</v>
      </c>
      <c r="AJ495" s="1">
        <v>1250000</v>
      </c>
      <c r="AK495" s="1">
        <v>0.4</v>
      </c>
      <c r="AL495" s="1">
        <v>100</v>
      </c>
      <c r="AM495" s="2" t="s">
        <v>52</v>
      </c>
      <c r="AN495" s="2" t="str">
        <f t="shared" si="7"/>
        <v/>
      </c>
      <c r="AO495" s="3">
        <v>494</v>
      </c>
      <c r="AP495" s="3">
        <v>100</v>
      </c>
      <c r="AQ495" s="3">
        <v>100</v>
      </c>
      <c r="AR495" s="3">
        <v>100</v>
      </c>
      <c r="AS495" s="1">
        <v>4</v>
      </c>
      <c r="AT495" s="3">
        <v>5</v>
      </c>
      <c r="AU495" s="3" t="s">
        <v>3052</v>
      </c>
    </row>
    <row r="496" spans="1:47" x14ac:dyDescent="0.3">
      <c r="A496" s="1" t="s">
        <v>1403</v>
      </c>
      <c r="B496" s="1" t="s">
        <v>1402</v>
      </c>
      <c r="C496" s="1" t="s">
        <v>42</v>
      </c>
      <c r="D496" s="1" t="s">
        <v>52</v>
      </c>
      <c r="E496" s="1" t="s">
        <v>1401</v>
      </c>
      <c r="F496" t="s">
        <v>3113</v>
      </c>
      <c r="G496" t="s">
        <v>3196</v>
      </c>
      <c r="H496" t="s">
        <v>52</v>
      </c>
      <c r="I496" t="s">
        <v>52</v>
      </c>
      <c r="J496" t="s">
        <v>52</v>
      </c>
      <c r="K496" t="s">
        <v>52</v>
      </c>
      <c r="L496" s="2">
        <v>2</v>
      </c>
      <c r="M496" s="2">
        <v>1</v>
      </c>
      <c r="N496" s="2">
        <v>1</v>
      </c>
      <c r="O496" s="2">
        <v>0.5</v>
      </c>
      <c r="P496" s="2">
        <v>1</v>
      </c>
      <c r="Q496" s="2">
        <v>1</v>
      </c>
      <c r="R496" s="2">
        <v>2</v>
      </c>
      <c r="S496" s="2">
        <v>2</v>
      </c>
      <c r="T496" s="2">
        <v>1</v>
      </c>
      <c r="U496" s="2">
        <v>0.5</v>
      </c>
      <c r="V496" s="2">
        <v>0.5</v>
      </c>
      <c r="W496" s="2">
        <v>2</v>
      </c>
      <c r="X496" s="2">
        <v>1</v>
      </c>
      <c r="Y496" s="2">
        <v>2</v>
      </c>
      <c r="Z496" s="2">
        <v>1</v>
      </c>
      <c r="AA496" s="2">
        <v>1</v>
      </c>
      <c r="AB496" s="2">
        <v>1</v>
      </c>
      <c r="AC496" s="2">
        <v>0.5</v>
      </c>
      <c r="AD496" s="2">
        <v>45</v>
      </c>
      <c r="AE496" s="2">
        <v>5120</v>
      </c>
      <c r="AF496" s="2">
        <v>70</v>
      </c>
      <c r="AG496" s="2">
        <v>308</v>
      </c>
      <c r="AH496" s="2">
        <v>45</v>
      </c>
      <c r="AI496" s="2">
        <v>55</v>
      </c>
      <c r="AJ496" s="1">
        <v>1059860</v>
      </c>
      <c r="AK496" s="1">
        <v>0.6</v>
      </c>
      <c r="AL496" s="1">
        <v>45</v>
      </c>
      <c r="AM496" s="2">
        <v>88.1</v>
      </c>
      <c r="AN496" s="2">
        <f t="shared" si="7"/>
        <v>11.900000000000006</v>
      </c>
      <c r="AO496" s="3">
        <v>495</v>
      </c>
      <c r="AP496" s="3">
        <v>45</v>
      </c>
      <c r="AQ496" s="3">
        <v>55</v>
      </c>
      <c r="AR496" s="3">
        <v>63</v>
      </c>
      <c r="AS496" s="1">
        <v>8.1</v>
      </c>
      <c r="AT496" s="3">
        <v>5</v>
      </c>
      <c r="AU496" s="3" t="s">
        <v>3051</v>
      </c>
    </row>
    <row r="497" spans="1:47" x14ac:dyDescent="0.3">
      <c r="A497" s="1" t="s">
        <v>1405</v>
      </c>
      <c r="B497" s="1" t="s">
        <v>1404</v>
      </c>
      <c r="C497" s="1" t="s">
        <v>42</v>
      </c>
      <c r="D497" s="1" t="s">
        <v>52</v>
      </c>
      <c r="E497" s="1" t="s">
        <v>1401</v>
      </c>
      <c r="F497" t="s">
        <v>3113</v>
      </c>
      <c r="G497" t="s">
        <v>3196</v>
      </c>
      <c r="H497" t="s">
        <v>52</v>
      </c>
      <c r="I497" t="s">
        <v>52</v>
      </c>
      <c r="J497" t="s">
        <v>52</v>
      </c>
      <c r="K497" t="s">
        <v>52</v>
      </c>
      <c r="L497" s="2">
        <v>2</v>
      </c>
      <c r="M497" s="2">
        <v>1</v>
      </c>
      <c r="N497" s="2">
        <v>1</v>
      </c>
      <c r="O497" s="2">
        <v>0.5</v>
      </c>
      <c r="P497" s="2">
        <v>1</v>
      </c>
      <c r="Q497" s="2">
        <v>1</v>
      </c>
      <c r="R497" s="2">
        <v>2</v>
      </c>
      <c r="S497" s="2">
        <v>2</v>
      </c>
      <c r="T497" s="2">
        <v>1</v>
      </c>
      <c r="U497" s="2">
        <v>0.5</v>
      </c>
      <c r="V497" s="2">
        <v>0.5</v>
      </c>
      <c r="W497" s="2">
        <v>2</v>
      </c>
      <c r="X497" s="2">
        <v>1</v>
      </c>
      <c r="Y497" s="2">
        <v>2</v>
      </c>
      <c r="Z497" s="2">
        <v>1</v>
      </c>
      <c r="AA497" s="2">
        <v>1</v>
      </c>
      <c r="AB497" s="2">
        <v>1</v>
      </c>
      <c r="AC497" s="2">
        <v>0.5</v>
      </c>
      <c r="AD497" s="2">
        <v>60</v>
      </c>
      <c r="AE497" s="2">
        <v>5120</v>
      </c>
      <c r="AF497" s="2">
        <v>70</v>
      </c>
      <c r="AG497" s="2">
        <v>413</v>
      </c>
      <c r="AH497" s="2">
        <v>45</v>
      </c>
      <c r="AI497" s="2">
        <v>75</v>
      </c>
      <c r="AJ497" s="1">
        <v>1059860</v>
      </c>
      <c r="AK497" s="1">
        <v>0.8</v>
      </c>
      <c r="AL497" s="1">
        <v>60</v>
      </c>
      <c r="AM497" s="2">
        <v>88.1</v>
      </c>
      <c r="AN497" s="2">
        <f t="shared" si="7"/>
        <v>11.900000000000006</v>
      </c>
      <c r="AO497" s="3">
        <v>496</v>
      </c>
      <c r="AP497" s="3">
        <v>60</v>
      </c>
      <c r="AQ497" s="3">
        <v>75</v>
      </c>
      <c r="AR497" s="3">
        <v>83</v>
      </c>
      <c r="AS497" s="1">
        <v>16</v>
      </c>
      <c r="AT497" s="3">
        <v>5</v>
      </c>
      <c r="AU497" s="3" t="s">
        <v>3051</v>
      </c>
    </row>
    <row r="498" spans="1:47" x14ac:dyDescent="0.3">
      <c r="A498" s="1" t="s">
        <v>1408</v>
      </c>
      <c r="B498" s="1" t="s">
        <v>1407</v>
      </c>
      <c r="C498" s="1" t="s">
        <v>42</v>
      </c>
      <c r="D498" s="1" t="s">
        <v>52</v>
      </c>
      <c r="E498" s="1" t="s">
        <v>1406</v>
      </c>
      <c r="F498" t="s">
        <v>3113</v>
      </c>
      <c r="G498" t="s">
        <v>3196</v>
      </c>
      <c r="H498" t="s">
        <v>52</v>
      </c>
      <c r="I498" t="s">
        <v>52</v>
      </c>
      <c r="J498" t="s">
        <v>52</v>
      </c>
      <c r="K498" t="s">
        <v>52</v>
      </c>
      <c r="L498" s="2">
        <v>2</v>
      </c>
      <c r="M498" s="2">
        <v>1</v>
      </c>
      <c r="N498" s="2">
        <v>1</v>
      </c>
      <c r="O498" s="2">
        <v>0.5</v>
      </c>
      <c r="P498" s="2">
        <v>1</v>
      </c>
      <c r="Q498" s="2">
        <v>1</v>
      </c>
      <c r="R498" s="2">
        <v>2</v>
      </c>
      <c r="S498" s="2">
        <v>2</v>
      </c>
      <c r="T498" s="2">
        <v>1</v>
      </c>
      <c r="U498" s="2">
        <v>0.5</v>
      </c>
      <c r="V498" s="2">
        <v>0.5</v>
      </c>
      <c r="W498" s="2">
        <v>2</v>
      </c>
      <c r="X498" s="2">
        <v>1</v>
      </c>
      <c r="Y498" s="2">
        <v>2</v>
      </c>
      <c r="Z498" s="2">
        <v>1</v>
      </c>
      <c r="AA498" s="2">
        <v>1</v>
      </c>
      <c r="AB498" s="2">
        <v>1</v>
      </c>
      <c r="AC498" s="2">
        <v>0.5</v>
      </c>
      <c r="AD498" s="2">
        <v>75</v>
      </c>
      <c r="AE498" s="2">
        <v>5120</v>
      </c>
      <c r="AF498" s="2">
        <v>70</v>
      </c>
      <c r="AG498" s="2">
        <v>528</v>
      </c>
      <c r="AH498" s="2">
        <v>45</v>
      </c>
      <c r="AI498" s="2">
        <v>95</v>
      </c>
      <c r="AJ498" s="1">
        <v>1059860</v>
      </c>
      <c r="AK498" s="1">
        <v>3.3</v>
      </c>
      <c r="AL498" s="1">
        <v>75</v>
      </c>
      <c r="AM498" s="2">
        <v>88.1</v>
      </c>
      <c r="AN498" s="2">
        <f t="shared" si="7"/>
        <v>11.900000000000006</v>
      </c>
      <c r="AO498" s="3">
        <v>497</v>
      </c>
      <c r="AP498" s="3">
        <v>75</v>
      </c>
      <c r="AQ498" s="3">
        <v>95</v>
      </c>
      <c r="AR498" s="3">
        <v>113</v>
      </c>
      <c r="AS498" s="1">
        <v>63</v>
      </c>
      <c r="AT498" s="3">
        <v>5</v>
      </c>
      <c r="AU498" s="3" t="s">
        <v>3051</v>
      </c>
    </row>
    <row r="499" spans="1:47" x14ac:dyDescent="0.3">
      <c r="A499" s="1" t="s">
        <v>1411</v>
      </c>
      <c r="B499" s="1" t="s">
        <v>1410</v>
      </c>
      <c r="C499" s="1" t="s">
        <v>51</v>
      </c>
      <c r="D499" s="1" t="s">
        <v>52</v>
      </c>
      <c r="E499" s="1" t="s">
        <v>1409</v>
      </c>
      <c r="F499" t="s">
        <v>3114</v>
      </c>
      <c r="G499" t="s">
        <v>3135</v>
      </c>
      <c r="H499" t="s">
        <v>52</v>
      </c>
      <c r="I499" t="s">
        <v>52</v>
      </c>
      <c r="J499" t="s">
        <v>52</v>
      </c>
      <c r="K499" t="s">
        <v>52</v>
      </c>
      <c r="L499" s="2">
        <v>0.5</v>
      </c>
      <c r="M499" s="2">
        <v>1</v>
      </c>
      <c r="N499" s="2">
        <v>1</v>
      </c>
      <c r="O499" s="2">
        <v>1</v>
      </c>
      <c r="P499" s="2">
        <v>0.5</v>
      </c>
      <c r="Q499" s="2">
        <v>1</v>
      </c>
      <c r="R499" s="2">
        <v>0.5</v>
      </c>
      <c r="S499" s="2">
        <v>1</v>
      </c>
      <c r="T499" s="2">
        <v>1</v>
      </c>
      <c r="U499" s="2">
        <v>0.5</v>
      </c>
      <c r="V499" s="2">
        <v>2</v>
      </c>
      <c r="W499" s="2">
        <v>0.5</v>
      </c>
      <c r="X499" s="2">
        <v>1</v>
      </c>
      <c r="Y499" s="2">
        <v>1</v>
      </c>
      <c r="Z499" s="2">
        <v>1</v>
      </c>
      <c r="AA499" s="2">
        <v>2</v>
      </c>
      <c r="AB499" s="2">
        <v>0.5</v>
      </c>
      <c r="AC499" s="2">
        <v>2</v>
      </c>
      <c r="AD499" s="2">
        <v>63</v>
      </c>
      <c r="AE499" s="2">
        <v>5120</v>
      </c>
      <c r="AF499" s="2">
        <v>70</v>
      </c>
      <c r="AG499" s="2">
        <v>308</v>
      </c>
      <c r="AH499" s="2">
        <v>45</v>
      </c>
      <c r="AI499" s="2">
        <v>45</v>
      </c>
      <c r="AJ499" s="1">
        <v>1059860</v>
      </c>
      <c r="AK499" s="1">
        <v>0.5</v>
      </c>
      <c r="AL499" s="1">
        <v>65</v>
      </c>
      <c r="AM499" s="2">
        <v>88.1</v>
      </c>
      <c r="AN499" s="2">
        <f t="shared" si="7"/>
        <v>11.900000000000006</v>
      </c>
      <c r="AO499" s="3">
        <v>498</v>
      </c>
      <c r="AP499" s="3">
        <v>45</v>
      </c>
      <c r="AQ499" s="3">
        <v>45</v>
      </c>
      <c r="AR499" s="3">
        <v>45</v>
      </c>
      <c r="AS499" s="1">
        <v>9.9</v>
      </c>
      <c r="AT499" s="3">
        <v>5</v>
      </c>
      <c r="AU499" s="3" t="s">
        <v>3051</v>
      </c>
    </row>
    <row r="500" spans="1:47" x14ac:dyDescent="0.3">
      <c r="A500" s="1" t="s">
        <v>1413</v>
      </c>
      <c r="B500" s="1" t="s">
        <v>1412</v>
      </c>
      <c r="C500" s="1" t="s">
        <v>51</v>
      </c>
      <c r="D500" s="1" t="s">
        <v>197</v>
      </c>
      <c r="E500" s="1" t="s">
        <v>1409</v>
      </c>
      <c r="F500" t="s">
        <v>3114</v>
      </c>
      <c r="G500" t="s">
        <v>3135</v>
      </c>
      <c r="H500" t="s">
        <v>52</v>
      </c>
      <c r="I500" t="s">
        <v>52</v>
      </c>
      <c r="J500" t="s">
        <v>52</v>
      </c>
      <c r="K500" t="s">
        <v>52</v>
      </c>
      <c r="L500" s="2">
        <v>0.25</v>
      </c>
      <c r="M500" s="2">
        <v>0.5</v>
      </c>
      <c r="N500" s="2">
        <v>1</v>
      </c>
      <c r="O500" s="2">
        <v>1</v>
      </c>
      <c r="P500" s="2">
        <v>1</v>
      </c>
      <c r="Q500" s="2">
        <v>1</v>
      </c>
      <c r="R500" s="2">
        <v>0.5</v>
      </c>
      <c r="S500" s="2">
        <v>2</v>
      </c>
      <c r="T500" s="2">
        <v>1</v>
      </c>
      <c r="U500" s="2">
        <v>0.5</v>
      </c>
      <c r="V500" s="2">
        <v>2</v>
      </c>
      <c r="W500" s="2">
        <v>0.5</v>
      </c>
      <c r="X500" s="2">
        <v>1</v>
      </c>
      <c r="Y500" s="2">
        <v>1</v>
      </c>
      <c r="Z500" s="2">
        <v>2</v>
      </c>
      <c r="AA500" s="2">
        <v>1</v>
      </c>
      <c r="AB500" s="2">
        <v>0.5</v>
      </c>
      <c r="AC500" s="2">
        <v>2</v>
      </c>
      <c r="AD500" s="2">
        <v>93</v>
      </c>
      <c r="AE500" s="2">
        <v>5120</v>
      </c>
      <c r="AF500" s="2">
        <v>70</v>
      </c>
      <c r="AG500" s="2">
        <v>418</v>
      </c>
      <c r="AH500" s="2">
        <v>45</v>
      </c>
      <c r="AI500" s="2">
        <v>55</v>
      </c>
      <c r="AJ500" s="1">
        <v>1059860</v>
      </c>
      <c r="AK500" s="1">
        <v>1</v>
      </c>
      <c r="AL500" s="1">
        <v>90</v>
      </c>
      <c r="AM500" s="2">
        <v>88.1</v>
      </c>
      <c r="AN500" s="2">
        <f t="shared" si="7"/>
        <v>11.900000000000006</v>
      </c>
      <c r="AO500" s="3">
        <v>499</v>
      </c>
      <c r="AP500" s="3">
        <v>70</v>
      </c>
      <c r="AQ500" s="3">
        <v>55</v>
      </c>
      <c r="AR500" s="3">
        <v>55</v>
      </c>
      <c r="AS500" s="1">
        <v>55.5</v>
      </c>
      <c r="AT500" s="3">
        <v>5</v>
      </c>
      <c r="AU500" s="3" t="s">
        <v>3051</v>
      </c>
    </row>
    <row r="501" spans="1:47" x14ac:dyDescent="0.3">
      <c r="A501" s="1" t="s">
        <v>1416</v>
      </c>
      <c r="B501" s="1" t="s">
        <v>1415</v>
      </c>
      <c r="C501" s="1" t="s">
        <v>51</v>
      </c>
      <c r="D501" s="1" t="s">
        <v>197</v>
      </c>
      <c r="E501" s="1" t="s">
        <v>1414</v>
      </c>
      <c r="F501" t="s">
        <v>3114</v>
      </c>
      <c r="G501" t="s">
        <v>3183</v>
      </c>
      <c r="H501" t="s">
        <v>52</v>
      </c>
      <c r="I501" t="s">
        <v>52</v>
      </c>
      <c r="J501" t="s">
        <v>52</v>
      </c>
      <c r="K501" t="s">
        <v>52</v>
      </c>
      <c r="L501" s="2">
        <v>0.25</v>
      </c>
      <c r="M501" s="2">
        <v>0.5</v>
      </c>
      <c r="N501" s="2">
        <v>1</v>
      </c>
      <c r="O501" s="2">
        <v>1</v>
      </c>
      <c r="P501" s="2">
        <v>1</v>
      </c>
      <c r="Q501" s="2">
        <v>1</v>
      </c>
      <c r="R501" s="2">
        <v>0.5</v>
      </c>
      <c r="S501" s="2">
        <v>2</v>
      </c>
      <c r="T501" s="2">
        <v>1</v>
      </c>
      <c r="U501" s="2">
        <v>0.5</v>
      </c>
      <c r="V501" s="2">
        <v>2</v>
      </c>
      <c r="W501" s="2">
        <v>0.5</v>
      </c>
      <c r="X501" s="2">
        <v>1</v>
      </c>
      <c r="Y501" s="2">
        <v>1</v>
      </c>
      <c r="Z501" s="2">
        <v>2</v>
      </c>
      <c r="AA501" s="2">
        <v>1</v>
      </c>
      <c r="AB501" s="2">
        <v>0.5</v>
      </c>
      <c r="AC501" s="2">
        <v>2</v>
      </c>
      <c r="AD501" s="2">
        <v>123</v>
      </c>
      <c r="AE501" s="2">
        <v>5120</v>
      </c>
      <c r="AF501" s="2">
        <v>70</v>
      </c>
      <c r="AG501" s="2">
        <v>528</v>
      </c>
      <c r="AH501" s="2">
        <v>45</v>
      </c>
      <c r="AI501" s="2">
        <v>65</v>
      </c>
      <c r="AJ501" s="1">
        <v>1059860</v>
      </c>
      <c r="AK501" s="1">
        <v>1.6</v>
      </c>
      <c r="AL501" s="1">
        <v>110</v>
      </c>
      <c r="AM501" s="2">
        <v>88.1</v>
      </c>
      <c r="AN501" s="2">
        <f t="shared" si="7"/>
        <v>11.900000000000006</v>
      </c>
      <c r="AO501" s="3">
        <v>500</v>
      </c>
      <c r="AP501" s="3">
        <v>100</v>
      </c>
      <c r="AQ501" s="3">
        <v>65</v>
      </c>
      <c r="AR501" s="3">
        <v>65</v>
      </c>
      <c r="AS501" s="1">
        <v>150</v>
      </c>
      <c r="AT501" s="3">
        <v>5</v>
      </c>
      <c r="AU501" s="3" t="s">
        <v>3051</v>
      </c>
    </row>
    <row r="502" spans="1:47" x14ac:dyDescent="0.3">
      <c r="A502" s="1" t="s">
        <v>1419</v>
      </c>
      <c r="B502" s="1" t="s">
        <v>1418</v>
      </c>
      <c r="C502" s="1" t="s">
        <v>62</v>
      </c>
      <c r="D502" s="1" t="s">
        <v>52</v>
      </c>
      <c r="E502" s="1" t="s">
        <v>1417</v>
      </c>
      <c r="F502" t="s">
        <v>3115</v>
      </c>
      <c r="G502" t="s">
        <v>3103</v>
      </c>
      <c r="H502" t="s">
        <v>52</v>
      </c>
      <c r="I502" t="s">
        <v>52</v>
      </c>
      <c r="J502" t="s">
        <v>52</v>
      </c>
      <c r="K502" t="s">
        <v>52</v>
      </c>
      <c r="L502" s="2">
        <v>1</v>
      </c>
      <c r="M502" s="2">
        <v>1</v>
      </c>
      <c r="N502" s="2">
        <v>1</v>
      </c>
      <c r="O502" s="2">
        <v>2</v>
      </c>
      <c r="P502" s="2">
        <v>1</v>
      </c>
      <c r="Q502" s="2">
        <v>1</v>
      </c>
      <c r="R502" s="2">
        <v>0.5</v>
      </c>
      <c r="S502" s="2">
        <v>1</v>
      </c>
      <c r="T502" s="2">
        <v>1</v>
      </c>
      <c r="U502" s="2">
        <v>2</v>
      </c>
      <c r="V502" s="2">
        <v>1</v>
      </c>
      <c r="W502" s="2">
        <v>0.5</v>
      </c>
      <c r="X502" s="2">
        <v>1</v>
      </c>
      <c r="Y502" s="2">
        <v>1</v>
      </c>
      <c r="Z502" s="2">
        <v>1</v>
      </c>
      <c r="AA502" s="2">
        <v>1</v>
      </c>
      <c r="AB502" s="2">
        <v>0.5</v>
      </c>
      <c r="AC502" s="2">
        <v>0.5</v>
      </c>
      <c r="AD502" s="2">
        <v>55</v>
      </c>
      <c r="AE502" s="2">
        <v>5120</v>
      </c>
      <c r="AF502" s="2">
        <v>70</v>
      </c>
      <c r="AG502" s="2">
        <v>308</v>
      </c>
      <c r="AH502" s="2">
        <v>45</v>
      </c>
      <c r="AI502" s="2">
        <v>45</v>
      </c>
      <c r="AJ502" s="1">
        <v>1059860</v>
      </c>
      <c r="AK502" s="1">
        <v>0.5</v>
      </c>
      <c r="AL502" s="1">
        <v>55</v>
      </c>
      <c r="AM502" s="2">
        <v>88.1</v>
      </c>
      <c r="AN502" s="2">
        <f t="shared" si="7"/>
        <v>11.900000000000006</v>
      </c>
      <c r="AO502" s="3">
        <v>501</v>
      </c>
      <c r="AP502" s="3">
        <v>63</v>
      </c>
      <c r="AQ502" s="3">
        <v>45</v>
      </c>
      <c r="AR502" s="3">
        <v>45</v>
      </c>
      <c r="AS502" s="1">
        <v>5.9</v>
      </c>
      <c r="AT502" s="3">
        <v>5</v>
      </c>
      <c r="AU502" s="3" t="s">
        <v>3051</v>
      </c>
    </row>
    <row r="503" spans="1:47" x14ac:dyDescent="0.3">
      <c r="A503" s="1" t="s">
        <v>1422</v>
      </c>
      <c r="B503" s="1" t="s">
        <v>1421</v>
      </c>
      <c r="C503" s="1" t="s">
        <v>62</v>
      </c>
      <c r="D503" s="1" t="s">
        <v>52</v>
      </c>
      <c r="E503" s="1" t="s">
        <v>1420</v>
      </c>
      <c r="F503" t="s">
        <v>3115</v>
      </c>
      <c r="G503" t="s">
        <v>3103</v>
      </c>
      <c r="H503" t="s">
        <v>52</v>
      </c>
      <c r="I503" t="s">
        <v>52</v>
      </c>
      <c r="J503" t="s">
        <v>52</v>
      </c>
      <c r="K503" t="s">
        <v>52</v>
      </c>
      <c r="L503" s="2">
        <v>1</v>
      </c>
      <c r="M503" s="2">
        <v>1</v>
      </c>
      <c r="N503" s="2">
        <v>1</v>
      </c>
      <c r="O503" s="2">
        <v>2</v>
      </c>
      <c r="P503" s="2">
        <v>1</v>
      </c>
      <c r="Q503" s="2">
        <v>1</v>
      </c>
      <c r="R503" s="2">
        <v>0.5</v>
      </c>
      <c r="S503" s="2">
        <v>1</v>
      </c>
      <c r="T503" s="2">
        <v>1</v>
      </c>
      <c r="U503" s="2">
        <v>2</v>
      </c>
      <c r="V503" s="2">
        <v>1</v>
      </c>
      <c r="W503" s="2">
        <v>0.5</v>
      </c>
      <c r="X503" s="2">
        <v>1</v>
      </c>
      <c r="Y503" s="2">
        <v>1</v>
      </c>
      <c r="Z503" s="2">
        <v>1</v>
      </c>
      <c r="AA503" s="2">
        <v>1</v>
      </c>
      <c r="AB503" s="2">
        <v>0.5</v>
      </c>
      <c r="AC503" s="2">
        <v>0.5</v>
      </c>
      <c r="AD503" s="2">
        <v>75</v>
      </c>
      <c r="AE503" s="2">
        <v>5120</v>
      </c>
      <c r="AF503" s="2">
        <v>70</v>
      </c>
      <c r="AG503" s="2">
        <v>413</v>
      </c>
      <c r="AH503" s="2">
        <v>45</v>
      </c>
      <c r="AI503" s="2">
        <v>60</v>
      </c>
      <c r="AJ503" s="1">
        <v>1059860</v>
      </c>
      <c r="AK503" s="1">
        <v>0.8</v>
      </c>
      <c r="AL503" s="1">
        <v>75</v>
      </c>
      <c r="AM503" s="2">
        <v>88.1</v>
      </c>
      <c r="AN503" s="2">
        <f t="shared" si="7"/>
        <v>11.900000000000006</v>
      </c>
      <c r="AO503" s="3">
        <v>502</v>
      </c>
      <c r="AP503" s="3">
        <v>83</v>
      </c>
      <c r="AQ503" s="3">
        <v>60</v>
      </c>
      <c r="AR503" s="3">
        <v>60</v>
      </c>
      <c r="AS503" s="1">
        <v>24.5</v>
      </c>
      <c r="AT503" s="3">
        <v>5</v>
      </c>
      <c r="AU503" s="3" t="s">
        <v>3051</v>
      </c>
    </row>
    <row r="504" spans="1:47" x14ac:dyDescent="0.3">
      <c r="A504" s="1" t="s">
        <v>1425</v>
      </c>
      <c r="B504" s="1" t="s">
        <v>1424</v>
      </c>
      <c r="C504" s="1" t="s">
        <v>62</v>
      </c>
      <c r="D504" s="1" t="s">
        <v>52</v>
      </c>
      <c r="E504" s="1" t="s">
        <v>1423</v>
      </c>
      <c r="F504" t="s">
        <v>3115</v>
      </c>
      <c r="G504" t="s">
        <v>3103</v>
      </c>
      <c r="H504" t="s">
        <v>52</v>
      </c>
      <c r="I504" t="s">
        <v>52</v>
      </c>
      <c r="J504" t="s">
        <v>52</v>
      </c>
      <c r="K504" t="s">
        <v>52</v>
      </c>
      <c r="L504" s="2">
        <v>1</v>
      </c>
      <c r="M504" s="2">
        <v>1</v>
      </c>
      <c r="N504" s="2">
        <v>1</v>
      </c>
      <c r="O504" s="2">
        <v>2</v>
      </c>
      <c r="P504" s="2">
        <v>1</v>
      </c>
      <c r="Q504" s="2">
        <v>1</v>
      </c>
      <c r="R504" s="2">
        <v>0.5</v>
      </c>
      <c r="S504" s="2">
        <v>1</v>
      </c>
      <c r="T504" s="2">
        <v>1</v>
      </c>
      <c r="U504" s="2">
        <v>2</v>
      </c>
      <c r="V504" s="2">
        <v>1</v>
      </c>
      <c r="W504" s="2">
        <v>0.5</v>
      </c>
      <c r="X504" s="2">
        <v>1</v>
      </c>
      <c r="Y504" s="2">
        <v>1</v>
      </c>
      <c r="Z504" s="2">
        <v>1</v>
      </c>
      <c r="AA504" s="2">
        <v>1</v>
      </c>
      <c r="AB504" s="2">
        <v>0.5</v>
      </c>
      <c r="AC504" s="2">
        <v>0.5</v>
      </c>
      <c r="AD504" s="2">
        <v>100</v>
      </c>
      <c r="AE504" s="2">
        <v>5120</v>
      </c>
      <c r="AF504" s="2">
        <v>70</v>
      </c>
      <c r="AG504" s="2">
        <v>528</v>
      </c>
      <c r="AH504" s="2">
        <v>45</v>
      </c>
      <c r="AI504" s="2">
        <v>85</v>
      </c>
      <c r="AJ504" s="1">
        <v>1059860</v>
      </c>
      <c r="AK504" s="1">
        <v>1.5</v>
      </c>
      <c r="AL504" s="1">
        <v>95</v>
      </c>
      <c r="AM504" s="2">
        <v>88.1</v>
      </c>
      <c r="AN504" s="2">
        <f t="shared" si="7"/>
        <v>11.900000000000006</v>
      </c>
      <c r="AO504" s="3">
        <v>503</v>
      </c>
      <c r="AP504" s="3">
        <v>108</v>
      </c>
      <c r="AQ504" s="3">
        <v>70</v>
      </c>
      <c r="AR504" s="3">
        <v>70</v>
      </c>
      <c r="AS504" s="1">
        <v>94.6</v>
      </c>
      <c r="AT504" s="3">
        <v>5</v>
      </c>
      <c r="AU504" s="3" t="s">
        <v>3051</v>
      </c>
    </row>
    <row r="505" spans="1:47" x14ac:dyDescent="0.3">
      <c r="A505" s="1" t="s">
        <v>1427</v>
      </c>
      <c r="B505" s="1" t="s">
        <v>1426</v>
      </c>
      <c r="C505" s="1" t="s">
        <v>90</v>
      </c>
      <c r="D505" s="1" t="s">
        <v>52</v>
      </c>
      <c r="E505" s="1" t="s">
        <v>477</v>
      </c>
      <c r="F505" t="s">
        <v>3119</v>
      </c>
      <c r="G505" t="s">
        <v>3118</v>
      </c>
      <c r="H505" t="s">
        <v>3243</v>
      </c>
      <c r="I505" t="s">
        <v>52</v>
      </c>
      <c r="J505" t="s">
        <v>52</v>
      </c>
      <c r="K505" t="s">
        <v>52</v>
      </c>
      <c r="L505" s="2">
        <v>1</v>
      </c>
      <c r="M505" s="2">
        <v>1</v>
      </c>
      <c r="N505" s="2">
        <v>1</v>
      </c>
      <c r="O505" s="2">
        <v>1</v>
      </c>
      <c r="P505" s="2">
        <v>1</v>
      </c>
      <c r="Q505" s="2">
        <v>2</v>
      </c>
      <c r="R505" s="2">
        <v>1</v>
      </c>
      <c r="S505" s="2">
        <v>1</v>
      </c>
      <c r="T505" s="2">
        <v>0</v>
      </c>
      <c r="U505" s="2">
        <v>1</v>
      </c>
      <c r="V505" s="2">
        <v>1</v>
      </c>
      <c r="W505" s="2">
        <v>1</v>
      </c>
      <c r="X505" s="2">
        <v>1</v>
      </c>
      <c r="Y505" s="2">
        <v>1</v>
      </c>
      <c r="Z505" s="2">
        <v>1</v>
      </c>
      <c r="AA505" s="2">
        <v>1</v>
      </c>
      <c r="AB505" s="2">
        <v>1</v>
      </c>
      <c r="AC505" s="2">
        <v>1</v>
      </c>
      <c r="AD505" s="2">
        <v>55</v>
      </c>
      <c r="AE505" s="2">
        <v>3840</v>
      </c>
      <c r="AF505" s="2">
        <v>70</v>
      </c>
      <c r="AG505" s="2">
        <v>255</v>
      </c>
      <c r="AH505" s="2">
        <v>255</v>
      </c>
      <c r="AI505" s="2">
        <v>39</v>
      </c>
      <c r="AJ505" s="1">
        <v>1000000</v>
      </c>
      <c r="AK505" s="1">
        <v>0.5</v>
      </c>
      <c r="AL505" s="1">
        <v>45</v>
      </c>
      <c r="AM505" s="2">
        <v>50</v>
      </c>
      <c r="AN505" s="2">
        <f t="shared" si="7"/>
        <v>50</v>
      </c>
      <c r="AO505" s="3">
        <v>504</v>
      </c>
      <c r="AP505" s="3">
        <v>35</v>
      </c>
      <c r="AQ505" s="3">
        <v>39</v>
      </c>
      <c r="AR505" s="3">
        <v>42</v>
      </c>
      <c r="AS505" s="1">
        <v>11.6</v>
      </c>
      <c r="AT505" s="3">
        <v>5</v>
      </c>
      <c r="AU505" s="3" t="s">
        <v>3051</v>
      </c>
    </row>
    <row r="506" spans="1:47" x14ac:dyDescent="0.3">
      <c r="A506" s="1" t="s">
        <v>1430</v>
      </c>
      <c r="B506" s="1" t="s">
        <v>1429</v>
      </c>
      <c r="C506" s="1" t="s">
        <v>90</v>
      </c>
      <c r="D506" s="1" t="s">
        <v>52</v>
      </c>
      <c r="E506" s="1" t="s">
        <v>1428</v>
      </c>
      <c r="F506" t="s">
        <v>3144</v>
      </c>
      <c r="G506" t="s">
        <v>3118</v>
      </c>
      <c r="H506" t="s">
        <v>3243</v>
      </c>
      <c r="I506" t="s">
        <v>52</v>
      </c>
      <c r="J506" t="s">
        <v>52</v>
      </c>
      <c r="K506" t="s">
        <v>52</v>
      </c>
      <c r="L506" s="2">
        <v>1</v>
      </c>
      <c r="M506" s="2">
        <v>1</v>
      </c>
      <c r="N506" s="2">
        <v>1</v>
      </c>
      <c r="O506" s="2">
        <v>1</v>
      </c>
      <c r="P506" s="2">
        <v>1</v>
      </c>
      <c r="Q506" s="2">
        <v>2</v>
      </c>
      <c r="R506" s="2">
        <v>1</v>
      </c>
      <c r="S506" s="2">
        <v>1</v>
      </c>
      <c r="T506" s="2">
        <v>0</v>
      </c>
      <c r="U506" s="2">
        <v>1</v>
      </c>
      <c r="V506" s="2">
        <v>1</v>
      </c>
      <c r="W506" s="2">
        <v>1</v>
      </c>
      <c r="X506" s="2">
        <v>1</v>
      </c>
      <c r="Y506" s="2">
        <v>1</v>
      </c>
      <c r="Z506" s="2">
        <v>1</v>
      </c>
      <c r="AA506" s="2">
        <v>1</v>
      </c>
      <c r="AB506" s="2">
        <v>1</v>
      </c>
      <c r="AC506" s="2">
        <v>1</v>
      </c>
      <c r="AD506" s="2">
        <v>85</v>
      </c>
      <c r="AE506" s="2">
        <v>5120</v>
      </c>
      <c r="AF506" s="2">
        <v>70</v>
      </c>
      <c r="AG506" s="2">
        <v>420</v>
      </c>
      <c r="AH506" s="2">
        <v>255</v>
      </c>
      <c r="AI506" s="2">
        <v>69</v>
      </c>
      <c r="AJ506" s="1">
        <v>1000000</v>
      </c>
      <c r="AK506" s="1">
        <v>1.1000000000000001</v>
      </c>
      <c r="AL506" s="1">
        <v>60</v>
      </c>
      <c r="AM506" s="2">
        <v>50</v>
      </c>
      <c r="AN506" s="2">
        <f t="shared" si="7"/>
        <v>50</v>
      </c>
      <c r="AO506" s="3">
        <v>505</v>
      </c>
      <c r="AP506" s="3">
        <v>60</v>
      </c>
      <c r="AQ506" s="3">
        <v>69</v>
      </c>
      <c r="AR506" s="3">
        <v>77</v>
      </c>
      <c r="AS506" s="1">
        <v>27</v>
      </c>
      <c r="AT506" s="3">
        <v>5</v>
      </c>
      <c r="AU506" s="3" t="s">
        <v>3051</v>
      </c>
    </row>
    <row r="507" spans="1:47" x14ac:dyDescent="0.3">
      <c r="A507" s="1" t="s">
        <v>1432</v>
      </c>
      <c r="B507" s="1" t="s">
        <v>1431</v>
      </c>
      <c r="C507" s="1" t="s">
        <v>90</v>
      </c>
      <c r="D507" s="1" t="s">
        <v>52</v>
      </c>
      <c r="E507" s="1" t="s">
        <v>200</v>
      </c>
      <c r="F507" t="s">
        <v>3060</v>
      </c>
      <c r="G507" t="s">
        <v>3128</v>
      </c>
      <c r="H507" t="s">
        <v>3119</v>
      </c>
      <c r="I507" t="s">
        <v>52</v>
      </c>
      <c r="J507" t="s">
        <v>52</v>
      </c>
      <c r="K507" t="s">
        <v>52</v>
      </c>
      <c r="L507" s="2">
        <v>1</v>
      </c>
      <c r="M507" s="2">
        <v>1</v>
      </c>
      <c r="N507" s="2">
        <v>1</v>
      </c>
      <c r="O507" s="2">
        <v>1</v>
      </c>
      <c r="P507" s="2">
        <v>1</v>
      </c>
      <c r="Q507" s="2">
        <v>2</v>
      </c>
      <c r="R507" s="2">
        <v>1</v>
      </c>
      <c r="S507" s="2">
        <v>1</v>
      </c>
      <c r="T507" s="2">
        <v>0</v>
      </c>
      <c r="U507" s="2">
        <v>1</v>
      </c>
      <c r="V507" s="2">
        <v>1</v>
      </c>
      <c r="W507" s="2">
        <v>1</v>
      </c>
      <c r="X507" s="2">
        <v>1</v>
      </c>
      <c r="Y507" s="2">
        <v>1</v>
      </c>
      <c r="Z507" s="2">
        <v>1</v>
      </c>
      <c r="AA507" s="2">
        <v>1</v>
      </c>
      <c r="AB507" s="2">
        <v>1</v>
      </c>
      <c r="AC507" s="2">
        <v>1</v>
      </c>
      <c r="AD507" s="2">
        <v>60</v>
      </c>
      <c r="AE507" s="2">
        <v>3840</v>
      </c>
      <c r="AF507" s="2">
        <v>70</v>
      </c>
      <c r="AG507" s="2">
        <v>275</v>
      </c>
      <c r="AH507" s="2">
        <v>255</v>
      </c>
      <c r="AI507" s="2">
        <v>45</v>
      </c>
      <c r="AJ507" s="1">
        <v>1059860</v>
      </c>
      <c r="AK507" s="1">
        <v>0.4</v>
      </c>
      <c r="AL507" s="1">
        <v>45</v>
      </c>
      <c r="AM507" s="2">
        <v>50</v>
      </c>
      <c r="AN507" s="2">
        <f t="shared" si="7"/>
        <v>50</v>
      </c>
      <c r="AO507" s="3">
        <v>506</v>
      </c>
      <c r="AP507" s="3">
        <v>25</v>
      </c>
      <c r="AQ507" s="3">
        <v>45</v>
      </c>
      <c r="AR507" s="3">
        <v>55</v>
      </c>
      <c r="AS507" s="1">
        <v>4.0999999999999996</v>
      </c>
      <c r="AT507" s="3">
        <v>5</v>
      </c>
      <c r="AU507" s="3" t="s">
        <v>3051</v>
      </c>
    </row>
    <row r="508" spans="1:47" x14ac:dyDescent="0.3">
      <c r="A508" s="1" t="s">
        <v>1435</v>
      </c>
      <c r="B508" s="1" t="s">
        <v>1434</v>
      </c>
      <c r="C508" s="1" t="s">
        <v>90</v>
      </c>
      <c r="D508" s="1" t="s">
        <v>52</v>
      </c>
      <c r="E508" s="1" t="s">
        <v>1433</v>
      </c>
      <c r="F508" t="s">
        <v>3120</v>
      </c>
      <c r="G508" t="s">
        <v>3180</v>
      </c>
      <c r="H508" t="s">
        <v>3250</v>
      </c>
      <c r="I508" t="s">
        <v>52</v>
      </c>
      <c r="J508" t="s">
        <v>52</v>
      </c>
      <c r="K508" t="s">
        <v>52</v>
      </c>
      <c r="L508" s="2">
        <v>1</v>
      </c>
      <c r="M508" s="2">
        <v>1</v>
      </c>
      <c r="N508" s="2">
        <v>1</v>
      </c>
      <c r="O508" s="2">
        <v>1</v>
      </c>
      <c r="P508" s="2">
        <v>1</v>
      </c>
      <c r="Q508" s="2">
        <v>2</v>
      </c>
      <c r="R508" s="2">
        <v>1</v>
      </c>
      <c r="S508" s="2">
        <v>1</v>
      </c>
      <c r="T508" s="2">
        <v>0</v>
      </c>
      <c r="U508" s="2">
        <v>1</v>
      </c>
      <c r="V508" s="2">
        <v>1</v>
      </c>
      <c r="W508" s="2">
        <v>1</v>
      </c>
      <c r="X508" s="2">
        <v>1</v>
      </c>
      <c r="Y508" s="2">
        <v>1</v>
      </c>
      <c r="Z508" s="2">
        <v>1</v>
      </c>
      <c r="AA508" s="2">
        <v>1</v>
      </c>
      <c r="AB508" s="2">
        <v>1</v>
      </c>
      <c r="AC508" s="2">
        <v>1</v>
      </c>
      <c r="AD508" s="2">
        <v>80</v>
      </c>
      <c r="AE508" s="2">
        <v>3840</v>
      </c>
      <c r="AF508" s="2">
        <v>70</v>
      </c>
      <c r="AG508" s="2">
        <v>370</v>
      </c>
      <c r="AH508" s="2">
        <v>120</v>
      </c>
      <c r="AI508" s="2">
        <v>65</v>
      </c>
      <c r="AJ508" s="1">
        <v>1059860</v>
      </c>
      <c r="AK508" s="1">
        <v>0.9</v>
      </c>
      <c r="AL508" s="1">
        <v>65</v>
      </c>
      <c r="AM508" s="2">
        <v>50</v>
      </c>
      <c r="AN508" s="2">
        <f t="shared" si="7"/>
        <v>50</v>
      </c>
      <c r="AO508" s="3">
        <v>507</v>
      </c>
      <c r="AP508" s="3">
        <v>35</v>
      </c>
      <c r="AQ508" s="3">
        <v>65</v>
      </c>
      <c r="AR508" s="3">
        <v>60</v>
      </c>
      <c r="AS508" s="1">
        <v>14.7</v>
      </c>
      <c r="AT508" s="3">
        <v>5</v>
      </c>
      <c r="AU508" s="3" t="s">
        <v>3051</v>
      </c>
    </row>
    <row r="509" spans="1:47" x14ac:dyDescent="0.3">
      <c r="A509" s="1" t="s">
        <v>1438</v>
      </c>
      <c r="B509" s="1" t="s">
        <v>1437</v>
      </c>
      <c r="C509" s="1" t="s">
        <v>90</v>
      </c>
      <c r="D509" s="1" t="s">
        <v>52</v>
      </c>
      <c r="E509" s="1" t="s">
        <v>1436</v>
      </c>
      <c r="F509" t="s">
        <v>3120</v>
      </c>
      <c r="G509" t="s">
        <v>3180</v>
      </c>
      <c r="H509" t="s">
        <v>3250</v>
      </c>
      <c r="I509" t="s">
        <v>52</v>
      </c>
      <c r="J509" t="s">
        <v>52</v>
      </c>
      <c r="K509" t="s">
        <v>52</v>
      </c>
      <c r="L509" s="2">
        <v>1</v>
      </c>
      <c r="M509" s="2">
        <v>1</v>
      </c>
      <c r="N509" s="2">
        <v>1</v>
      </c>
      <c r="O509" s="2">
        <v>1</v>
      </c>
      <c r="P509" s="2">
        <v>1</v>
      </c>
      <c r="Q509" s="2">
        <v>2</v>
      </c>
      <c r="R509" s="2">
        <v>1</v>
      </c>
      <c r="S509" s="2">
        <v>1</v>
      </c>
      <c r="T509" s="2">
        <v>0</v>
      </c>
      <c r="U509" s="2">
        <v>1</v>
      </c>
      <c r="V509" s="2">
        <v>1</v>
      </c>
      <c r="W509" s="2">
        <v>1</v>
      </c>
      <c r="X509" s="2">
        <v>1</v>
      </c>
      <c r="Y509" s="2">
        <v>1</v>
      </c>
      <c r="Z509" s="2">
        <v>1</v>
      </c>
      <c r="AA509" s="2">
        <v>1</v>
      </c>
      <c r="AB509" s="2">
        <v>1</v>
      </c>
      <c r="AC509" s="2">
        <v>1</v>
      </c>
      <c r="AD509" s="2">
        <v>110</v>
      </c>
      <c r="AE509" s="2">
        <v>3840</v>
      </c>
      <c r="AF509" s="2">
        <v>70</v>
      </c>
      <c r="AG509" s="2">
        <v>500</v>
      </c>
      <c r="AH509" s="2">
        <v>45</v>
      </c>
      <c r="AI509" s="2">
        <v>90</v>
      </c>
      <c r="AJ509" s="1">
        <v>1059860</v>
      </c>
      <c r="AK509" s="1">
        <v>1.2</v>
      </c>
      <c r="AL509" s="1">
        <v>85</v>
      </c>
      <c r="AM509" s="2">
        <v>50</v>
      </c>
      <c r="AN509" s="2">
        <f t="shared" si="7"/>
        <v>50</v>
      </c>
      <c r="AO509" s="3">
        <v>508</v>
      </c>
      <c r="AP509" s="3">
        <v>45</v>
      </c>
      <c r="AQ509" s="3">
        <v>90</v>
      </c>
      <c r="AR509" s="3">
        <v>80</v>
      </c>
      <c r="AS509" s="1">
        <v>61</v>
      </c>
      <c r="AT509" s="3">
        <v>5</v>
      </c>
      <c r="AU509" s="3" t="s">
        <v>3051</v>
      </c>
    </row>
    <row r="510" spans="1:47" x14ac:dyDescent="0.3">
      <c r="A510" s="1" t="s">
        <v>1441</v>
      </c>
      <c r="B510" s="1" t="s">
        <v>1440</v>
      </c>
      <c r="C510" s="1" t="s">
        <v>99</v>
      </c>
      <c r="D510" s="1" t="s">
        <v>52</v>
      </c>
      <c r="E510" s="1" t="s">
        <v>1439</v>
      </c>
      <c r="F510" t="s">
        <v>3129</v>
      </c>
      <c r="G510" t="s">
        <v>3249</v>
      </c>
      <c r="H510" t="s">
        <v>3182</v>
      </c>
      <c r="I510" t="s">
        <v>52</v>
      </c>
      <c r="J510" t="s">
        <v>52</v>
      </c>
      <c r="K510" t="s">
        <v>52</v>
      </c>
      <c r="L510" s="2">
        <v>2</v>
      </c>
      <c r="M510" s="2">
        <v>0.5</v>
      </c>
      <c r="N510" s="2">
        <v>1</v>
      </c>
      <c r="O510" s="2">
        <v>1</v>
      </c>
      <c r="P510" s="2">
        <v>2</v>
      </c>
      <c r="Q510" s="2">
        <v>2</v>
      </c>
      <c r="R510" s="2">
        <v>1</v>
      </c>
      <c r="S510" s="2">
        <v>1</v>
      </c>
      <c r="T510" s="2">
        <v>0.5</v>
      </c>
      <c r="U510" s="2">
        <v>1</v>
      </c>
      <c r="V510" s="2">
        <v>1</v>
      </c>
      <c r="W510" s="2">
        <v>1</v>
      </c>
      <c r="X510" s="2">
        <v>1</v>
      </c>
      <c r="Y510" s="2">
        <v>1</v>
      </c>
      <c r="Z510" s="2">
        <v>0</v>
      </c>
      <c r="AA510" s="2">
        <v>1</v>
      </c>
      <c r="AB510" s="2">
        <v>1</v>
      </c>
      <c r="AC510" s="2">
        <v>1</v>
      </c>
      <c r="AD510" s="2">
        <v>50</v>
      </c>
      <c r="AE510" s="2">
        <v>5120</v>
      </c>
      <c r="AF510" s="2">
        <v>70</v>
      </c>
      <c r="AG510" s="2">
        <v>281</v>
      </c>
      <c r="AH510" s="2">
        <v>255</v>
      </c>
      <c r="AI510" s="2">
        <v>37</v>
      </c>
      <c r="AJ510" s="1">
        <v>1000000</v>
      </c>
      <c r="AK510" s="1">
        <v>0.4</v>
      </c>
      <c r="AL510" s="1">
        <v>41</v>
      </c>
      <c r="AM510" s="2">
        <v>50</v>
      </c>
      <c r="AN510" s="2">
        <f t="shared" si="7"/>
        <v>50</v>
      </c>
      <c r="AO510" s="3">
        <v>509</v>
      </c>
      <c r="AP510" s="3">
        <v>50</v>
      </c>
      <c r="AQ510" s="3">
        <v>37</v>
      </c>
      <c r="AR510" s="3">
        <v>66</v>
      </c>
      <c r="AS510" s="1">
        <v>10.1</v>
      </c>
      <c r="AT510" s="3">
        <v>5</v>
      </c>
      <c r="AU510" s="3" t="s">
        <v>3051</v>
      </c>
    </row>
    <row r="511" spans="1:47" x14ac:dyDescent="0.3">
      <c r="A511" s="1" t="s">
        <v>1444</v>
      </c>
      <c r="B511" s="1" t="s">
        <v>1443</v>
      </c>
      <c r="C511" s="1" t="s">
        <v>99</v>
      </c>
      <c r="D511" s="1" t="s">
        <v>52</v>
      </c>
      <c r="E511" s="1" t="s">
        <v>1442</v>
      </c>
      <c r="F511" t="s">
        <v>3129</v>
      </c>
      <c r="G511" t="s">
        <v>3249</v>
      </c>
      <c r="H511" t="s">
        <v>3182</v>
      </c>
      <c r="I511" t="s">
        <v>52</v>
      </c>
      <c r="J511" t="s">
        <v>52</v>
      </c>
      <c r="K511" t="s">
        <v>52</v>
      </c>
      <c r="L511" s="2">
        <v>2</v>
      </c>
      <c r="M511" s="2">
        <v>0.5</v>
      </c>
      <c r="N511" s="2">
        <v>1</v>
      </c>
      <c r="O511" s="2">
        <v>1</v>
      </c>
      <c r="P511" s="2">
        <v>2</v>
      </c>
      <c r="Q511" s="2">
        <v>2</v>
      </c>
      <c r="R511" s="2">
        <v>1</v>
      </c>
      <c r="S511" s="2">
        <v>1</v>
      </c>
      <c r="T511" s="2">
        <v>0.5</v>
      </c>
      <c r="U511" s="2">
        <v>1</v>
      </c>
      <c r="V511" s="2">
        <v>1</v>
      </c>
      <c r="W511" s="2">
        <v>1</v>
      </c>
      <c r="X511" s="2">
        <v>1</v>
      </c>
      <c r="Y511" s="2">
        <v>1</v>
      </c>
      <c r="Z511" s="2">
        <v>0</v>
      </c>
      <c r="AA511" s="2">
        <v>1</v>
      </c>
      <c r="AB511" s="2">
        <v>1</v>
      </c>
      <c r="AC511" s="2">
        <v>1</v>
      </c>
      <c r="AD511" s="2">
        <v>88</v>
      </c>
      <c r="AE511" s="2">
        <v>5120</v>
      </c>
      <c r="AF511" s="2">
        <v>70</v>
      </c>
      <c r="AG511" s="2">
        <v>446</v>
      </c>
      <c r="AH511" s="2">
        <v>90</v>
      </c>
      <c r="AI511" s="2">
        <v>50</v>
      </c>
      <c r="AJ511" s="1">
        <v>1000000</v>
      </c>
      <c r="AK511" s="1">
        <v>1.1000000000000001</v>
      </c>
      <c r="AL511" s="1">
        <v>64</v>
      </c>
      <c r="AM511" s="2">
        <v>50</v>
      </c>
      <c r="AN511" s="2">
        <f t="shared" si="7"/>
        <v>50</v>
      </c>
      <c r="AO511" s="3">
        <v>510</v>
      </c>
      <c r="AP511" s="3">
        <v>88</v>
      </c>
      <c r="AQ511" s="3">
        <v>50</v>
      </c>
      <c r="AR511" s="3">
        <v>106</v>
      </c>
      <c r="AS511" s="1">
        <v>37.5</v>
      </c>
      <c r="AT511" s="3">
        <v>5</v>
      </c>
      <c r="AU511" s="3" t="s">
        <v>3051</v>
      </c>
    </row>
    <row r="512" spans="1:47" x14ac:dyDescent="0.3">
      <c r="A512" s="1" t="s">
        <v>1447</v>
      </c>
      <c r="B512" s="1" t="s">
        <v>1446</v>
      </c>
      <c r="C512" s="1" t="s">
        <v>42</v>
      </c>
      <c r="D512" s="1" t="s">
        <v>52</v>
      </c>
      <c r="E512" s="1" t="s">
        <v>1445</v>
      </c>
      <c r="F512" t="s">
        <v>3177</v>
      </c>
      <c r="G512" t="s">
        <v>3113</v>
      </c>
      <c r="H512" t="s">
        <v>52</v>
      </c>
      <c r="I512" t="s">
        <v>52</v>
      </c>
      <c r="J512" t="s">
        <v>52</v>
      </c>
      <c r="K512" t="s">
        <v>52</v>
      </c>
      <c r="L512" s="2">
        <v>2</v>
      </c>
      <c r="M512" s="2">
        <v>1</v>
      </c>
      <c r="N512" s="2">
        <v>1</v>
      </c>
      <c r="O512" s="2">
        <v>0.5</v>
      </c>
      <c r="P512" s="2">
        <v>1</v>
      </c>
      <c r="Q512" s="2">
        <v>1</v>
      </c>
      <c r="R512" s="2">
        <v>2</v>
      </c>
      <c r="S512" s="2">
        <v>2</v>
      </c>
      <c r="T512" s="2">
        <v>1</v>
      </c>
      <c r="U512" s="2">
        <v>0.5</v>
      </c>
      <c r="V512" s="2">
        <v>0.5</v>
      </c>
      <c r="W512" s="2">
        <v>2</v>
      </c>
      <c r="X512" s="2">
        <v>1</v>
      </c>
      <c r="Y512" s="2">
        <v>2</v>
      </c>
      <c r="Z512" s="2">
        <v>1</v>
      </c>
      <c r="AA512" s="2">
        <v>1</v>
      </c>
      <c r="AB512" s="2">
        <v>1</v>
      </c>
      <c r="AC512" s="2">
        <v>0.5</v>
      </c>
      <c r="AD512" s="2">
        <v>53</v>
      </c>
      <c r="AE512" s="2">
        <v>5120</v>
      </c>
      <c r="AF512" s="2">
        <v>70</v>
      </c>
      <c r="AG512" s="2">
        <v>316</v>
      </c>
      <c r="AH512" s="2">
        <v>190</v>
      </c>
      <c r="AI512" s="2">
        <v>48</v>
      </c>
      <c r="AJ512" s="1">
        <v>1000000</v>
      </c>
      <c r="AK512" s="1">
        <v>0.6</v>
      </c>
      <c r="AL512" s="1">
        <v>50</v>
      </c>
      <c r="AM512" s="2">
        <v>88.1</v>
      </c>
      <c r="AN512" s="2">
        <f t="shared" si="7"/>
        <v>11.900000000000006</v>
      </c>
      <c r="AO512" s="3">
        <v>511</v>
      </c>
      <c r="AP512" s="3">
        <v>53</v>
      </c>
      <c r="AQ512" s="3">
        <v>48</v>
      </c>
      <c r="AR512" s="3">
        <v>64</v>
      </c>
      <c r="AS512" s="1">
        <v>10.5</v>
      </c>
      <c r="AT512" s="3">
        <v>5</v>
      </c>
      <c r="AU512" s="3" t="s">
        <v>3051</v>
      </c>
    </row>
    <row r="513" spans="1:47" x14ac:dyDescent="0.3">
      <c r="A513" s="1" t="s">
        <v>1450</v>
      </c>
      <c r="B513" s="1" t="s">
        <v>1449</v>
      </c>
      <c r="C513" s="1" t="s">
        <v>42</v>
      </c>
      <c r="D513" s="1" t="s">
        <v>52</v>
      </c>
      <c r="E513" s="1" t="s">
        <v>1448</v>
      </c>
      <c r="F513" t="s">
        <v>3177</v>
      </c>
      <c r="G513" t="s">
        <v>3113</v>
      </c>
      <c r="H513" t="s">
        <v>52</v>
      </c>
      <c r="I513" t="s">
        <v>52</v>
      </c>
      <c r="J513" t="s">
        <v>52</v>
      </c>
      <c r="K513" t="s">
        <v>52</v>
      </c>
      <c r="L513" s="2">
        <v>2</v>
      </c>
      <c r="M513" s="2">
        <v>1</v>
      </c>
      <c r="N513" s="2">
        <v>1</v>
      </c>
      <c r="O513" s="2">
        <v>0.5</v>
      </c>
      <c r="P513" s="2">
        <v>1</v>
      </c>
      <c r="Q513" s="2">
        <v>1</v>
      </c>
      <c r="R513" s="2">
        <v>2</v>
      </c>
      <c r="S513" s="2">
        <v>2</v>
      </c>
      <c r="T513" s="2">
        <v>1</v>
      </c>
      <c r="U513" s="2">
        <v>0.5</v>
      </c>
      <c r="V513" s="2">
        <v>0.5</v>
      </c>
      <c r="W513" s="2">
        <v>2</v>
      </c>
      <c r="X513" s="2">
        <v>1</v>
      </c>
      <c r="Y513" s="2">
        <v>2</v>
      </c>
      <c r="Z513" s="2">
        <v>1</v>
      </c>
      <c r="AA513" s="2">
        <v>1</v>
      </c>
      <c r="AB513" s="2">
        <v>1</v>
      </c>
      <c r="AC513" s="2">
        <v>0.5</v>
      </c>
      <c r="AD513" s="2">
        <v>98</v>
      </c>
      <c r="AE513" s="2">
        <v>5120</v>
      </c>
      <c r="AF513" s="2">
        <v>70</v>
      </c>
      <c r="AG513" s="2">
        <v>498</v>
      </c>
      <c r="AH513" s="2">
        <v>75</v>
      </c>
      <c r="AI513" s="2">
        <v>63</v>
      </c>
      <c r="AJ513" s="1">
        <v>1000000</v>
      </c>
      <c r="AK513" s="1">
        <v>1.1000000000000001</v>
      </c>
      <c r="AL513" s="1">
        <v>75</v>
      </c>
      <c r="AM513" s="2">
        <v>88.1</v>
      </c>
      <c r="AN513" s="2">
        <f t="shared" si="7"/>
        <v>11.900000000000006</v>
      </c>
      <c r="AO513" s="3">
        <v>512</v>
      </c>
      <c r="AP513" s="3">
        <v>98</v>
      </c>
      <c r="AQ513" s="3">
        <v>63</v>
      </c>
      <c r="AR513" s="3">
        <v>101</v>
      </c>
      <c r="AS513" s="1">
        <v>30.5</v>
      </c>
      <c r="AT513" s="3">
        <v>5</v>
      </c>
      <c r="AU513" s="3" t="s">
        <v>3051</v>
      </c>
    </row>
    <row r="514" spans="1:47" x14ac:dyDescent="0.3">
      <c r="A514" s="1" t="s">
        <v>1453</v>
      </c>
      <c r="B514" s="1" t="s">
        <v>1452</v>
      </c>
      <c r="C514" s="1" t="s">
        <v>51</v>
      </c>
      <c r="D514" s="1" t="s">
        <v>52</v>
      </c>
      <c r="E514" s="1" t="s">
        <v>1451</v>
      </c>
      <c r="F514" t="s">
        <v>3177</v>
      </c>
      <c r="G514" t="s">
        <v>3114</v>
      </c>
      <c r="H514" t="s">
        <v>52</v>
      </c>
      <c r="I514" t="s">
        <v>52</v>
      </c>
      <c r="J514" t="s">
        <v>52</v>
      </c>
      <c r="K514" t="s">
        <v>52</v>
      </c>
      <c r="L514" s="2">
        <v>0.5</v>
      </c>
      <c r="M514" s="2">
        <v>1</v>
      </c>
      <c r="N514" s="2">
        <v>1</v>
      </c>
      <c r="O514" s="2">
        <v>1</v>
      </c>
      <c r="P514" s="2">
        <v>0.5</v>
      </c>
      <c r="Q514" s="2">
        <v>1</v>
      </c>
      <c r="R514" s="2">
        <v>0.5</v>
      </c>
      <c r="S514" s="2">
        <v>1</v>
      </c>
      <c r="T514" s="2">
        <v>1</v>
      </c>
      <c r="U514" s="2">
        <v>0.5</v>
      </c>
      <c r="V514" s="2">
        <v>2</v>
      </c>
      <c r="W514" s="2">
        <v>0.5</v>
      </c>
      <c r="X514" s="2">
        <v>1</v>
      </c>
      <c r="Y514" s="2">
        <v>1</v>
      </c>
      <c r="Z514" s="2">
        <v>1</v>
      </c>
      <c r="AA514" s="2">
        <v>2</v>
      </c>
      <c r="AB514" s="2">
        <v>0.5</v>
      </c>
      <c r="AC514" s="2">
        <v>2</v>
      </c>
      <c r="AD514" s="2">
        <v>53</v>
      </c>
      <c r="AE514" s="2">
        <v>5120</v>
      </c>
      <c r="AF514" s="2">
        <v>70</v>
      </c>
      <c r="AG514" s="2">
        <v>316</v>
      </c>
      <c r="AH514" s="2">
        <v>190</v>
      </c>
      <c r="AI514" s="2">
        <v>48</v>
      </c>
      <c r="AJ514" s="1">
        <v>1000000</v>
      </c>
      <c r="AK514" s="1">
        <v>0.6</v>
      </c>
      <c r="AL514" s="1">
        <v>50</v>
      </c>
      <c r="AM514" s="2">
        <v>88.1</v>
      </c>
      <c r="AN514" s="2">
        <f t="shared" si="7"/>
        <v>11.900000000000006</v>
      </c>
      <c r="AO514" s="3">
        <v>513</v>
      </c>
      <c r="AP514" s="3">
        <v>53</v>
      </c>
      <c r="AQ514" s="3">
        <v>48</v>
      </c>
      <c r="AR514" s="3">
        <v>64</v>
      </c>
      <c r="AS514" s="1">
        <v>11</v>
      </c>
      <c r="AT514" s="3">
        <v>5</v>
      </c>
      <c r="AU514" s="3" t="s">
        <v>3051</v>
      </c>
    </row>
    <row r="515" spans="1:47" x14ac:dyDescent="0.3">
      <c r="A515" s="1" t="s">
        <v>1456</v>
      </c>
      <c r="B515" s="1" t="s">
        <v>1455</v>
      </c>
      <c r="C515" s="1" t="s">
        <v>51</v>
      </c>
      <c r="D515" s="1" t="s">
        <v>52</v>
      </c>
      <c r="E515" s="1" t="s">
        <v>1454</v>
      </c>
      <c r="F515" t="s">
        <v>3177</v>
      </c>
      <c r="G515" t="s">
        <v>3114</v>
      </c>
      <c r="H515" t="s">
        <v>52</v>
      </c>
      <c r="I515" t="s">
        <v>52</v>
      </c>
      <c r="J515" t="s">
        <v>52</v>
      </c>
      <c r="K515" t="s">
        <v>52</v>
      </c>
      <c r="L515" s="2">
        <v>0.5</v>
      </c>
      <c r="M515" s="2">
        <v>1</v>
      </c>
      <c r="N515" s="2">
        <v>1</v>
      </c>
      <c r="O515" s="2">
        <v>1</v>
      </c>
      <c r="P515" s="2">
        <v>0.5</v>
      </c>
      <c r="Q515" s="2">
        <v>1</v>
      </c>
      <c r="R515" s="2">
        <v>0.5</v>
      </c>
      <c r="S515" s="2">
        <v>1</v>
      </c>
      <c r="T515" s="2">
        <v>1</v>
      </c>
      <c r="U515" s="2">
        <v>0.5</v>
      </c>
      <c r="V515" s="2">
        <v>2</v>
      </c>
      <c r="W515" s="2">
        <v>0.5</v>
      </c>
      <c r="X515" s="2">
        <v>1</v>
      </c>
      <c r="Y515" s="2">
        <v>1</v>
      </c>
      <c r="Z515" s="2">
        <v>1</v>
      </c>
      <c r="AA515" s="2">
        <v>2</v>
      </c>
      <c r="AB515" s="2">
        <v>0.5</v>
      </c>
      <c r="AC515" s="2">
        <v>2</v>
      </c>
      <c r="AD515" s="2">
        <v>98</v>
      </c>
      <c r="AE515" s="2">
        <v>5120</v>
      </c>
      <c r="AF515" s="2">
        <v>70</v>
      </c>
      <c r="AG515" s="2">
        <v>498</v>
      </c>
      <c r="AH515" s="2">
        <v>75</v>
      </c>
      <c r="AI515" s="2">
        <v>63</v>
      </c>
      <c r="AJ515" s="1">
        <v>1000000</v>
      </c>
      <c r="AK515" s="1">
        <v>1</v>
      </c>
      <c r="AL515" s="1">
        <v>75</v>
      </c>
      <c r="AM515" s="2">
        <v>88.1</v>
      </c>
      <c r="AN515" s="2">
        <f t="shared" ref="AN515:AN578" si="8">IF(AM515="","",100-AM515)</f>
        <v>11.900000000000006</v>
      </c>
      <c r="AO515" s="3">
        <v>514</v>
      </c>
      <c r="AP515" s="3">
        <v>98</v>
      </c>
      <c r="AQ515" s="3">
        <v>63</v>
      </c>
      <c r="AR515" s="3">
        <v>101</v>
      </c>
      <c r="AS515" s="1">
        <v>28</v>
      </c>
      <c r="AT515" s="3">
        <v>5</v>
      </c>
      <c r="AU515" s="3" t="s">
        <v>3051</v>
      </c>
    </row>
    <row r="516" spans="1:47" x14ac:dyDescent="0.3">
      <c r="A516" s="1" t="s">
        <v>1459</v>
      </c>
      <c r="B516" s="1" t="s">
        <v>1458</v>
      </c>
      <c r="C516" s="1" t="s">
        <v>62</v>
      </c>
      <c r="D516" s="1" t="s">
        <v>52</v>
      </c>
      <c r="E516" s="1" t="s">
        <v>1457</v>
      </c>
      <c r="F516" t="s">
        <v>3177</v>
      </c>
      <c r="G516" t="s">
        <v>3115</v>
      </c>
      <c r="H516" t="s">
        <v>52</v>
      </c>
      <c r="I516" t="s">
        <v>52</v>
      </c>
      <c r="J516" t="s">
        <v>52</v>
      </c>
      <c r="K516" t="s">
        <v>52</v>
      </c>
      <c r="L516" s="2">
        <v>1</v>
      </c>
      <c r="M516" s="2">
        <v>1</v>
      </c>
      <c r="N516" s="2">
        <v>1</v>
      </c>
      <c r="O516" s="2">
        <v>2</v>
      </c>
      <c r="P516" s="2">
        <v>1</v>
      </c>
      <c r="Q516" s="2">
        <v>1</v>
      </c>
      <c r="R516" s="2">
        <v>0.5</v>
      </c>
      <c r="S516" s="2">
        <v>1</v>
      </c>
      <c r="T516" s="2">
        <v>1</v>
      </c>
      <c r="U516" s="2">
        <v>2</v>
      </c>
      <c r="V516" s="2">
        <v>1</v>
      </c>
      <c r="W516" s="2">
        <v>0.5</v>
      </c>
      <c r="X516" s="2">
        <v>1</v>
      </c>
      <c r="Y516" s="2">
        <v>1</v>
      </c>
      <c r="Z516" s="2">
        <v>1</v>
      </c>
      <c r="AA516" s="2">
        <v>1</v>
      </c>
      <c r="AB516" s="2">
        <v>0.5</v>
      </c>
      <c r="AC516" s="2">
        <v>0.5</v>
      </c>
      <c r="AD516" s="2">
        <v>53</v>
      </c>
      <c r="AE516" s="2">
        <v>5120</v>
      </c>
      <c r="AF516" s="2">
        <v>70</v>
      </c>
      <c r="AG516" s="2">
        <v>316</v>
      </c>
      <c r="AH516" s="2">
        <v>190</v>
      </c>
      <c r="AI516" s="2">
        <v>48</v>
      </c>
      <c r="AJ516" s="1">
        <v>1000000</v>
      </c>
      <c r="AK516" s="1">
        <v>0.6</v>
      </c>
      <c r="AL516" s="1">
        <v>50</v>
      </c>
      <c r="AM516" s="2">
        <v>88.1</v>
      </c>
      <c r="AN516" s="2">
        <f t="shared" si="8"/>
        <v>11.900000000000006</v>
      </c>
      <c r="AO516" s="3">
        <v>515</v>
      </c>
      <c r="AP516" s="3">
        <v>53</v>
      </c>
      <c r="AQ516" s="3">
        <v>48</v>
      </c>
      <c r="AR516" s="3">
        <v>64</v>
      </c>
      <c r="AS516" s="1">
        <v>13.5</v>
      </c>
      <c r="AT516" s="3">
        <v>5</v>
      </c>
      <c r="AU516" s="3" t="s">
        <v>3051</v>
      </c>
    </row>
    <row r="517" spans="1:47" x14ac:dyDescent="0.3">
      <c r="A517" s="1" t="s">
        <v>1462</v>
      </c>
      <c r="B517" s="1" t="s">
        <v>1461</v>
      </c>
      <c r="C517" s="1" t="s">
        <v>62</v>
      </c>
      <c r="D517" s="1" t="s">
        <v>52</v>
      </c>
      <c r="E517" s="1" t="s">
        <v>1460</v>
      </c>
      <c r="F517" t="s">
        <v>3177</v>
      </c>
      <c r="G517" t="s">
        <v>3115</v>
      </c>
      <c r="H517" t="s">
        <v>52</v>
      </c>
      <c r="I517" t="s">
        <v>52</v>
      </c>
      <c r="J517" t="s">
        <v>52</v>
      </c>
      <c r="K517" t="s">
        <v>52</v>
      </c>
      <c r="L517" s="2">
        <v>1</v>
      </c>
      <c r="M517" s="2">
        <v>1</v>
      </c>
      <c r="N517" s="2">
        <v>1</v>
      </c>
      <c r="O517" s="2">
        <v>2</v>
      </c>
      <c r="P517" s="2">
        <v>1</v>
      </c>
      <c r="Q517" s="2">
        <v>1</v>
      </c>
      <c r="R517" s="2">
        <v>0.5</v>
      </c>
      <c r="S517" s="2">
        <v>1</v>
      </c>
      <c r="T517" s="2">
        <v>1</v>
      </c>
      <c r="U517" s="2">
        <v>2</v>
      </c>
      <c r="V517" s="2">
        <v>1</v>
      </c>
      <c r="W517" s="2">
        <v>0.5</v>
      </c>
      <c r="X517" s="2">
        <v>1</v>
      </c>
      <c r="Y517" s="2">
        <v>1</v>
      </c>
      <c r="Z517" s="2">
        <v>1</v>
      </c>
      <c r="AA517" s="2">
        <v>1</v>
      </c>
      <c r="AB517" s="2">
        <v>0.5</v>
      </c>
      <c r="AC517" s="2">
        <v>0.5</v>
      </c>
      <c r="AD517" s="2">
        <v>98</v>
      </c>
      <c r="AE517" s="2">
        <v>5120</v>
      </c>
      <c r="AF517" s="2">
        <v>70</v>
      </c>
      <c r="AG517" s="2">
        <v>498</v>
      </c>
      <c r="AH517" s="2">
        <v>75</v>
      </c>
      <c r="AI517" s="2">
        <v>63</v>
      </c>
      <c r="AJ517" s="1">
        <v>1000000</v>
      </c>
      <c r="AK517" s="1">
        <v>1</v>
      </c>
      <c r="AL517" s="1">
        <v>75</v>
      </c>
      <c r="AM517" s="2">
        <v>88.1</v>
      </c>
      <c r="AN517" s="2">
        <f t="shared" si="8"/>
        <v>11.900000000000006</v>
      </c>
      <c r="AO517" s="3">
        <v>516</v>
      </c>
      <c r="AP517" s="3">
        <v>98</v>
      </c>
      <c r="AQ517" s="3">
        <v>63</v>
      </c>
      <c r="AR517" s="3">
        <v>101</v>
      </c>
      <c r="AS517" s="1">
        <v>29</v>
      </c>
      <c r="AT517" s="3">
        <v>5</v>
      </c>
      <c r="AU517" s="3" t="s">
        <v>3051</v>
      </c>
    </row>
    <row r="518" spans="1:47" x14ac:dyDescent="0.3">
      <c r="A518" s="1" t="s">
        <v>1465</v>
      </c>
      <c r="B518" s="1" t="s">
        <v>1464</v>
      </c>
      <c r="C518" s="1" t="s">
        <v>216</v>
      </c>
      <c r="D518" s="1" t="s">
        <v>52</v>
      </c>
      <c r="E518" s="1" t="s">
        <v>1463</v>
      </c>
      <c r="F518" t="s">
        <v>3178</v>
      </c>
      <c r="G518" t="s">
        <v>3057</v>
      </c>
      <c r="H518" t="s">
        <v>3189</v>
      </c>
      <c r="I518" t="s">
        <v>52</v>
      </c>
      <c r="J518" t="s">
        <v>52</v>
      </c>
      <c r="K518" t="s">
        <v>52</v>
      </c>
      <c r="L518" s="2">
        <v>2</v>
      </c>
      <c r="M518" s="2">
        <v>2</v>
      </c>
      <c r="N518" s="2">
        <v>1</v>
      </c>
      <c r="O518" s="2">
        <v>1</v>
      </c>
      <c r="P518" s="2">
        <v>1</v>
      </c>
      <c r="Q518" s="2">
        <v>0.5</v>
      </c>
      <c r="R518" s="2">
        <v>1</v>
      </c>
      <c r="S518" s="2">
        <v>1</v>
      </c>
      <c r="T518" s="2">
        <v>2</v>
      </c>
      <c r="U518" s="2">
        <v>1</v>
      </c>
      <c r="V518" s="2">
        <v>1</v>
      </c>
      <c r="W518" s="2">
        <v>1</v>
      </c>
      <c r="X518" s="2">
        <v>1</v>
      </c>
      <c r="Y518" s="2">
        <v>1</v>
      </c>
      <c r="Z518" s="2">
        <v>0.5</v>
      </c>
      <c r="AA518" s="2">
        <v>1</v>
      </c>
      <c r="AB518" s="2">
        <v>1</v>
      </c>
      <c r="AC518" s="2">
        <v>1</v>
      </c>
      <c r="AD518" s="2">
        <v>25</v>
      </c>
      <c r="AE518" s="2">
        <v>2560</v>
      </c>
      <c r="AF518" s="2">
        <v>70</v>
      </c>
      <c r="AG518" s="2">
        <v>292</v>
      </c>
      <c r="AH518" s="2">
        <v>190</v>
      </c>
      <c r="AI518" s="2">
        <v>45</v>
      </c>
      <c r="AJ518" s="1">
        <v>800000</v>
      </c>
      <c r="AK518" s="1">
        <v>0.6</v>
      </c>
      <c r="AL518" s="1">
        <v>76</v>
      </c>
      <c r="AM518" s="2">
        <v>50</v>
      </c>
      <c r="AN518" s="2">
        <f t="shared" si="8"/>
        <v>50</v>
      </c>
      <c r="AO518" s="3">
        <v>517</v>
      </c>
      <c r="AP518" s="3">
        <v>67</v>
      </c>
      <c r="AQ518" s="3">
        <v>55</v>
      </c>
      <c r="AR518" s="3">
        <v>24</v>
      </c>
      <c r="AS518" s="1">
        <v>23.3</v>
      </c>
      <c r="AT518" s="3">
        <v>5</v>
      </c>
      <c r="AU518" s="3" t="s">
        <v>3051</v>
      </c>
    </row>
    <row r="519" spans="1:47" x14ac:dyDescent="0.3">
      <c r="A519" s="1" t="s">
        <v>1468</v>
      </c>
      <c r="B519" s="1" t="s">
        <v>1467</v>
      </c>
      <c r="C519" s="1" t="s">
        <v>216</v>
      </c>
      <c r="D519" s="1" t="s">
        <v>52</v>
      </c>
      <c r="E519" s="1" t="s">
        <v>1466</v>
      </c>
      <c r="F519" t="s">
        <v>3178</v>
      </c>
      <c r="G519" t="s">
        <v>3057</v>
      </c>
      <c r="H519" t="s">
        <v>3189</v>
      </c>
      <c r="I519" t="s">
        <v>52</v>
      </c>
      <c r="J519" t="s">
        <v>52</v>
      </c>
      <c r="K519" t="s">
        <v>52</v>
      </c>
      <c r="L519" s="2">
        <v>2</v>
      </c>
      <c r="M519" s="2">
        <v>2</v>
      </c>
      <c r="N519" s="2">
        <v>1</v>
      </c>
      <c r="O519" s="2">
        <v>1</v>
      </c>
      <c r="P519" s="2">
        <v>1</v>
      </c>
      <c r="Q519" s="2">
        <v>0.5</v>
      </c>
      <c r="R519" s="2">
        <v>1</v>
      </c>
      <c r="S519" s="2">
        <v>1</v>
      </c>
      <c r="T519" s="2">
        <v>2</v>
      </c>
      <c r="U519" s="2">
        <v>1</v>
      </c>
      <c r="V519" s="2">
        <v>1</v>
      </c>
      <c r="W519" s="2">
        <v>1</v>
      </c>
      <c r="X519" s="2">
        <v>1</v>
      </c>
      <c r="Y519" s="2">
        <v>1</v>
      </c>
      <c r="Z519" s="2">
        <v>0.5</v>
      </c>
      <c r="AA519" s="2">
        <v>1</v>
      </c>
      <c r="AB519" s="2">
        <v>1</v>
      </c>
      <c r="AC519" s="2">
        <v>1</v>
      </c>
      <c r="AD519" s="2">
        <v>55</v>
      </c>
      <c r="AE519" s="2">
        <v>2560</v>
      </c>
      <c r="AF519" s="2">
        <v>70</v>
      </c>
      <c r="AG519" s="2">
        <v>487</v>
      </c>
      <c r="AH519" s="2">
        <v>75</v>
      </c>
      <c r="AI519" s="2">
        <v>85</v>
      </c>
      <c r="AJ519" s="1">
        <v>800000</v>
      </c>
      <c r="AK519" s="1">
        <v>1.1000000000000001</v>
      </c>
      <c r="AL519" s="1">
        <v>116</v>
      </c>
      <c r="AM519" s="2">
        <v>50</v>
      </c>
      <c r="AN519" s="2">
        <f t="shared" si="8"/>
        <v>50</v>
      </c>
      <c r="AO519" s="3">
        <v>518</v>
      </c>
      <c r="AP519" s="3">
        <v>107</v>
      </c>
      <c r="AQ519" s="3">
        <v>95</v>
      </c>
      <c r="AR519" s="3">
        <v>29</v>
      </c>
      <c r="AS519" s="1">
        <v>60.5</v>
      </c>
      <c r="AT519" s="3">
        <v>5</v>
      </c>
      <c r="AU519" s="3" t="s">
        <v>3051</v>
      </c>
    </row>
    <row r="520" spans="1:47" x14ac:dyDescent="0.3">
      <c r="A520" s="1" t="s">
        <v>1471</v>
      </c>
      <c r="B520" s="1" t="s">
        <v>1470</v>
      </c>
      <c r="C520" s="1" t="s">
        <v>90</v>
      </c>
      <c r="D520" s="1" t="s">
        <v>58</v>
      </c>
      <c r="E520" s="1" t="s">
        <v>1469</v>
      </c>
      <c r="F520" t="s">
        <v>3179</v>
      </c>
      <c r="G520" t="s">
        <v>3256</v>
      </c>
      <c r="H520" t="s">
        <v>3164</v>
      </c>
      <c r="I520" t="s">
        <v>52</v>
      </c>
      <c r="J520" t="s">
        <v>52</v>
      </c>
      <c r="K520" t="s">
        <v>52</v>
      </c>
      <c r="L520" s="2">
        <v>0.5</v>
      </c>
      <c r="M520" s="2">
        <v>1</v>
      </c>
      <c r="N520" s="2">
        <v>1</v>
      </c>
      <c r="O520" s="2">
        <v>2</v>
      </c>
      <c r="P520" s="2">
        <v>1</v>
      </c>
      <c r="Q520" s="2">
        <v>1</v>
      </c>
      <c r="R520" s="2">
        <v>1</v>
      </c>
      <c r="S520" s="2">
        <v>1</v>
      </c>
      <c r="T520" s="2">
        <v>0</v>
      </c>
      <c r="U520" s="2">
        <v>0.5</v>
      </c>
      <c r="V520" s="2">
        <v>0</v>
      </c>
      <c r="W520" s="2">
        <v>2</v>
      </c>
      <c r="X520" s="2">
        <v>1</v>
      </c>
      <c r="Y520" s="2">
        <v>1</v>
      </c>
      <c r="Z520" s="2">
        <v>1</v>
      </c>
      <c r="AA520" s="2">
        <v>2</v>
      </c>
      <c r="AB520" s="2">
        <v>1</v>
      </c>
      <c r="AC520" s="2">
        <v>1</v>
      </c>
      <c r="AD520" s="2">
        <v>55</v>
      </c>
      <c r="AE520" s="2">
        <v>3840</v>
      </c>
      <c r="AF520" s="2">
        <v>70</v>
      </c>
      <c r="AG520" s="2">
        <v>264</v>
      </c>
      <c r="AH520" s="2">
        <v>255</v>
      </c>
      <c r="AI520" s="2">
        <v>50</v>
      </c>
      <c r="AJ520" s="1">
        <v>1059860</v>
      </c>
      <c r="AK520" s="1">
        <v>0.3</v>
      </c>
      <c r="AL520" s="1">
        <v>50</v>
      </c>
      <c r="AM520" s="2">
        <v>50</v>
      </c>
      <c r="AN520" s="2">
        <f t="shared" si="8"/>
        <v>50</v>
      </c>
      <c r="AO520" s="3">
        <v>519</v>
      </c>
      <c r="AP520" s="3">
        <v>36</v>
      </c>
      <c r="AQ520" s="3">
        <v>30</v>
      </c>
      <c r="AR520" s="3">
        <v>43</v>
      </c>
      <c r="AS520" s="1">
        <v>2.1</v>
      </c>
      <c r="AT520" s="3">
        <v>5</v>
      </c>
      <c r="AU520" s="3" t="s">
        <v>3051</v>
      </c>
    </row>
    <row r="521" spans="1:47" x14ac:dyDescent="0.3">
      <c r="A521" s="1" t="s">
        <v>1474</v>
      </c>
      <c r="B521" s="1" t="s">
        <v>1473</v>
      </c>
      <c r="C521" s="1" t="s">
        <v>90</v>
      </c>
      <c r="D521" s="1" t="s">
        <v>58</v>
      </c>
      <c r="E521" s="1" t="s">
        <v>1472</v>
      </c>
      <c r="F521" t="s">
        <v>3179</v>
      </c>
      <c r="G521" t="s">
        <v>3256</v>
      </c>
      <c r="H521" t="s">
        <v>3164</v>
      </c>
      <c r="I521" t="s">
        <v>52</v>
      </c>
      <c r="J521" t="s">
        <v>52</v>
      </c>
      <c r="K521" t="s">
        <v>52</v>
      </c>
      <c r="L521" s="2">
        <v>0.5</v>
      </c>
      <c r="M521" s="2">
        <v>1</v>
      </c>
      <c r="N521" s="2">
        <v>1</v>
      </c>
      <c r="O521" s="2">
        <v>2</v>
      </c>
      <c r="P521" s="2">
        <v>1</v>
      </c>
      <c r="Q521" s="2">
        <v>1</v>
      </c>
      <c r="R521" s="2">
        <v>1</v>
      </c>
      <c r="S521" s="2">
        <v>1</v>
      </c>
      <c r="T521" s="2">
        <v>0</v>
      </c>
      <c r="U521" s="2">
        <v>0.5</v>
      </c>
      <c r="V521" s="2">
        <v>0</v>
      </c>
      <c r="W521" s="2">
        <v>2</v>
      </c>
      <c r="X521" s="2">
        <v>1</v>
      </c>
      <c r="Y521" s="2">
        <v>1</v>
      </c>
      <c r="Z521" s="2">
        <v>1</v>
      </c>
      <c r="AA521" s="2">
        <v>2</v>
      </c>
      <c r="AB521" s="2">
        <v>1</v>
      </c>
      <c r="AC521" s="2">
        <v>1</v>
      </c>
      <c r="AD521" s="2">
        <v>77</v>
      </c>
      <c r="AE521" s="2">
        <v>3840</v>
      </c>
      <c r="AF521" s="2">
        <v>70</v>
      </c>
      <c r="AG521" s="2">
        <v>358</v>
      </c>
      <c r="AH521" s="2">
        <v>120</v>
      </c>
      <c r="AI521" s="2">
        <v>62</v>
      </c>
      <c r="AJ521" s="1">
        <v>1059860</v>
      </c>
      <c r="AK521" s="1">
        <v>0.6</v>
      </c>
      <c r="AL521" s="1">
        <v>62</v>
      </c>
      <c r="AM521" s="2">
        <v>50</v>
      </c>
      <c r="AN521" s="2">
        <f t="shared" si="8"/>
        <v>50</v>
      </c>
      <c r="AO521" s="3">
        <v>520</v>
      </c>
      <c r="AP521" s="3">
        <v>50</v>
      </c>
      <c r="AQ521" s="3">
        <v>42</v>
      </c>
      <c r="AR521" s="3">
        <v>65</v>
      </c>
      <c r="AS521" s="1">
        <v>15</v>
      </c>
      <c r="AT521" s="3">
        <v>5</v>
      </c>
      <c r="AU521" s="3" t="s">
        <v>3051</v>
      </c>
    </row>
    <row r="522" spans="1:47" x14ac:dyDescent="0.3">
      <c r="A522" s="1" t="s">
        <v>1477</v>
      </c>
      <c r="B522" s="1" t="s">
        <v>1476</v>
      </c>
      <c r="C522" s="1" t="s">
        <v>90</v>
      </c>
      <c r="D522" s="1" t="s">
        <v>58</v>
      </c>
      <c r="E522" s="1" t="s">
        <v>1475</v>
      </c>
      <c r="F522" t="s">
        <v>3179</v>
      </c>
      <c r="G522" t="s">
        <v>3256</v>
      </c>
      <c r="H522" t="s">
        <v>3164</v>
      </c>
      <c r="I522" t="s">
        <v>52</v>
      </c>
      <c r="J522" t="s">
        <v>52</v>
      </c>
      <c r="K522" t="s">
        <v>52</v>
      </c>
      <c r="L522" s="2">
        <v>0.5</v>
      </c>
      <c r="M522" s="2">
        <v>1</v>
      </c>
      <c r="N522" s="2">
        <v>1</v>
      </c>
      <c r="O522" s="2">
        <v>2</v>
      </c>
      <c r="P522" s="2">
        <v>1</v>
      </c>
      <c r="Q522" s="2">
        <v>1</v>
      </c>
      <c r="R522" s="2">
        <v>1</v>
      </c>
      <c r="S522" s="2">
        <v>1</v>
      </c>
      <c r="T522" s="2">
        <v>0</v>
      </c>
      <c r="U522" s="2">
        <v>0.5</v>
      </c>
      <c r="V522" s="2">
        <v>0</v>
      </c>
      <c r="W522" s="2">
        <v>2</v>
      </c>
      <c r="X522" s="2">
        <v>1</v>
      </c>
      <c r="Y522" s="2">
        <v>1</v>
      </c>
      <c r="Z522" s="2">
        <v>1</v>
      </c>
      <c r="AA522" s="2">
        <v>2</v>
      </c>
      <c r="AB522" s="2">
        <v>1</v>
      </c>
      <c r="AC522" s="2">
        <v>1</v>
      </c>
      <c r="AD522" s="2">
        <v>115</v>
      </c>
      <c r="AE522" s="2">
        <v>3840</v>
      </c>
      <c r="AF522" s="2">
        <v>70</v>
      </c>
      <c r="AG522" s="2">
        <v>488</v>
      </c>
      <c r="AH522" s="2">
        <v>45</v>
      </c>
      <c r="AI522" s="2">
        <v>80</v>
      </c>
      <c r="AJ522" s="1">
        <v>1059860</v>
      </c>
      <c r="AK522" s="1">
        <v>1.2</v>
      </c>
      <c r="AL522" s="1">
        <v>80</v>
      </c>
      <c r="AM522" s="2">
        <v>50</v>
      </c>
      <c r="AN522" s="2">
        <f t="shared" si="8"/>
        <v>50</v>
      </c>
      <c r="AO522" s="3">
        <v>521</v>
      </c>
      <c r="AP522" s="3">
        <v>65</v>
      </c>
      <c r="AQ522" s="3">
        <v>55</v>
      </c>
      <c r="AR522" s="3">
        <v>93</v>
      </c>
      <c r="AS522" s="1">
        <v>29</v>
      </c>
      <c r="AT522" s="3">
        <v>5</v>
      </c>
      <c r="AU522" s="3" t="s">
        <v>3051</v>
      </c>
    </row>
    <row r="523" spans="1:47" x14ac:dyDescent="0.3">
      <c r="A523" s="1" t="s">
        <v>1480</v>
      </c>
      <c r="B523" s="1" t="s">
        <v>1479</v>
      </c>
      <c r="C523" s="1" t="s">
        <v>115</v>
      </c>
      <c r="D523" s="1" t="s">
        <v>52</v>
      </c>
      <c r="E523" s="1" t="s">
        <v>1478</v>
      </c>
      <c r="F523" t="s">
        <v>3141</v>
      </c>
      <c r="G523" t="s">
        <v>3173</v>
      </c>
      <c r="H523" t="s">
        <v>3194</v>
      </c>
      <c r="I523" t="s">
        <v>52</v>
      </c>
      <c r="J523" t="s">
        <v>52</v>
      </c>
      <c r="K523" t="s">
        <v>52</v>
      </c>
      <c r="L523" s="2">
        <v>1</v>
      </c>
      <c r="M523" s="2">
        <v>1</v>
      </c>
      <c r="N523" s="2">
        <v>1</v>
      </c>
      <c r="O523" s="2">
        <v>0.5</v>
      </c>
      <c r="P523" s="2">
        <v>1</v>
      </c>
      <c r="Q523" s="2">
        <v>1</v>
      </c>
      <c r="R523" s="2">
        <v>1</v>
      </c>
      <c r="S523" s="2">
        <v>0.5</v>
      </c>
      <c r="T523" s="2">
        <v>1</v>
      </c>
      <c r="U523" s="2">
        <v>1</v>
      </c>
      <c r="V523" s="2">
        <v>2</v>
      </c>
      <c r="W523" s="2">
        <v>1</v>
      </c>
      <c r="X523" s="2">
        <v>1</v>
      </c>
      <c r="Y523" s="2">
        <v>1</v>
      </c>
      <c r="Z523" s="2">
        <v>1</v>
      </c>
      <c r="AA523" s="2">
        <v>1</v>
      </c>
      <c r="AB523" s="2">
        <v>0.5</v>
      </c>
      <c r="AC523" s="2">
        <v>1</v>
      </c>
      <c r="AD523" s="2">
        <v>60</v>
      </c>
      <c r="AE523" s="2">
        <v>5120</v>
      </c>
      <c r="AF523" s="2">
        <v>70</v>
      </c>
      <c r="AG523" s="2">
        <v>295</v>
      </c>
      <c r="AH523" s="2">
        <v>190</v>
      </c>
      <c r="AI523" s="2">
        <v>32</v>
      </c>
      <c r="AJ523" s="1">
        <v>1000000</v>
      </c>
      <c r="AK523" s="1">
        <v>0.8</v>
      </c>
      <c r="AL523" s="1">
        <v>45</v>
      </c>
      <c r="AM523" s="2">
        <v>50</v>
      </c>
      <c r="AN523" s="2">
        <f t="shared" si="8"/>
        <v>50</v>
      </c>
      <c r="AO523" s="3">
        <v>522</v>
      </c>
      <c r="AP523" s="3">
        <v>50</v>
      </c>
      <c r="AQ523" s="3">
        <v>32</v>
      </c>
      <c r="AR523" s="3">
        <v>76</v>
      </c>
      <c r="AS523" s="1">
        <v>29.8</v>
      </c>
      <c r="AT523" s="3">
        <v>5</v>
      </c>
      <c r="AU523" s="3" t="s">
        <v>3051</v>
      </c>
    </row>
    <row r="524" spans="1:47" x14ac:dyDescent="0.3">
      <c r="A524" s="1" t="s">
        <v>1482</v>
      </c>
      <c r="B524" s="1" t="s">
        <v>1481</v>
      </c>
      <c r="C524" s="1" t="s">
        <v>115</v>
      </c>
      <c r="D524" s="1" t="s">
        <v>52</v>
      </c>
      <c r="E524" s="1" t="s">
        <v>1317</v>
      </c>
      <c r="F524" t="s">
        <v>3141</v>
      </c>
      <c r="G524" t="s">
        <v>3173</v>
      </c>
      <c r="H524" t="s">
        <v>3194</v>
      </c>
      <c r="I524" t="s">
        <v>52</v>
      </c>
      <c r="J524" t="s">
        <v>52</v>
      </c>
      <c r="K524" t="s">
        <v>52</v>
      </c>
      <c r="L524" s="2">
        <v>1</v>
      </c>
      <c r="M524" s="2">
        <v>1</v>
      </c>
      <c r="N524" s="2">
        <v>1</v>
      </c>
      <c r="O524" s="2">
        <v>0.5</v>
      </c>
      <c r="P524" s="2">
        <v>1</v>
      </c>
      <c r="Q524" s="2">
        <v>1</v>
      </c>
      <c r="R524" s="2">
        <v>1</v>
      </c>
      <c r="S524" s="2">
        <v>0.5</v>
      </c>
      <c r="T524" s="2">
        <v>1</v>
      </c>
      <c r="U524" s="2">
        <v>1</v>
      </c>
      <c r="V524" s="2">
        <v>2</v>
      </c>
      <c r="W524" s="2">
        <v>1</v>
      </c>
      <c r="X524" s="2">
        <v>1</v>
      </c>
      <c r="Y524" s="2">
        <v>1</v>
      </c>
      <c r="Z524" s="2">
        <v>1</v>
      </c>
      <c r="AA524" s="2">
        <v>1</v>
      </c>
      <c r="AB524" s="2">
        <v>0.5</v>
      </c>
      <c r="AC524" s="2">
        <v>1</v>
      </c>
      <c r="AD524" s="2">
        <v>100</v>
      </c>
      <c r="AE524" s="2">
        <v>5120</v>
      </c>
      <c r="AF524" s="2">
        <v>70</v>
      </c>
      <c r="AG524" s="2">
        <v>497</v>
      </c>
      <c r="AH524" s="2">
        <v>75</v>
      </c>
      <c r="AI524" s="2">
        <v>63</v>
      </c>
      <c r="AJ524" s="1">
        <v>1000000</v>
      </c>
      <c r="AK524" s="1">
        <v>1.6</v>
      </c>
      <c r="AL524" s="1">
        <v>75</v>
      </c>
      <c r="AM524" s="2">
        <v>50</v>
      </c>
      <c r="AN524" s="2">
        <f t="shared" si="8"/>
        <v>50</v>
      </c>
      <c r="AO524" s="3">
        <v>523</v>
      </c>
      <c r="AP524" s="3">
        <v>80</v>
      </c>
      <c r="AQ524" s="3">
        <v>63</v>
      </c>
      <c r="AR524" s="3">
        <v>116</v>
      </c>
      <c r="AS524" s="1">
        <v>79.5</v>
      </c>
      <c r="AT524" s="3">
        <v>5</v>
      </c>
      <c r="AU524" s="3" t="s">
        <v>3051</v>
      </c>
    </row>
    <row r="525" spans="1:47" x14ac:dyDescent="0.3">
      <c r="A525" s="1" t="s">
        <v>1485</v>
      </c>
      <c r="B525" s="1" t="s">
        <v>1484</v>
      </c>
      <c r="C525" s="1" t="s">
        <v>243</v>
      </c>
      <c r="D525" s="1" t="s">
        <v>52</v>
      </c>
      <c r="E525" s="1" t="s">
        <v>1483</v>
      </c>
      <c r="F525" t="s">
        <v>3107</v>
      </c>
      <c r="G525" t="s">
        <v>3247</v>
      </c>
      <c r="H525" t="s">
        <v>3192</v>
      </c>
      <c r="I525" t="s">
        <v>52</v>
      </c>
      <c r="J525" t="s">
        <v>52</v>
      </c>
      <c r="K525" t="s">
        <v>52</v>
      </c>
      <c r="L525" s="2">
        <v>1</v>
      </c>
      <c r="M525" s="2">
        <v>1</v>
      </c>
      <c r="N525" s="2">
        <v>1</v>
      </c>
      <c r="O525" s="2">
        <v>1</v>
      </c>
      <c r="P525" s="2">
        <v>1</v>
      </c>
      <c r="Q525" s="2">
        <v>2</v>
      </c>
      <c r="R525" s="2">
        <v>0.5</v>
      </c>
      <c r="S525" s="2">
        <v>0.5</v>
      </c>
      <c r="T525" s="2">
        <v>1</v>
      </c>
      <c r="U525" s="2">
        <v>2</v>
      </c>
      <c r="V525" s="2">
        <v>2</v>
      </c>
      <c r="W525" s="2">
        <v>1</v>
      </c>
      <c r="X525" s="2">
        <v>0.5</v>
      </c>
      <c r="Y525" s="2">
        <v>0.5</v>
      </c>
      <c r="Z525" s="2">
        <v>1</v>
      </c>
      <c r="AA525" s="2">
        <v>1</v>
      </c>
      <c r="AB525" s="2">
        <v>2</v>
      </c>
      <c r="AC525" s="2">
        <v>2</v>
      </c>
      <c r="AD525" s="2">
        <v>75</v>
      </c>
      <c r="AE525" s="2">
        <v>3840</v>
      </c>
      <c r="AF525" s="2">
        <v>70</v>
      </c>
      <c r="AG525" s="2">
        <v>280</v>
      </c>
      <c r="AH525" s="2">
        <v>255</v>
      </c>
      <c r="AI525" s="2">
        <v>85</v>
      </c>
      <c r="AJ525" s="1">
        <v>1059860</v>
      </c>
      <c r="AK525" s="1">
        <v>0.4</v>
      </c>
      <c r="AL525" s="1">
        <v>55</v>
      </c>
      <c r="AM525" s="2">
        <v>50</v>
      </c>
      <c r="AN525" s="2">
        <f t="shared" si="8"/>
        <v>50</v>
      </c>
      <c r="AO525" s="3">
        <v>524</v>
      </c>
      <c r="AP525" s="3">
        <v>25</v>
      </c>
      <c r="AQ525" s="3">
        <v>25</v>
      </c>
      <c r="AR525" s="3">
        <v>15</v>
      </c>
      <c r="AS525" s="1">
        <v>18</v>
      </c>
      <c r="AT525" s="3">
        <v>5</v>
      </c>
      <c r="AU525" s="3" t="s">
        <v>3051</v>
      </c>
    </row>
    <row r="526" spans="1:47" x14ac:dyDescent="0.3">
      <c r="A526" s="1" t="s">
        <v>1488</v>
      </c>
      <c r="B526" s="1" t="s">
        <v>1487</v>
      </c>
      <c r="C526" s="1" t="s">
        <v>243</v>
      </c>
      <c r="D526" s="1" t="s">
        <v>52</v>
      </c>
      <c r="E526" s="1" t="s">
        <v>1486</v>
      </c>
      <c r="F526" t="s">
        <v>3107</v>
      </c>
      <c r="G526" t="s">
        <v>3247</v>
      </c>
      <c r="H526" t="s">
        <v>3192</v>
      </c>
      <c r="I526" t="s">
        <v>52</v>
      </c>
      <c r="J526" t="s">
        <v>52</v>
      </c>
      <c r="K526" t="s">
        <v>52</v>
      </c>
      <c r="L526" s="2">
        <v>1</v>
      </c>
      <c r="M526" s="2">
        <v>1</v>
      </c>
      <c r="N526" s="2">
        <v>1</v>
      </c>
      <c r="O526" s="2">
        <v>1</v>
      </c>
      <c r="P526" s="2">
        <v>1</v>
      </c>
      <c r="Q526" s="2">
        <v>2</v>
      </c>
      <c r="R526" s="2">
        <v>0.5</v>
      </c>
      <c r="S526" s="2">
        <v>0.5</v>
      </c>
      <c r="T526" s="2">
        <v>1</v>
      </c>
      <c r="U526" s="2">
        <v>2</v>
      </c>
      <c r="V526" s="2">
        <v>2</v>
      </c>
      <c r="W526" s="2">
        <v>1</v>
      </c>
      <c r="X526" s="2">
        <v>0.5</v>
      </c>
      <c r="Y526" s="2">
        <v>0.5</v>
      </c>
      <c r="Z526" s="2">
        <v>1</v>
      </c>
      <c r="AA526" s="2">
        <v>1</v>
      </c>
      <c r="AB526" s="2">
        <v>2</v>
      </c>
      <c r="AC526" s="2">
        <v>2</v>
      </c>
      <c r="AD526" s="2">
        <v>105</v>
      </c>
      <c r="AE526" s="2">
        <v>3840</v>
      </c>
      <c r="AF526" s="2">
        <v>70</v>
      </c>
      <c r="AG526" s="2">
        <v>390</v>
      </c>
      <c r="AH526" s="2">
        <v>120</v>
      </c>
      <c r="AI526" s="2">
        <v>105</v>
      </c>
      <c r="AJ526" s="1">
        <v>1059860</v>
      </c>
      <c r="AK526" s="1">
        <v>0.9</v>
      </c>
      <c r="AL526" s="1">
        <v>70</v>
      </c>
      <c r="AM526" s="2">
        <v>50</v>
      </c>
      <c r="AN526" s="2">
        <f t="shared" si="8"/>
        <v>50</v>
      </c>
      <c r="AO526" s="3">
        <v>525</v>
      </c>
      <c r="AP526" s="3">
        <v>50</v>
      </c>
      <c r="AQ526" s="3">
        <v>40</v>
      </c>
      <c r="AR526" s="3">
        <v>20</v>
      </c>
      <c r="AS526" s="1">
        <v>102</v>
      </c>
      <c r="AT526" s="3">
        <v>5</v>
      </c>
      <c r="AU526" s="3" t="s">
        <v>3051</v>
      </c>
    </row>
    <row r="527" spans="1:47" x14ac:dyDescent="0.3">
      <c r="A527" s="1" t="s">
        <v>1491</v>
      </c>
      <c r="B527" s="1" t="s">
        <v>1490</v>
      </c>
      <c r="C527" s="1" t="s">
        <v>243</v>
      </c>
      <c r="D527" s="1" t="s">
        <v>52</v>
      </c>
      <c r="E527" s="1" t="s">
        <v>1489</v>
      </c>
      <c r="F527" t="s">
        <v>3107</v>
      </c>
      <c r="G527" t="s">
        <v>3153</v>
      </c>
      <c r="H527" t="s">
        <v>3192</v>
      </c>
      <c r="I527" t="s">
        <v>52</v>
      </c>
      <c r="J527" t="s">
        <v>52</v>
      </c>
      <c r="K527" t="s">
        <v>52</v>
      </c>
      <c r="L527" s="2">
        <v>1</v>
      </c>
      <c r="M527" s="2">
        <v>1</v>
      </c>
      <c r="N527" s="2">
        <v>1</v>
      </c>
      <c r="O527" s="2">
        <v>1</v>
      </c>
      <c r="P527" s="2">
        <v>1</v>
      </c>
      <c r="Q527" s="2">
        <v>2</v>
      </c>
      <c r="R527" s="2">
        <v>0.5</v>
      </c>
      <c r="S527" s="2">
        <v>0.5</v>
      </c>
      <c r="T527" s="2">
        <v>1</v>
      </c>
      <c r="U527" s="2">
        <v>2</v>
      </c>
      <c r="V527" s="2">
        <v>2</v>
      </c>
      <c r="W527" s="2">
        <v>1</v>
      </c>
      <c r="X527" s="2">
        <v>0.5</v>
      </c>
      <c r="Y527" s="2">
        <v>0.5</v>
      </c>
      <c r="Z527" s="2">
        <v>1</v>
      </c>
      <c r="AA527" s="2">
        <v>1</v>
      </c>
      <c r="AB527" s="2">
        <v>2</v>
      </c>
      <c r="AC527" s="2">
        <v>2</v>
      </c>
      <c r="AD527" s="2">
        <v>135</v>
      </c>
      <c r="AE527" s="2">
        <v>3840</v>
      </c>
      <c r="AF527" s="2">
        <v>70</v>
      </c>
      <c r="AG527" s="2">
        <v>515</v>
      </c>
      <c r="AH527" s="2">
        <v>45</v>
      </c>
      <c r="AI527" s="2">
        <v>130</v>
      </c>
      <c r="AJ527" s="1">
        <v>1059860</v>
      </c>
      <c r="AK527" s="1">
        <v>1.7</v>
      </c>
      <c r="AL527" s="1">
        <v>85</v>
      </c>
      <c r="AM527" s="2">
        <v>50</v>
      </c>
      <c r="AN527" s="2">
        <f t="shared" si="8"/>
        <v>50</v>
      </c>
      <c r="AO527" s="3">
        <v>526</v>
      </c>
      <c r="AP527" s="3">
        <v>60</v>
      </c>
      <c r="AQ527" s="3">
        <v>80</v>
      </c>
      <c r="AR527" s="3">
        <v>25</v>
      </c>
      <c r="AS527" s="1">
        <v>260</v>
      </c>
      <c r="AT527" s="3">
        <v>5</v>
      </c>
      <c r="AU527" s="3" t="s">
        <v>3051</v>
      </c>
    </row>
    <row r="528" spans="1:47" x14ac:dyDescent="0.3">
      <c r="A528" s="1" t="s">
        <v>1493</v>
      </c>
      <c r="B528" s="1" t="s">
        <v>1492</v>
      </c>
      <c r="C528" s="1" t="s">
        <v>216</v>
      </c>
      <c r="D528" s="1" t="s">
        <v>58</v>
      </c>
      <c r="E528" s="1" t="s">
        <v>154</v>
      </c>
      <c r="F528" t="s">
        <v>3106</v>
      </c>
      <c r="G528" t="s">
        <v>3270</v>
      </c>
      <c r="H528" t="s">
        <v>3163</v>
      </c>
      <c r="I528" t="s">
        <v>52</v>
      </c>
      <c r="J528" t="s">
        <v>52</v>
      </c>
      <c r="K528" t="s">
        <v>52</v>
      </c>
      <c r="L528" s="2">
        <v>1</v>
      </c>
      <c r="M528" s="2">
        <v>2</v>
      </c>
      <c r="N528" s="2">
        <v>1</v>
      </c>
      <c r="O528" s="2">
        <v>2</v>
      </c>
      <c r="P528" s="2">
        <v>1</v>
      </c>
      <c r="Q528" s="2">
        <v>0.25</v>
      </c>
      <c r="R528" s="2">
        <v>1</v>
      </c>
      <c r="S528" s="2">
        <v>1</v>
      </c>
      <c r="T528" s="2">
        <v>2</v>
      </c>
      <c r="U528" s="2">
        <v>0.5</v>
      </c>
      <c r="V528" s="2">
        <v>0</v>
      </c>
      <c r="W528" s="2">
        <v>2</v>
      </c>
      <c r="X528" s="2">
        <v>1</v>
      </c>
      <c r="Y528" s="2">
        <v>1</v>
      </c>
      <c r="Z528" s="2">
        <v>0.5</v>
      </c>
      <c r="AA528" s="2">
        <v>2</v>
      </c>
      <c r="AB528" s="2">
        <v>1</v>
      </c>
      <c r="AC528" s="2">
        <v>1</v>
      </c>
      <c r="AD528" s="2">
        <v>45</v>
      </c>
      <c r="AE528" s="2">
        <v>3840</v>
      </c>
      <c r="AF528" s="2">
        <v>70</v>
      </c>
      <c r="AG528" s="2">
        <v>323</v>
      </c>
      <c r="AH528" s="2">
        <v>190</v>
      </c>
      <c r="AI528" s="2">
        <v>43</v>
      </c>
      <c r="AJ528" s="1">
        <v>1000000</v>
      </c>
      <c r="AK528" s="1">
        <v>0.4</v>
      </c>
      <c r="AL528" s="1">
        <v>65</v>
      </c>
      <c r="AM528" s="2">
        <v>50</v>
      </c>
      <c r="AN528" s="2">
        <f t="shared" si="8"/>
        <v>50</v>
      </c>
      <c r="AO528" s="3">
        <v>527</v>
      </c>
      <c r="AP528" s="3">
        <v>55</v>
      </c>
      <c r="AQ528" s="3">
        <v>43</v>
      </c>
      <c r="AR528" s="3">
        <v>72</v>
      </c>
      <c r="AS528" s="1">
        <v>2.1</v>
      </c>
      <c r="AT528" s="3">
        <v>5</v>
      </c>
      <c r="AU528" s="3" t="s">
        <v>3051</v>
      </c>
    </row>
    <row r="529" spans="1:47" x14ac:dyDescent="0.3">
      <c r="A529" s="1" t="s">
        <v>1496</v>
      </c>
      <c r="B529" s="1" t="s">
        <v>1495</v>
      </c>
      <c r="C529" s="1" t="s">
        <v>216</v>
      </c>
      <c r="D529" s="1" t="s">
        <v>58</v>
      </c>
      <c r="E529" s="1" t="s">
        <v>1494</v>
      </c>
      <c r="F529" t="s">
        <v>3106</v>
      </c>
      <c r="G529" t="s">
        <v>3270</v>
      </c>
      <c r="H529" t="s">
        <v>3163</v>
      </c>
      <c r="I529" t="s">
        <v>52</v>
      </c>
      <c r="J529" t="s">
        <v>52</v>
      </c>
      <c r="K529" t="s">
        <v>52</v>
      </c>
      <c r="L529" s="2">
        <v>1</v>
      </c>
      <c r="M529" s="2">
        <v>2</v>
      </c>
      <c r="N529" s="2">
        <v>1</v>
      </c>
      <c r="O529" s="2">
        <v>2</v>
      </c>
      <c r="P529" s="2">
        <v>1</v>
      </c>
      <c r="Q529" s="2">
        <v>0.25</v>
      </c>
      <c r="R529" s="2">
        <v>1</v>
      </c>
      <c r="S529" s="2">
        <v>1</v>
      </c>
      <c r="T529" s="2">
        <v>2</v>
      </c>
      <c r="U529" s="2">
        <v>0.5</v>
      </c>
      <c r="V529" s="2">
        <v>0</v>
      </c>
      <c r="W529" s="2">
        <v>2</v>
      </c>
      <c r="X529" s="2">
        <v>1</v>
      </c>
      <c r="Y529" s="2">
        <v>1</v>
      </c>
      <c r="Z529" s="2">
        <v>0.5</v>
      </c>
      <c r="AA529" s="2">
        <v>2</v>
      </c>
      <c r="AB529" s="2">
        <v>1</v>
      </c>
      <c r="AC529" s="2">
        <v>1</v>
      </c>
      <c r="AD529" s="2">
        <v>57</v>
      </c>
      <c r="AE529" s="2">
        <v>3840</v>
      </c>
      <c r="AF529" s="2">
        <v>70</v>
      </c>
      <c r="AG529" s="2">
        <v>425</v>
      </c>
      <c r="AH529" s="2">
        <v>45</v>
      </c>
      <c r="AI529" s="2">
        <v>55</v>
      </c>
      <c r="AJ529" s="1">
        <v>1000000</v>
      </c>
      <c r="AK529" s="1">
        <v>0.9</v>
      </c>
      <c r="AL529" s="1">
        <v>67</v>
      </c>
      <c r="AM529" s="2">
        <v>50</v>
      </c>
      <c r="AN529" s="2">
        <f t="shared" si="8"/>
        <v>50</v>
      </c>
      <c r="AO529" s="3">
        <v>528</v>
      </c>
      <c r="AP529" s="3">
        <v>77</v>
      </c>
      <c r="AQ529" s="3">
        <v>55</v>
      </c>
      <c r="AR529" s="3">
        <v>114</v>
      </c>
      <c r="AS529" s="1">
        <v>10.5</v>
      </c>
      <c r="AT529" s="3">
        <v>5</v>
      </c>
      <c r="AU529" s="3" t="s">
        <v>3051</v>
      </c>
    </row>
    <row r="530" spans="1:47" x14ac:dyDescent="0.3">
      <c r="A530" s="1" t="s">
        <v>1498</v>
      </c>
      <c r="B530" s="1" t="s">
        <v>1497</v>
      </c>
      <c r="C530" s="1" t="s">
        <v>120</v>
      </c>
      <c r="D530" s="1" t="s">
        <v>52</v>
      </c>
      <c r="E530" s="1" t="s">
        <v>178</v>
      </c>
      <c r="F530" t="s">
        <v>3180</v>
      </c>
      <c r="G530" t="s">
        <v>3192</v>
      </c>
      <c r="H530" t="s">
        <v>3165</v>
      </c>
      <c r="I530" t="s">
        <v>52</v>
      </c>
      <c r="J530" t="s">
        <v>52</v>
      </c>
      <c r="K530" t="s">
        <v>52</v>
      </c>
      <c r="L530" s="2">
        <v>1</v>
      </c>
      <c r="M530" s="2">
        <v>1</v>
      </c>
      <c r="N530" s="2">
        <v>1</v>
      </c>
      <c r="O530" s="2">
        <v>0</v>
      </c>
      <c r="P530" s="2">
        <v>1</v>
      </c>
      <c r="Q530" s="2">
        <v>1</v>
      </c>
      <c r="R530" s="2">
        <v>1</v>
      </c>
      <c r="S530" s="2">
        <v>1</v>
      </c>
      <c r="T530" s="2">
        <v>1</v>
      </c>
      <c r="U530" s="2">
        <v>2</v>
      </c>
      <c r="V530" s="2">
        <v>1</v>
      </c>
      <c r="W530" s="2">
        <v>2</v>
      </c>
      <c r="X530" s="2">
        <v>1</v>
      </c>
      <c r="Y530" s="2">
        <v>0.5</v>
      </c>
      <c r="Z530" s="2">
        <v>1</v>
      </c>
      <c r="AA530" s="2">
        <v>0.5</v>
      </c>
      <c r="AB530" s="2">
        <v>1</v>
      </c>
      <c r="AC530" s="2">
        <v>2</v>
      </c>
      <c r="AD530" s="2">
        <v>85</v>
      </c>
      <c r="AE530" s="2">
        <v>5120</v>
      </c>
      <c r="AF530" s="2">
        <v>70</v>
      </c>
      <c r="AG530" s="2">
        <v>328</v>
      </c>
      <c r="AH530" s="2">
        <v>120</v>
      </c>
      <c r="AI530" s="2">
        <v>40</v>
      </c>
      <c r="AJ530" s="1">
        <v>1000000</v>
      </c>
      <c r="AK530" s="1">
        <v>0.3</v>
      </c>
      <c r="AL530" s="1">
        <v>60</v>
      </c>
      <c r="AM530" s="2">
        <v>50</v>
      </c>
      <c r="AN530" s="2">
        <f t="shared" si="8"/>
        <v>50</v>
      </c>
      <c r="AO530" s="3">
        <v>529</v>
      </c>
      <c r="AP530" s="3">
        <v>30</v>
      </c>
      <c r="AQ530" s="3">
        <v>45</v>
      </c>
      <c r="AR530" s="3">
        <v>68</v>
      </c>
      <c r="AS530" s="1">
        <v>8.5</v>
      </c>
      <c r="AT530" s="3">
        <v>5</v>
      </c>
      <c r="AU530" s="3" t="s">
        <v>3051</v>
      </c>
    </row>
    <row r="531" spans="1:47" x14ac:dyDescent="0.3">
      <c r="A531" s="1" t="s">
        <v>1501</v>
      </c>
      <c r="B531" s="1" t="s">
        <v>1500</v>
      </c>
      <c r="C531" s="1" t="s">
        <v>120</v>
      </c>
      <c r="D531" s="1" t="s">
        <v>263</v>
      </c>
      <c r="E531" s="1" t="s">
        <v>1499</v>
      </c>
      <c r="F531" t="s">
        <v>3180</v>
      </c>
      <c r="G531" t="s">
        <v>3192</v>
      </c>
      <c r="H531" t="s">
        <v>3165</v>
      </c>
      <c r="I531" t="s">
        <v>52</v>
      </c>
      <c r="J531" t="s">
        <v>52</v>
      </c>
      <c r="K531" t="s">
        <v>52</v>
      </c>
      <c r="L531" s="2">
        <v>0.5</v>
      </c>
      <c r="M531" s="2">
        <v>1</v>
      </c>
      <c r="N531" s="2">
        <v>0.5</v>
      </c>
      <c r="O531" s="2">
        <v>0</v>
      </c>
      <c r="P531" s="2">
        <v>0.5</v>
      </c>
      <c r="Q531" s="2">
        <v>2</v>
      </c>
      <c r="R531" s="2">
        <v>2</v>
      </c>
      <c r="S531" s="2">
        <v>0.5</v>
      </c>
      <c r="T531" s="2">
        <v>1</v>
      </c>
      <c r="U531" s="2">
        <v>1</v>
      </c>
      <c r="V531" s="2">
        <v>2</v>
      </c>
      <c r="W531" s="2">
        <v>1</v>
      </c>
      <c r="X531" s="2">
        <v>0.5</v>
      </c>
      <c r="Y531" s="2">
        <v>0</v>
      </c>
      <c r="Z531" s="2">
        <v>0.5</v>
      </c>
      <c r="AA531" s="2">
        <v>0.25</v>
      </c>
      <c r="AB531" s="2">
        <v>0.5</v>
      </c>
      <c r="AC531" s="2">
        <v>2</v>
      </c>
      <c r="AD531" s="2">
        <v>135</v>
      </c>
      <c r="AE531" s="2">
        <v>5120</v>
      </c>
      <c r="AF531" s="2">
        <v>70</v>
      </c>
      <c r="AG531" s="2">
        <v>508</v>
      </c>
      <c r="AH531" s="2">
        <v>60</v>
      </c>
      <c r="AI531" s="2">
        <v>60</v>
      </c>
      <c r="AJ531" s="1">
        <v>1000000</v>
      </c>
      <c r="AK531" s="1">
        <v>0.7</v>
      </c>
      <c r="AL531" s="1">
        <v>110</v>
      </c>
      <c r="AM531" s="2">
        <v>50</v>
      </c>
      <c r="AN531" s="2">
        <f t="shared" si="8"/>
        <v>50</v>
      </c>
      <c r="AO531" s="3">
        <v>530</v>
      </c>
      <c r="AP531" s="3">
        <v>50</v>
      </c>
      <c r="AQ531" s="3">
        <v>65</v>
      </c>
      <c r="AR531" s="3">
        <v>88</v>
      </c>
      <c r="AS531" s="1">
        <v>40.4</v>
      </c>
      <c r="AT531" s="3">
        <v>5</v>
      </c>
      <c r="AU531" s="3" t="s">
        <v>3051</v>
      </c>
    </row>
    <row r="532" spans="1:47" x14ac:dyDescent="0.3">
      <c r="A532" s="1" t="s">
        <v>1504</v>
      </c>
      <c r="B532" s="1" t="s">
        <v>1503</v>
      </c>
      <c r="C532" s="1" t="s">
        <v>90</v>
      </c>
      <c r="D532" s="1" t="s">
        <v>52</v>
      </c>
      <c r="E532" s="1" t="s">
        <v>1502</v>
      </c>
      <c r="F532" t="s">
        <v>3181</v>
      </c>
      <c r="G532" t="s">
        <v>3242</v>
      </c>
      <c r="H532" t="s">
        <v>3270</v>
      </c>
      <c r="I532" t="s">
        <v>52</v>
      </c>
      <c r="J532" t="s">
        <v>52</v>
      </c>
      <c r="K532" t="s">
        <v>52</v>
      </c>
      <c r="L532" s="2">
        <v>1</v>
      </c>
      <c r="M532" s="2">
        <v>1</v>
      </c>
      <c r="N532" s="2">
        <v>1</v>
      </c>
      <c r="O532" s="2">
        <v>1</v>
      </c>
      <c r="P532" s="2">
        <v>1</v>
      </c>
      <c r="Q532" s="2">
        <v>2</v>
      </c>
      <c r="R532" s="2">
        <v>1</v>
      </c>
      <c r="S532" s="2">
        <v>1</v>
      </c>
      <c r="T532" s="2">
        <v>0</v>
      </c>
      <c r="U532" s="2">
        <v>1</v>
      </c>
      <c r="V532" s="2">
        <v>1</v>
      </c>
      <c r="W532" s="2">
        <v>1</v>
      </c>
      <c r="X532" s="2">
        <v>1</v>
      </c>
      <c r="Y532" s="2">
        <v>1</v>
      </c>
      <c r="Z532" s="2">
        <v>1</v>
      </c>
      <c r="AA532" s="2">
        <v>1</v>
      </c>
      <c r="AB532" s="2">
        <v>1</v>
      </c>
      <c r="AC532" s="2">
        <v>1</v>
      </c>
      <c r="AD532" s="2">
        <v>60</v>
      </c>
      <c r="AE532" s="2">
        <v>5120</v>
      </c>
      <c r="AF532" s="2">
        <v>70</v>
      </c>
      <c r="AG532" s="2">
        <v>545</v>
      </c>
      <c r="AH532" s="2">
        <v>255</v>
      </c>
      <c r="AI532" s="2">
        <v>126</v>
      </c>
      <c r="AJ532" s="1">
        <v>800000</v>
      </c>
      <c r="AK532" s="1">
        <v>1.1000000000000001</v>
      </c>
      <c r="AL532" s="1">
        <v>103</v>
      </c>
      <c r="AM532" s="2">
        <v>50</v>
      </c>
      <c r="AN532" s="2">
        <f t="shared" si="8"/>
        <v>50</v>
      </c>
      <c r="AO532" s="3">
        <v>531</v>
      </c>
      <c r="AP532" s="3">
        <v>80</v>
      </c>
      <c r="AQ532" s="3">
        <v>126</v>
      </c>
      <c r="AR532" s="3">
        <v>50</v>
      </c>
      <c r="AS532" s="1">
        <v>31</v>
      </c>
      <c r="AT532" s="3">
        <v>5</v>
      </c>
      <c r="AU532" s="3" t="s">
        <v>3051</v>
      </c>
    </row>
    <row r="533" spans="1:47" x14ac:dyDescent="0.3">
      <c r="A533" s="1" t="s">
        <v>1507</v>
      </c>
      <c r="B533" s="1" t="s">
        <v>1506</v>
      </c>
      <c r="C533" s="1" t="s">
        <v>197</v>
      </c>
      <c r="D533" s="1" t="s">
        <v>52</v>
      </c>
      <c r="E533" s="1" t="s">
        <v>1505</v>
      </c>
      <c r="F533" t="s">
        <v>3131</v>
      </c>
      <c r="G533" t="s">
        <v>3184</v>
      </c>
      <c r="H533" t="s">
        <v>3190</v>
      </c>
      <c r="I533" t="s">
        <v>52</v>
      </c>
      <c r="J533" t="s">
        <v>52</v>
      </c>
      <c r="K533" t="s">
        <v>52</v>
      </c>
      <c r="L533" s="2">
        <v>0.5</v>
      </c>
      <c r="M533" s="2">
        <v>0.5</v>
      </c>
      <c r="N533" s="2">
        <v>1</v>
      </c>
      <c r="O533" s="2">
        <v>1</v>
      </c>
      <c r="P533" s="2">
        <v>2</v>
      </c>
      <c r="Q533" s="2">
        <v>1</v>
      </c>
      <c r="R533" s="2">
        <v>1</v>
      </c>
      <c r="S533" s="2">
        <v>2</v>
      </c>
      <c r="T533" s="2">
        <v>1</v>
      </c>
      <c r="U533" s="2">
        <v>1</v>
      </c>
      <c r="V533" s="2">
        <v>1</v>
      </c>
      <c r="W533" s="2">
        <v>1</v>
      </c>
      <c r="X533" s="2">
        <v>1</v>
      </c>
      <c r="Y533" s="2">
        <v>1</v>
      </c>
      <c r="Z533" s="2">
        <v>2</v>
      </c>
      <c r="AA533" s="2">
        <v>0.5</v>
      </c>
      <c r="AB533" s="2">
        <v>1</v>
      </c>
      <c r="AC533" s="2">
        <v>1</v>
      </c>
      <c r="AD533" s="2">
        <v>80</v>
      </c>
      <c r="AE533" s="2">
        <v>5120</v>
      </c>
      <c r="AF533" s="2">
        <v>70</v>
      </c>
      <c r="AG533" s="2">
        <v>305</v>
      </c>
      <c r="AH533" s="2">
        <v>180</v>
      </c>
      <c r="AI533" s="2">
        <v>55</v>
      </c>
      <c r="AJ533" s="1">
        <v>1059860</v>
      </c>
      <c r="AK533" s="1">
        <v>0.6</v>
      </c>
      <c r="AL533" s="1">
        <v>75</v>
      </c>
      <c r="AM533" s="2">
        <v>75.400000000000006</v>
      </c>
      <c r="AN533" s="2">
        <f t="shared" si="8"/>
        <v>24.599999999999994</v>
      </c>
      <c r="AO533" s="3">
        <v>532</v>
      </c>
      <c r="AP533" s="3">
        <v>25</v>
      </c>
      <c r="AQ533" s="3">
        <v>35</v>
      </c>
      <c r="AR533" s="3">
        <v>35</v>
      </c>
      <c r="AS533" s="1">
        <v>12.5</v>
      </c>
      <c r="AT533" s="3">
        <v>5</v>
      </c>
      <c r="AU533" s="3" t="s">
        <v>3051</v>
      </c>
    </row>
    <row r="534" spans="1:47" x14ac:dyDescent="0.3">
      <c r="A534" s="1" t="s">
        <v>1509</v>
      </c>
      <c r="B534" s="1" t="s">
        <v>1508</v>
      </c>
      <c r="C534" s="1" t="s">
        <v>197</v>
      </c>
      <c r="D534" s="1" t="s">
        <v>52</v>
      </c>
      <c r="E534" s="1" t="s">
        <v>1505</v>
      </c>
      <c r="F534" t="s">
        <v>3131</v>
      </c>
      <c r="G534" t="s">
        <v>3184</v>
      </c>
      <c r="H534" t="s">
        <v>3190</v>
      </c>
      <c r="I534" t="s">
        <v>52</v>
      </c>
      <c r="J534" t="s">
        <v>52</v>
      </c>
      <c r="K534" t="s">
        <v>52</v>
      </c>
      <c r="L534" s="2">
        <v>0.5</v>
      </c>
      <c r="M534" s="2">
        <v>0.5</v>
      </c>
      <c r="N534" s="2">
        <v>1</v>
      </c>
      <c r="O534" s="2">
        <v>1</v>
      </c>
      <c r="P534" s="2">
        <v>2</v>
      </c>
      <c r="Q534" s="2">
        <v>1</v>
      </c>
      <c r="R534" s="2">
        <v>1</v>
      </c>
      <c r="S534" s="2">
        <v>2</v>
      </c>
      <c r="T534" s="2">
        <v>1</v>
      </c>
      <c r="U534" s="2">
        <v>1</v>
      </c>
      <c r="V534" s="2">
        <v>1</v>
      </c>
      <c r="W534" s="2">
        <v>1</v>
      </c>
      <c r="X534" s="2">
        <v>1</v>
      </c>
      <c r="Y534" s="2">
        <v>1</v>
      </c>
      <c r="Z534" s="2">
        <v>2</v>
      </c>
      <c r="AA534" s="2">
        <v>0.5</v>
      </c>
      <c r="AB534" s="2">
        <v>1</v>
      </c>
      <c r="AC534" s="2">
        <v>1</v>
      </c>
      <c r="AD534" s="2">
        <v>105</v>
      </c>
      <c r="AE534" s="2">
        <v>5120</v>
      </c>
      <c r="AF534" s="2">
        <v>70</v>
      </c>
      <c r="AG534" s="2">
        <v>405</v>
      </c>
      <c r="AH534" s="2">
        <v>90</v>
      </c>
      <c r="AI534" s="2">
        <v>85</v>
      </c>
      <c r="AJ534" s="1">
        <v>1059860</v>
      </c>
      <c r="AK534" s="1">
        <v>1.2</v>
      </c>
      <c r="AL534" s="1">
        <v>85</v>
      </c>
      <c r="AM534" s="2">
        <v>75.400000000000006</v>
      </c>
      <c r="AN534" s="2">
        <f t="shared" si="8"/>
        <v>24.599999999999994</v>
      </c>
      <c r="AO534" s="3">
        <v>533</v>
      </c>
      <c r="AP534" s="3">
        <v>40</v>
      </c>
      <c r="AQ534" s="3">
        <v>50</v>
      </c>
      <c r="AR534" s="3">
        <v>40</v>
      </c>
      <c r="AS534" s="1">
        <v>40</v>
      </c>
      <c r="AT534" s="3">
        <v>5</v>
      </c>
      <c r="AU534" s="3" t="s">
        <v>3051</v>
      </c>
    </row>
    <row r="535" spans="1:47" x14ac:dyDescent="0.3">
      <c r="A535" s="1" t="s">
        <v>1511</v>
      </c>
      <c r="B535" s="1" t="s">
        <v>1510</v>
      </c>
      <c r="C535" s="1" t="s">
        <v>197</v>
      </c>
      <c r="D535" s="1" t="s">
        <v>52</v>
      </c>
      <c r="E535" s="1" t="s">
        <v>1505</v>
      </c>
      <c r="F535" t="s">
        <v>3131</v>
      </c>
      <c r="G535" t="s">
        <v>3184</v>
      </c>
      <c r="H535" t="s">
        <v>3190</v>
      </c>
      <c r="I535" t="s">
        <v>52</v>
      </c>
      <c r="J535" t="s">
        <v>52</v>
      </c>
      <c r="K535" t="s">
        <v>52</v>
      </c>
      <c r="L535" s="2">
        <v>0.5</v>
      </c>
      <c r="M535" s="2">
        <v>0.5</v>
      </c>
      <c r="N535" s="2">
        <v>1</v>
      </c>
      <c r="O535" s="2">
        <v>1</v>
      </c>
      <c r="P535" s="2">
        <v>2</v>
      </c>
      <c r="Q535" s="2">
        <v>1</v>
      </c>
      <c r="R535" s="2">
        <v>1</v>
      </c>
      <c r="S535" s="2">
        <v>2</v>
      </c>
      <c r="T535" s="2">
        <v>1</v>
      </c>
      <c r="U535" s="2">
        <v>1</v>
      </c>
      <c r="V535" s="2">
        <v>1</v>
      </c>
      <c r="W535" s="2">
        <v>1</v>
      </c>
      <c r="X535" s="2">
        <v>1</v>
      </c>
      <c r="Y535" s="2">
        <v>1</v>
      </c>
      <c r="Z535" s="2">
        <v>2</v>
      </c>
      <c r="AA535" s="2">
        <v>0.5</v>
      </c>
      <c r="AB535" s="2">
        <v>1</v>
      </c>
      <c r="AC535" s="2">
        <v>1</v>
      </c>
      <c r="AD535" s="2">
        <v>140</v>
      </c>
      <c r="AE535" s="2">
        <v>5120</v>
      </c>
      <c r="AF535" s="2">
        <v>70</v>
      </c>
      <c r="AG535" s="2">
        <v>505</v>
      </c>
      <c r="AH535" s="2">
        <v>45</v>
      </c>
      <c r="AI535" s="2">
        <v>95</v>
      </c>
      <c r="AJ535" s="1">
        <v>1059860</v>
      </c>
      <c r="AK535" s="1">
        <v>1.4</v>
      </c>
      <c r="AL535" s="1">
        <v>105</v>
      </c>
      <c r="AM535" s="2">
        <v>75.400000000000006</v>
      </c>
      <c r="AN535" s="2">
        <f t="shared" si="8"/>
        <v>24.599999999999994</v>
      </c>
      <c r="AO535" s="3">
        <v>534</v>
      </c>
      <c r="AP535" s="3">
        <v>55</v>
      </c>
      <c r="AQ535" s="3">
        <v>65</v>
      </c>
      <c r="AR535" s="3">
        <v>45</v>
      </c>
      <c r="AS535" s="1">
        <v>87</v>
      </c>
      <c r="AT535" s="3">
        <v>5</v>
      </c>
      <c r="AU535" s="3" t="s">
        <v>3051</v>
      </c>
    </row>
    <row r="536" spans="1:47" x14ac:dyDescent="0.3">
      <c r="A536" s="1" t="s">
        <v>1513</v>
      </c>
      <c r="B536" s="1" t="s">
        <v>1512</v>
      </c>
      <c r="C536" s="1" t="s">
        <v>62</v>
      </c>
      <c r="D536" s="1" t="s">
        <v>52</v>
      </c>
      <c r="E536" s="1" t="s">
        <v>206</v>
      </c>
      <c r="F536" t="s">
        <v>3143</v>
      </c>
      <c r="G536" t="s">
        <v>3071</v>
      </c>
      <c r="H536" t="s">
        <v>3092</v>
      </c>
      <c r="I536" t="s">
        <v>52</v>
      </c>
      <c r="J536" t="s">
        <v>52</v>
      </c>
      <c r="K536" t="s">
        <v>52</v>
      </c>
      <c r="L536" s="2">
        <v>1</v>
      </c>
      <c r="M536" s="2">
        <v>1</v>
      </c>
      <c r="N536" s="2">
        <v>1</v>
      </c>
      <c r="O536" s="2">
        <v>2</v>
      </c>
      <c r="P536" s="2">
        <v>1</v>
      </c>
      <c r="Q536" s="2">
        <v>1</v>
      </c>
      <c r="R536" s="2">
        <v>0.5</v>
      </c>
      <c r="S536" s="2">
        <v>1</v>
      </c>
      <c r="T536" s="2">
        <v>1</v>
      </c>
      <c r="U536" s="2">
        <v>2</v>
      </c>
      <c r="V536" s="2">
        <v>1</v>
      </c>
      <c r="W536" s="2">
        <v>0.5</v>
      </c>
      <c r="X536" s="2">
        <v>1</v>
      </c>
      <c r="Y536" s="2">
        <v>1</v>
      </c>
      <c r="Z536" s="2">
        <v>1</v>
      </c>
      <c r="AA536" s="2">
        <v>1</v>
      </c>
      <c r="AB536" s="2">
        <v>0.5</v>
      </c>
      <c r="AC536" s="2">
        <v>0.5</v>
      </c>
      <c r="AD536" s="2">
        <v>50</v>
      </c>
      <c r="AE536" s="2">
        <v>5120</v>
      </c>
      <c r="AF536" s="2">
        <v>70</v>
      </c>
      <c r="AG536" s="2">
        <v>294</v>
      </c>
      <c r="AH536" s="2">
        <v>255</v>
      </c>
      <c r="AI536" s="2">
        <v>40</v>
      </c>
      <c r="AJ536" s="1">
        <v>1059860</v>
      </c>
      <c r="AK536" s="1">
        <v>0.5</v>
      </c>
      <c r="AL536" s="1">
        <v>50</v>
      </c>
      <c r="AM536" s="2">
        <v>50</v>
      </c>
      <c r="AN536" s="2">
        <f t="shared" si="8"/>
        <v>50</v>
      </c>
      <c r="AO536" s="3">
        <v>535</v>
      </c>
      <c r="AP536" s="3">
        <v>50</v>
      </c>
      <c r="AQ536" s="3">
        <v>40</v>
      </c>
      <c r="AR536" s="3">
        <v>64</v>
      </c>
      <c r="AS536" s="1">
        <v>4.5</v>
      </c>
      <c r="AT536" s="3">
        <v>5</v>
      </c>
      <c r="AU536" s="3" t="s">
        <v>3051</v>
      </c>
    </row>
    <row r="537" spans="1:47" x14ac:dyDescent="0.3">
      <c r="A537" s="1" t="s">
        <v>1515</v>
      </c>
      <c r="B537" s="1" t="s">
        <v>1514</v>
      </c>
      <c r="C537" s="1" t="s">
        <v>62</v>
      </c>
      <c r="D537" s="1" t="s">
        <v>120</v>
      </c>
      <c r="E537" s="1" t="s">
        <v>937</v>
      </c>
      <c r="F537" t="s">
        <v>3143</v>
      </c>
      <c r="G537" t="s">
        <v>3071</v>
      </c>
      <c r="H537" t="s">
        <v>3092</v>
      </c>
      <c r="I537" t="s">
        <v>52</v>
      </c>
      <c r="J537" t="s">
        <v>52</v>
      </c>
      <c r="K537" t="s">
        <v>52</v>
      </c>
      <c r="L537" s="2">
        <v>1</v>
      </c>
      <c r="M537" s="2">
        <v>1</v>
      </c>
      <c r="N537" s="2">
        <v>1</v>
      </c>
      <c r="O537" s="2">
        <v>0</v>
      </c>
      <c r="P537" s="2">
        <v>1</v>
      </c>
      <c r="Q537" s="2">
        <v>1</v>
      </c>
      <c r="R537" s="2">
        <v>0.5</v>
      </c>
      <c r="S537" s="2">
        <v>1</v>
      </c>
      <c r="T537" s="2">
        <v>1</v>
      </c>
      <c r="U537" s="2">
        <v>4</v>
      </c>
      <c r="V537" s="2">
        <v>1</v>
      </c>
      <c r="W537" s="2">
        <v>1</v>
      </c>
      <c r="X537" s="2">
        <v>1</v>
      </c>
      <c r="Y537" s="2">
        <v>0.5</v>
      </c>
      <c r="Z537" s="2">
        <v>1</v>
      </c>
      <c r="AA537" s="2">
        <v>0.5</v>
      </c>
      <c r="AB537" s="2">
        <v>0.5</v>
      </c>
      <c r="AC537" s="2">
        <v>1</v>
      </c>
      <c r="AD537" s="2">
        <v>65</v>
      </c>
      <c r="AE537" s="2">
        <v>5120</v>
      </c>
      <c r="AF537" s="2">
        <v>70</v>
      </c>
      <c r="AG537" s="2">
        <v>384</v>
      </c>
      <c r="AH537" s="2">
        <v>120</v>
      </c>
      <c r="AI537" s="2">
        <v>55</v>
      </c>
      <c r="AJ537" s="1">
        <v>1059860</v>
      </c>
      <c r="AK537" s="1">
        <v>0.8</v>
      </c>
      <c r="AL537" s="1">
        <v>75</v>
      </c>
      <c r="AM537" s="2">
        <v>50</v>
      </c>
      <c r="AN537" s="2">
        <f t="shared" si="8"/>
        <v>50</v>
      </c>
      <c r="AO537" s="3">
        <v>536</v>
      </c>
      <c r="AP537" s="3">
        <v>65</v>
      </c>
      <c r="AQ537" s="3">
        <v>55</v>
      </c>
      <c r="AR537" s="3">
        <v>69</v>
      </c>
      <c r="AS537" s="1">
        <v>17</v>
      </c>
      <c r="AT537" s="3">
        <v>5</v>
      </c>
      <c r="AU537" s="3" t="s">
        <v>3051</v>
      </c>
    </row>
    <row r="538" spans="1:47" x14ac:dyDescent="0.3">
      <c r="A538" s="1" t="s">
        <v>1517</v>
      </c>
      <c r="B538" s="1" t="s">
        <v>1516</v>
      </c>
      <c r="C538" s="1" t="s">
        <v>62</v>
      </c>
      <c r="D538" s="1" t="s">
        <v>120</v>
      </c>
      <c r="E538" s="1" t="s">
        <v>937</v>
      </c>
      <c r="F538" t="s">
        <v>3143</v>
      </c>
      <c r="G538" t="s">
        <v>3244</v>
      </c>
      <c r="H538" t="s">
        <v>3092</v>
      </c>
      <c r="I538" t="s">
        <v>52</v>
      </c>
      <c r="J538" t="s">
        <v>52</v>
      </c>
      <c r="K538" t="s">
        <v>52</v>
      </c>
      <c r="L538" s="2">
        <v>1</v>
      </c>
      <c r="M538" s="2">
        <v>1</v>
      </c>
      <c r="N538" s="2">
        <v>1</v>
      </c>
      <c r="O538" s="2">
        <v>0</v>
      </c>
      <c r="P538" s="2">
        <v>1</v>
      </c>
      <c r="Q538" s="2">
        <v>1</v>
      </c>
      <c r="R538" s="2">
        <v>0.5</v>
      </c>
      <c r="S538" s="2">
        <v>1</v>
      </c>
      <c r="T538" s="2">
        <v>1</v>
      </c>
      <c r="U538" s="2">
        <v>4</v>
      </c>
      <c r="V538" s="2">
        <v>1</v>
      </c>
      <c r="W538" s="2">
        <v>1</v>
      </c>
      <c r="X538" s="2">
        <v>1</v>
      </c>
      <c r="Y538" s="2">
        <v>0.5</v>
      </c>
      <c r="Z538" s="2">
        <v>1</v>
      </c>
      <c r="AA538" s="2">
        <v>0.5</v>
      </c>
      <c r="AB538" s="2">
        <v>0.5</v>
      </c>
      <c r="AC538" s="2">
        <v>1</v>
      </c>
      <c r="AD538" s="2">
        <v>95</v>
      </c>
      <c r="AE538" s="2">
        <v>5120</v>
      </c>
      <c r="AF538" s="2">
        <v>70</v>
      </c>
      <c r="AG538" s="2">
        <v>509</v>
      </c>
      <c r="AH538" s="2">
        <v>45</v>
      </c>
      <c r="AI538" s="2">
        <v>75</v>
      </c>
      <c r="AJ538" s="1">
        <v>1059860</v>
      </c>
      <c r="AK538" s="1">
        <v>1.5</v>
      </c>
      <c r="AL538" s="1">
        <v>105</v>
      </c>
      <c r="AM538" s="2">
        <v>50</v>
      </c>
      <c r="AN538" s="2">
        <f t="shared" si="8"/>
        <v>50</v>
      </c>
      <c r="AO538" s="3">
        <v>537</v>
      </c>
      <c r="AP538" s="3">
        <v>85</v>
      </c>
      <c r="AQ538" s="3">
        <v>75</v>
      </c>
      <c r="AR538" s="3">
        <v>74</v>
      </c>
      <c r="AS538" s="1">
        <v>62</v>
      </c>
      <c r="AT538" s="3">
        <v>5</v>
      </c>
      <c r="AU538" s="3" t="s">
        <v>3051</v>
      </c>
    </row>
    <row r="539" spans="1:47" x14ac:dyDescent="0.3">
      <c r="A539" s="1" t="s">
        <v>1520</v>
      </c>
      <c r="B539" s="1" t="s">
        <v>1519</v>
      </c>
      <c r="C539" s="1" t="s">
        <v>197</v>
      </c>
      <c r="D539" s="1" t="s">
        <v>52</v>
      </c>
      <c r="E539" s="1" t="s">
        <v>1518</v>
      </c>
      <c r="F539" t="s">
        <v>3131</v>
      </c>
      <c r="G539" t="s">
        <v>3126</v>
      </c>
      <c r="H539" t="s">
        <v>3165</v>
      </c>
      <c r="I539" t="s">
        <v>52</v>
      </c>
      <c r="J539" t="s">
        <v>52</v>
      </c>
      <c r="K539" t="s">
        <v>52</v>
      </c>
      <c r="L539" s="2">
        <v>0.5</v>
      </c>
      <c r="M539" s="2">
        <v>0.5</v>
      </c>
      <c r="N539" s="2">
        <v>1</v>
      </c>
      <c r="O539" s="2">
        <v>1</v>
      </c>
      <c r="P539" s="2">
        <v>2</v>
      </c>
      <c r="Q539" s="2">
        <v>1</v>
      </c>
      <c r="R539" s="2">
        <v>1</v>
      </c>
      <c r="S539" s="2">
        <v>2</v>
      </c>
      <c r="T539" s="2">
        <v>1</v>
      </c>
      <c r="U539" s="2">
        <v>1</v>
      </c>
      <c r="V539" s="2">
        <v>1</v>
      </c>
      <c r="W539" s="2">
        <v>1</v>
      </c>
      <c r="X539" s="2">
        <v>1</v>
      </c>
      <c r="Y539" s="2">
        <v>1</v>
      </c>
      <c r="Z539" s="2">
        <v>2</v>
      </c>
      <c r="AA539" s="2">
        <v>0.5</v>
      </c>
      <c r="AB539" s="2">
        <v>1</v>
      </c>
      <c r="AC539" s="2">
        <v>1</v>
      </c>
      <c r="AD539" s="2">
        <v>100</v>
      </c>
      <c r="AE539" s="2">
        <v>5120</v>
      </c>
      <c r="AF539" s="2">
        <v>70</v>
      </c>
      <c r="AG539" s="2">
        <v>465</v>
      </c>
      <c r="AH539" s="2">
        <v>45</v>
      </c>
      <c r="AI539" s="2">
        <v>85</v>
      </c>
      <c r="AJ539" s="1">
        <v>1000000</v>
      </c>
      <c r="AK539" s="1">
        <v>1.3</v>
      </c>
      <c r="AL539" s="1">
        <v>120</v>
      </c>
      <c r="AM539" s="2">
        <v>100</v>
      </c>
      <c r="AN539" s="2">
        <f t="shared" si="8"/>
        <v>0</v>
      </c>
      <c r="AO539" s="3">
        <v>538</v>
      </c>
      <c r="AP539" s="3">
        <v>30</v>
      </c>
      <c r="AQ539" s="3">
        <v>85</v>
      </c>
      <c r="AR539" s="3">
        <v>45</v>
      </c>
      <c r="AS539" s="1">
        <v>55.5</v>
      </c>
      <c r="AT539" s="3">
        <v>5</v>
      </c>
      <c r="AU539" s="3" t="s">
        <v>3051</v>
      </c>
    </row>
    <row r="540" spans="1:47" x14ac:dyDescent="0.3">
      <c r="A540" s="1" t="s">
        <v>1523</v>
      </c>
      <c r="B540" s="1" t="s">
        <v>1522</v>
      </c>
      <c r="C540" s="1" t="s">
        <v>197</v>
      </c>
      <c r="D540" s="1" t="s">
        <v>52</v>
      </c>
      <c r="E540" s="1" t="s">
        <v>1521</v>
      </c>
      <c r="F540" t="s">
        <v>3107</v>
      </c>
      <c r="G540" t="s">
        <v>3126</v>
      </c>
      <c r="H540" t="s">
        <v>3165</v>
      </c>
      <c r="I540" t="s">
        <v>52</v>
      </c>
      <c r="J540" t="s">
        <v>52</v>
      </c>
      <c r="K540" t="s">
        <v>52</v>
      </c>
      <c r="L540" s="2">
        <v>0.5</v>
      </c>
      <c r="M540" s="2">
        <v>0.5</v>
      </c>
      <c r="N540" s="2">
        <v>1</v>
      </c>
      <c r="O540" s="2">
        <v>1</v>
      </c>
      <c r="P540" s="2">
        <v>2</v>
      </c>
      <c r="Q540" s="2">
        <v>1</v>
      </c>
      <c r="R540" s="2">
        <v>1</v>
      </c>
      <c r="S540" s="2">
        <v>2</v>
      </c>
      <c r="T540" s="2">
        <v>1</v>
      </c>
      <c r="U540" s="2">
        <v>1</v>
      </c>
      <c r="V540" s="2">
        <v>1</v>
      </c>
      <c r="W540" s="2">
        <v>1</v>
      </c>
      <c r="X540" s="2">
        <v>1</v>
      </c>
      <c r="Y540" s="2">
        <v>1</v>
      </c>
      <c r="Z540" s="2">
        <v>2</v>
      </c>
      <c r="AA540" s="2">
        <v>0.5</v>
      </c>
      <c r="AB540" s="2">
        <v>1</v>
      </c>
      <c r="AC540" s="2">
        <v>1</v>
      </c>
      <c r="AD540" s="2">
        <v>125</v>
      </c>
      <c r="AE540" s="2">
        <v>5120</v>
      </c>
      <c r="AF540" s="2">
        <v>70</v>
      </c>
      <c r="AG540" s="2">
        <v>465</v>
      </c>
      <c r="AH540" s="2">
        <v>45</v>
      </c>
      <c r="AI540" s="2">
        <v>75</v>
      </c>
      <c r="AJ540" s="1">
        <v>1000000</v>
      </c>
      <c r="AK540" s="1">
        <v>1.4</v>
      </c>
      <c r="AL540" s="1">
        <v>75</v>
      </c>
      <c r="AM540" s="2">
        <v>100</v>
      </c>
      <c r="AN540" s="2">
        <f t="shared" si="8"/>
        <v>0</v>
      </c>
      <c r="AO540" s="3">
        <v>539</v>
      </c>
      <c r="AP540" s="3">
        <v>30</v>
      </c>
      <c r="AQ540" s="3">
        <v>75</v>
      </c>
      <c r="AR540" s="3">
        <v>85</v>
      </c>
      <c r="AS540" s="1">
        <v>51</v>
      </c>
      <c r="AT540" s="3">
        <v>5</v>
      </c>
      <c r="AU540" s="3" t="s">
        <v>3051</v>
      </c>
    </row>
    <row r="541" spans="1:47" x14ac:dyDescent="0.3">
      <c r="A541" s="1" t="s">
        <v>1526</v>
      </c>
      <c r="B541" s="1" t="s">
        <v>1525</v>
      </c>
      <c r="C541" s="1" t="s">
        <v>72</v>
      </c>
      <c r="D541" s="1" t="s">
        <v>42</v>
      </c>
      <c r="E541" s="1" t="s">
        <v>1524</v>
      </c>
      <c r="F541" t="s">
        <v>3093</v>
      </c>
      <c r="G541" t="s">
        <v>3068</v>
      </c>
      <c r="H541" t="s">
        <v>3187</v>
      </c>
      <c r="I541" t="s">
        <v>52</v>
      </c>
      <c r="J541" t="s">
        <v>52</v>
      </c>
      <c r="K541" t="s">
        <v>52</v>
      </c>
      <c r="L541" s="2">
        <v>2</v>
      </c>
      <c r="M541" s="2">
        <v>1</v>
      </c>
      <c r="N541" s="2">
        <v>1</v>
      </c>
      <c r="O541" s="2">
        <v>0.5</v>
      </c>
      <c r="P541" s="2">
        <v>1</v>
      </c>
      <c r="Q541" s="2">
        <v>0.5</v>
      </c>
      <c r="R541" s="2">
        <v>4</v>
      </c>
      <c r="S541" s="2">
        <v>4</v>
      </c>
      <c r="T541" s="2">
        <v>1</v>
      </c>
      <c r="U541" s="2">
        <v>0.25</v>
      </c>
      <c r="V541" s="2">
        <v>0.25</v>
      </c>
      <c r="W541" s="2">
        <v>2</v>
      </c>
      <c r="X541" s="2">
        <v>1</v>
      </c>
      <c r="Y541" s="2">
        <v>2</v>
      </c>
      <c r="Z541" s="2">
        <v>1</v>
      </c>
      <c r="AA541" s="2">
        <v>2</v>
      </c>
      <c r="AB541" s="2">
        <v>1</v>
      </c>
      <c r="AC541" s="2">
        <v>0.5</v>
      </c>
      <c r="AD541" s="2">
        <v>53</v>
      </c>
      <c r="AE541" s="2">
        <v>3840</v>
      </c>
      <c r="AF541" s="2">
        <v>70</v>
      </c>
      <c r="AG541" s="2">
        <v>310</v>
      </c>
      <c r="AH541" s="2">
        <v>255</v>
      </c>
      <c r="AI541" s="2">
        <v>70</v>
      </c>
      <c r="AJ541" s="1">
        <v>1059860</v>
      </c>
      <c r="AK541" s="1">
        <v>0.3</v>
      </c>
      <c r="AL541" s="1">
        <v>45</v>
      </c>
      <c r="AM541" s="2">
        <v>50</v>
      </c>
      <c r="AN541" s="2">
        <f t="shared" si="8"/>
        <v>50</v>
      </c>
      <c r="AO541" s="3">
        <v>540</v>
      </c>
      <c r="AP541" s="3">
        <v>40</v>
      </c>
      <c r="AQ541" s="3">
        <v>60</v>
      </c>
      <c r="AR541" s="3">
        <v>42</v>
      </c>
      <c r="AS541" s="1">
        <v>2.5</v>
      </c>
      <c r="AT541" s="3">
        <v>5</v>
      </c>
      <c r="AU541" s="3" t="s">
        <v>3051</v>
      </c>
    </row>
    <row r="542" spans="1:47" x14ac:dyDescent="0.3">
      <c r="A542" s="1" t="s">
        <v>1529</v>
      </c>
      <c r="B542" s="1" t="s">
        <v>1528</v>
      </c>
      <c r="C542" s="1" t="s">
        <v>72</v>
      </c>
      <c r="D542" s="1" t="s">
        <v>42</v>
      </c>
      <c r="E542" s="1" t="s">
        <v>1527</v>
      </c>
      <c r="F542" t="s">
        <v>3174</v>
      </c>
      <c r="G542" t="s">
        <v>3068</v>
      </c>
      <c r="H542" t="s">
        <v>3187</v>
      </c>
      <c r="I542" t="s">
        <v>52</v>
      </c>
      <c r="J542" t="s">
        <v>52</v>
      </c>
      <c r="K542" t="s">
        <v>52</v>
      </c>
      <c r="L542" s="2">
        <v>2</v>
      </c>
      <c r="M542" s="2">
        <v>1</v>
      </c>
      <c r="N542" s="2">
        <v>1</v>
      </c>
      <c r="O542" s="2">
        <v>0.5</v>
      </c>
      <c r="P542" s="2">
        <v>1</v>
      </c>
      <c r="Q542" s="2">
        <v>0.5</v>
      </c>
      <c r="R542" s="2">
        <v>4</v>
      </c>
      <c r="S542" s="2">
        <v>4</v>
      </c>
      <c r="T542" s="2">
        <v>1</v>
      </c>
      <c r="U542" s="2">
        <v>0.25</v>
      </c>
      <c r="V542" s="2">
        <v>0.25</v>
      </c>
      <c r="W542" s="2">
        <v>2</v>
      </c>
      <c r="X542" s="2">
        <v>1</v>
      </c>
      <c r="Y542" s="2">
        <v>2</v>
      </c>
      <c r="Z542" s="2">
        <v>1</v>
      </c>
      <c r="AA542" s="2">
        <v>2</v>
      </c>
      <c r="AB542" s="2">
        <v>1</v>
      </c>
      <c r="AC542" s="2">
        <v>0.5</v>
      </c>
      <c r="AD542" s="2">
        <v>63</v>
      </c>
      <c r="AE542" s="2">
        <v>3840</v>
      </c>
      <c r="AF542" s="2">
        <v>70</v>
      </c>
      <c r="AG542" s="2">
        <v>380</v>
      </c>
      <c r="AH542" s="2">
        <v>120</v>
      </c>
      <c r="AI542" s="2">
        <v>90</v>
      </c>
      <c r="AJ542" s="1">
        <v>1059860</v>
      </c>
      <c r="AK542" s="1">
        <v>0.5</v>
      </c>
      <c r="AL542" s="1">
        <v>55</v>
      </c>
      <c r="AM542" s="2">
        <v>50</v>
      </c>
      <c r="AN542" s="2">
        <f t="shared" si="8"/>
        <v>50</v>
      </c>
      <c r="AO542" s="3">
        <v>541</v>
      </c>
      <c r="AP542" s="3">
        <v>50</v>
      </c>
      <c r="AQ542" s="3">
        <v>80</v>
      </c>
      <c r="AR542" s="3">
        <v>42</v>
      </c>
      <c r="AS542" s="1">
        <v>7.3</v>
      </c>
      <c r="AT542" s="3">
        <v>5</v>
      </c>
      <c r="AU542" s="3" t="s">
        <v>3051</v>
      </c>
    </row>
    <row r="543" spans="1:47" x14ac:dyDescent="0.3">
      <c r="A543" s="1" t="s">
        <v>1532</v>
      </c>
      <c r="B543" s="1" t="s">
        <v>1531</v>
      </c>
      <c r="C543" s="1" t="s">
        <v>72</v>
      </c>
      <c r="D543" s="1" t="s">
        <v>42</v>
      </c>
      <c r="E543" s="1" t="s">
        <v>1530</v>
      </c>
      <c r="F543" t="s">
        <v>3093</v>
      </c>
      <c r="G543" t="s">
        <v>3068</v>
      </c>
      <c r="H543" t="s">
        <v>3187</v>
      </c>
      <c r="I543" t="s">
        <v>52</v>
      </c>
      <c r="J543" t="s">
        <v>52</v>
      </c>
      <c r="K543" t="s">
        <v>52</v>
      </c>
      <c r="L543" s="2">
        <v>2</v>
      </c>
      <c r="M543" s="2">
        <v>1</v>
      </c>
      <c r="N543" s="2">
        <v>1</v>
      </c>
      <c r="O543" s="2">
        <v>0.5</v>
      </c>
      <c r="P543" s="2">
        <v>1</v>
      </c>
      <c r="Q543" s="2">
        <v>0.5</v>
      </c>
      <c r="R543" s="2">
        <v>4</v>
      </c>
      <c r="S543" s="2">
        <v>4</v>
      </c>
      <c r="T543" s="2">
        <v>1</v>
      </c>
      <c r="U543" s="2">
        <v>0.25</v>
      </c>
      <c r="V543" s="2">
        <v>0.25</v>
      </c>
      <c r="W543" s="2">
        <v>2</v>
      </c>
      <c r="X543" s="2">
        <v>1</v>
      </c>
      <c r="Y543" s="2">
        <v>2</v>
      </c>
      <c r="Z543" s="2">
        <v>1</v>
      </c>
      <c r="AA543" s="2">
        <v>2</v>
      </c>
      <c r="AB543" s="2">
        <v>1</v>
      </c>
      <c r="AC543" s="2">
        <v>0.5</v>
      </c>
      <c r="AD543" s="2">
        <v>103</v>
      </c>
      <c r="AE543" s="2">
        <v>3840</v>
      </c>
      <c r="AF543" s="2">
        <v>70</v>
      </c>
      <c r="AG543" s="2">
        <v>500</v>
      </c>
      <c r="AH543" s="2">
        <v>45</v>
      </c>
      <c r="AI543" s="2">
        <v>80</v>
      </c>
      <c r="AJ543" s="1">
        <v>1059860</v>
      </c>
      <c r="AK543" s="1">
        <v>1.2</v>
      </c>
      <c r="AL543" s="1">
        <v>75</v>
      </c>
      <c r="AM543" s="2">
        <v>50</v>
      </c>
      <c r="AN543" s="2">
        <f t="shared" si="8"/>
        <v>50</v>
      </c>
      <c r="AO543" s="3">
        <v>542</v>
      </c>
      <c r="AP543" s="3">
        <v>70</v>
      </c>
      <c r="AQ543" s="3">
        <v>80</v>
      </c>
      <c r="AR543" s="3">
        <v>92</v>
      </c>
      <c r="AS543" s="1">
        <v>20.5</v>
      </c>
      <c r="AT543" s="3">
        <v>5</v>
      </c>
      <c r="AU543" s="3" t="s">
        <v>3051</v>
      </c>
    </row>
    <row r="544" spans="1:47" x14ac:dyDescent="0.3">
      <c r="A544" s="1" t="s">
        <v>1535</v>
      </c>
      <c r="B544" s="1" t="s">
        <v>1534</v>
      </c>
      <c r="C544" s="1" t="s">
        <v>72</v>
      </c>
      <c r="D544" s="1" t="s">
        <v>43</v>
      </c>
      <c r="E544" s="1" t="s">
        <v>1533</v>
      </c>
      <c r="F544" t="s">
        <v>3123</v>
      </c>
      <c r="G544" t="s">
        <v>3093</v>
      </c>
      <c r="H544" t="s">
        <v>3149</v>
      </c>
      <c r="I544" t="s">
        <v>52</v>
      </c>
      <c r="J544" t="s">
        <v>52</v>
      </c>
      <c r="K544" t="s">
        <v>52</v>
      </c>
      <c r="L544" s="2">
        <v>0.5</v>
      </c>
      <c r="M544" s="2">
        <v>1</v>
      </c>
      <c r="N544" s="2">
        <v>1</v>
      </c>
      <c r="O544" s="2">
        <v>1</v>
      </c>
      <c r="P544" s="2">
        <v>0.5</v>
      </c>
      <c r="Q544" s="2">
        <v>0.25</v>
      </c>
      <c r="R544" s="2">
        <v>2</v>
      </c>
      <c r="S544" s="2">
        <v>2</v>
      </c>
      <c r="T544" s="2">
        <v>1</v>
      </c>
      <c r="U544" s="2">
        <v>0.25</v>
      </c>
      <c r="V544" s="2">
        <v>1</v>
      </c>
      <c r="W544" s="2">
        <v>1</v>
      </c>
      <c r="X544" s="2">
        <v>1</v>
      </c>
      <c r="Y544" s="2">
        <v>0.5</v>
      </c>
      <c r="Z544" s="2">
        <v>2</v>
      </c>
      <c r="AA544" s="2">
        <v>2</v>
      </c>
      <c r="AB544" s="2">
        <v>1</v>
      </c>
      <c r="AC544" s="2">
        <v>1</v>
      </c>
      <c r="AD544" s="2">
        <v>45</v>
      </c>
      <c r="AE544" s="2">
        <v>3840</v>
      </c>
      <c r="AF544" s="2">
        <v>70</v>
      </c>
      <c r="AG544" s="2">
        <v>260</v>
      </c>
      <c r="AH544" s="2">
        <v>255</v>
      </c>
      <c r="AI544" s="2">
        <v>59</v>
      </c>
      <c r="AJ544" s="1">
        <v>1059860</v>
      </c>
      <c r="AK544" s="1">
        <v>0.4</v>
      </c>
      <c r="AL544" s="1">
        <v>30</v>
      </c>
      <c r="AM544" s="2">
        <v>50</v>
      </c>
      <c r="AN544" s="2">
        <f t="shared" si="8"/>
        <v>50</v>
      </c>
      <c r="AO544" s="3">
        <v>543</v>
      </c>
      <c r="AP544" s="3">
        <v>30</v>
      </c>
      <c r="AQ544" s="3">
        <v>39</v>
      </c>
      <c r="AR544" s="3">
        <v>57</v>
      </c>
      <c r="AS544" s="1">
        <v>5.3</v>
      </c>
      <c r="AT544" s="3">
        <v>5</v>
      </c>
      <c r="AU544" s="3" t="s">
        <v>3051</v>
      </c>
    </row>
    <row r="545" spans="1:47" x14ac:dyDescent="0.3">
      <c r="A545" s="1" t="s">
        <v>1538</v>
      </c>
      <c r="B545" s="1" t="s">
        <v>1537</v>
      </c>
      <c r="C545" s="1" t="s">
        <v>72</v>
      </c>
      <c r="D545" s="1" t="s">
        <v>43</v>
      </c>
      <c r="E545" s="1" t="s">
        <v>1536</v>
      </c>
      <c r="F545" t="s">
        <v>3123</v>
      </c>
      <c r="G545" t="s">
        <v>3093</v>
      </c>
      <c r="H545" t="s">
        <v>3149</v>
      </c>
      <c r="I545" t="s">
        <v>52</v>
      </c>
      <c r="J545" t="s">
        <v>52</v>
      </c>
      <c r="K545" t="s">
        <v>52</v>
      </c>
      <c r="L545" s="2">
        <v>0.5</v>
      </c>
      <c r="M545" s="2">
        <v>1</v>
      </c>
      <c r="N545" s="2">
        <v>1</v>
      </c>
      <c r="O545" s="2">
        <v>1</v>
      </c>
      <c r="P545" s="2">
        <v>0.5</v>
      </c>
      <c r="Q545" s="2">
        <v>0.25</v>
      </c>
      <c r="R545" s="2">
        <v>2</v>
      </c>
      <c r="S545" s="2">
        <v>2</v>
      </c>
      <c r="T545" s="2">
        <v>1</v>
      </c>
      <c r="U545" s="2">
        <v>0.25</v>
      </c>
      <c r="V545" s="2">
        <v>1</v>
      </c>
      <c r="W545" s="2">
        <v>1</v>
      </c>
      <c r="X545" s="2">
        <v>1</v>
      </c>
      <c r="Y545" s="2">
        <v>0.5</v>
      </c>
      <c r="Z545" s="2">
        <v>2</v>
      </c>
      <c r="AA545" s="2">
        <v>2</v>
      </c>
      <c r="AB545" s="2">
        <v>1</v>
      </c>
      <c r="AC545" s="2">
        <v>1</v>
      </c>
      <c r="AD545" s="2">
        <v>55</v>
      </c>
      <c r="AE545" s="2">
        <v>3840</v>
      </c>
      <c r="AF545" s="2">
        <v>70</v>
      </c>
      <c r="AG545" s="2">
        <v>360</v>
      </c>
      <c r="AH545" s="2">
        <v>120</v>
      </c>
      <c r="AI545" s="2">
        <v>99</v>
      </c>
      <c r="AJ545" s="1">
        <v>1059860</v>
      </c>
      <c r="AK545" s="1">
        <v>1.2</v>
      </c>
      <c r="AL545" s="1">
        <v>40</v>
      </c>
      <c r="AM545" s="2">
        <v>50</v>
      </c>
      <c r="AN545" s="2">
        <f t="shared" si="8"/>
        <v>50</v>
      </c>
      <c r="AO545" s="3">
        <v>544</v>
      </c>
      <c r="AP545" s="3">
        <v>40</v>
      </c>
      <c r="AQ545" s="3">
        <v>79</v>
      </c>
      <c r="AR545" s="3">
        <v>47</v>
      </c>
      <c r="AS545" s="1">
        <v>58.5</v>
      </c>
      <c r="AT545" s="3">
        <v>5</v>
      </c>
      <c r="AU545" s="3" t="s">
        <v>3051</v>
      </c>
    </row>
    <row r="546" spans="1:47" x14ac:dyDescent="0.3">
      <c r="A546" s="1" t="s">
        <v>1541</v>
      </c>
      <c r="B546" s="1" t="s">
        <v>1540</v>
      </c>
      <c r="C546" s="1" t="s">
        <v>72</v>
      </c>
      <c r="D546" s="1" t="s">
        <v>43</v>
      </c>
      <c r="E546" s="1" t="s">
        <v>1539</v>
      </c>
      <c r="F546" t="s">
        <v>3123</v>
      </c>
      <c r="G546" t="s">
        <v>3093</v>
      </c>
      <c r="H546" t="s">
        <v>3149</v>
      </c>
      <c r="I546" t="s">
        <v>52</v>
      </c>
      <c r="J546" t="s">
        <v>52</v>
      </c>
      <c r="K546" t="s">
        <v>52</v>
      </c>
      <c r="L546" s="2">
        <v>0.5</v>
      </c>
      <c r="M546" s="2">
        <v>1</v>
      </c>
      <c r="N546" s="2">
        <v>1</v>
      </c>
      <c r="O546" s="2">
        <v>1</v>
      </c>
      <c r="P546" s="2">
        <v>0.5</v>
      </c>
      <c r="Q546" s="2">
        <v>0.25</v>
      </c>
      <c r="R546" s="2">
        <v>2</v>
      </c>
      <c r="S546" s="2">
        <v>2</v>
      </c>
      <c r="T546" s="2">
        <v>1</v>
      </c>
      <c r="U546" s="2">
        <v>0.25</v>
      </c>
      <c r="V546" s="2">
        <v>1</v>
      </c>
      <c r="W546" s="2">
        <v>1</v>
      </c>
      <c r="X546" s="2">
        <v>1</v>
      </c>
      <c r="Y546" s="2">
        <v>0.5</v>
      </c>
      <c r="Z546" s="2">
        <v>2</v>
      </c>
      <c r="AA546" s="2">
        <v>2</v>
      </c>
      <c r="AB546" s="2">
        <v>1</v>
      </c>
      <c r="AC546" s="2">
        <v>1</v>
      </c>
      <c r="AD546" s="2">
        <v>100</v>
      </c>
      <c r="AE546" s="2">
        <v>5120</v>
      </c>
      <c r="AF546" s="2">
        <v>70</v>
      </c>
      <c r="AG546" s="2">
        <v>485</v>
      </c>
      <c r="AH546" s="2">
        <v>45</v>
      </c>
      <c r="AI546" s="2">
        <v>89</v>
      </c>
      <c r="AJ546" s="1">
        <v>1059860</v>
      </c>
      <c r="AK546" s="1">
        <v>2.5</v>
      </c>
      <c r="AL546" s="1">
        <v>60</v>
      </c>
      <c r="AM546" s="2">
        <v>50</v>
      </c>
      <c r="AN546" s="2">
        <f t="shared" si="8"/>
        <v>50</v>
      </c>
      <c r="AO546" s="3">
        <v>545</v>
      </c>
      <c r="AP546" s="3">
        <v>55</v>
      </c>
      <c r="AQ546" s="3">
        <v>69</v>
      </c>
      <c r="AR546" s="3">
        <v>112</v>
      </c>
      <c r="AS546" s="1">
        <v>200.5</v>
      </c>
      <c r="AT546" s="3">
        <v>5</v>
      </c>
      <c r="AU546" s="3" t="s">
        <v>3051</v>
      </c>
    </row>
    <row r="547" spans="1:47" x14ac:dyDescent="0.3">
      <c r="A547" s="1" t="s">
        <v>1544</v>
      </c>
      <c r="B547" s="1" t="s">
        <v>1543</v>
      </c>
      <c r="C547" s="1" t="s">
        <v>42</v>
      </c>
      <c r="D547" s="1" t="s">
        <v>141</v>
      </c>
      <c r="E547" s="1" t="s">
        <v>1542</v>
      </c>
      <c r="F547" t="s">
        <v>3182</v>
      </c>
      <c r="G547" t="s">
        <v>3234</v>
      </c>
      <c r="H547" t="s">
        <v>3068</v>
      </c>
      <c r="I547" t="s">
        <v>52</v>
      </c>
      <c r="J547" t="s">
        <v>52</v>
      </c>
      <c r="K547" t="s">
        <v>52</v>
      </c>
      <c r="L547" s="2">
        <v>1</v>
      </c>
      <c r="M547" s="2">
        <v>0.5</v>
      </c>
      <c r="N547" s="2">
        <v>0</v>
      </c>
      <c r="O547" s="2">
        <v>0.5</v>
      </c>
      <c r="P547" s="2">
        <v>1</v>
      </c>
      <c r="Q547" s="2">
        <v>0.5</v>
      </c>
      <c r="R547" s="2">
        <v>2</v>
      </c>
      <c r="S547" s="2">
        <v>2</v>
      </c>
      <c r="T547" s="2">
        <v>1</v>
      </c>
      <c r="U547" s="2">
        <v>0.5</v>
      </c>
      <c r="V547" s="2">
        <v>0.5</v>
      </c>
      <c r="W547" s="2">
        <v>2</v>
      </c>
      <c r="X547" s="2">
        <v>1</v>
      </c>
      <c r="Y547" s="2">
        <v>4</v>
      </c>
      <c r="Z547" s="2">
        <v>1</v>
      </c>
      <c r="AA547" s="2">
        <v>1</v>
      </c>
      <c r="AB547" s="2">
        <v>2</v>
      </c>
      <c r="AC547" s="2">
        <v>0.5</v>
      </c>
      <c r="AD547" s="2">
        <v>27</v>
      </c>
      <c r="AE547" s="2">
        <v>5120</v>
      </c>
      <c r="AF547" s="2">
        <v>70</v>
      </c>
      <c r="AG547" s="2">
        <v>280</v>
      </c>
      <c r="AH547" s="2">
        <v>190</v>
      </c>
      <c r="AI547" s="2">
        <v>60</v>
      </c>
      <c r="AJ547" s="1">
        <v>1000000</v>
      </c>
      <c r="AK547" s="1">
        <v>0.3</v>
      </c>
      <c r="AL547" s="1">
        <v>40</v>
      </c>
      <c r="AM547" s="2">
        <v>50</v>
      </c>
      <c r="AN547" s="2">
        <f t="shared" si="8"/>
        <v>50</v>
      </c>
      <c r="AO547" s="3">
        <v>546</v>
      </c>
      <c r="AP547" s="3">
        <v>37</v>
      </c>
      <c r="AQ547" s="3">
        <v>50</v>
      </c>
      <c r="AR547" s="3">
        <v>66</v>
      </c>
      <c r="AS547" s="1">
        <v>0.6</v>
      </c>
      <c r="AT547" s="3">
        <v>5</v>
      </c>
      <c r="AU547" s="3" t="s">
        <v>3051</v>
      </c>
    </row>
    <row r="548" spans="1:47" x14ac:dyDescent="0.3">
      <c r="A548" s="1" t="s">
        <v>1547</v>
      </c>
      <c r="B548" s="1" t="s">
        <v>1546</v>
      </c>
      <c r="C548" s="1" t="s">
        <v>42</v>
      </c>
      <c r="D548" s="1" t="s">
        <v>141</v>
      </c>
      <c r="E548" s="1" t="s">
        <v>1545</v>
      </c>
      <c r="F548" t="s">
        <v>3182</v>
      </c>
      <c r="G548" t="s">
        <v>3234</v>
      </c>
      <c r="H548" t="s">
        <v>3068</v>
      </c>
      <c r="I548" t="s">
        <v>52</v>
      </c>
      <c r="J548" t="s">
        <v>52</v>
      </c>
      <c r="K548" t="s">
        <v>52</v>
      </c>
      <c r="L548" s="2">
        <v>1</v>
      </c>
      <c r="M548" s="2">
        <v>0.5</v>
      </c>
      <c r="N548" s="2">
        <v>0</v>
      </c>
      <c r="O548" s="2">
        <v>0.5</v>
      </c>
      <c r="P548" s="2">
        <v>1</v>
      </c>
      <c r="Q548" s="2">
        <v>0.5</v>
      </c>
      <c r="R548" s="2">
        <v>2</v>
      </c>
      <c r="S548" s="2">
        <v>2</v>
      </c>
      <c r="T548" s="2">
        <v>1</v>
      </c>
      <c r="U548" s="2">
        <v>0.5</v>
      </c>
      <c r="V548" s="2">
        <v>0.5</v>
      </c>
      <c r="W548" s="2">
        <v>2</v>
      </c>
      <c r="X548" s="2">
        <v>1</v>
      </c>
      <c r="Y548" s="2">
        <v>4</v>
      </c>
      <c r="Z548" s="2">
        <v>1</v>
      </c>
      <c r="AA548" s="2">
        <v>1</v>
      </c>
      <c r="AB548" s="2">
        <v>2</v>
      </c>
      <c r="AC548" s="2">
        <v>0.5</v>
      </c>
      <c r="AD548" s="2">
        <v>67</v>
      </c>
      <c r="AE548" s="2">
        <v>5120</v>
      </c>
      <c r="AF548" s="2">
        <v>70</v>
      </c>
      <c r="AG548" s="2">
        <v>480</v>
      </c>
      <c r="AH548" s="2">
        <v>75</v>
      </c>
      <c r="AI548" s="2">
        <v>85</v>
      </c>
      <c r="AJ548" s="1">
        <v>1000000</v>
      </c>
      <c r="AK548" s="1">
        <v>0.7</v>
      </c>
      <c r="AL548" s="1">
        <v>60</v>
      </c>
      <c r="AM548" s="2">
        <v>50</v>
      </c>
      <c r="AN548" s="2">
        <f t="shared" si="8"/>
        <v>50</v>
      </c>
      <c r="AO548" s="3">
        <v>547</v>
      </c>
      <c r="AP548" s="3">
        <v>77</v>
      </c>
      <c r="AQ548" s="3">
        <v>75</v>
      </c>
      <c r="AR548" s="3">
        <v>116</v>
      </c>
      <c r="AS548" s="1">
        <v>6.6</v>
      </c>
      <c r="AT548" s="3">
        <v>5</v>
      </c>
      <c r="AU548" s="3" t="s">
        <v>3051</v>
      </c>
    </row>
    <row r="549" spans="1:47" x14ac:dyDescent="0.3">
      <c r="A549" s="1" t="s">
        <v>1550</v>
      </c>
      <c r="B549" s="1" t="s">
        <v>1549</v>
      </c>
      <c r="C549" s="1" t="s">
        <v>42</v>
      </c>
      <c r="D549" s="1" t="s">
        <v>52</v>
      </c>
      <c r="E549" s="1" t="s">
        <v>1548</v>
      </c>
      <c r="F549" t="s">
        <v>3068</v>
      </c>
      <c r="G549" t="s">
        <v>3140</v>
      </c>
      <c r="H549" t="s">
        <v>3174</v>
      </c>
      <c r="I549" t="s">
        <v>52</v>
      </c>
      <c r="J549" t="s">
        <v>52</v>
      </c>
      <c r="K549" t="s">
        <v>52</v>
      </c>
      <c r="L549" s="2">
        <v>2</v>
      </c>
      <c r="M549" s="2">
        <v>1</v>
      </c>
      <c r="N549" s="2">
        <v>1</v>
      </c>
      <c r="O549" s="2">
        <v>0.5</v>
      </c>
      <c r="P549" s="2">
        <v>1</v>
      </c>
      <c r="Q549" s="2">
        <v>1</v>
      </c>
      <c r="R549" s="2">
        <v>2</v>
      </c>
      <c r="S549" s="2">
        <v>2</v>
      </c>
      <c r="T549" s="2">
        <v>1</v>
      </c>
      <c r="U549" s="2">
        <v>0.5</v>
      </c>
      <c r="V549" s="2">
        <v>0.5</v>
      </c>
      <c r="W549" s="2">
        <v>2</v>
      </c>
      <c r="X549" s="2">
        <v>1</v>
      </c>
      <c r="Y549" s="2">
        <v>2</v>
      </c>
      <c r="Z549" s="2">
        <v>1</v>
      </c>
      <c r="AA549" s="2">
        <v>1</v>
      </c>
      <c r="AB549" s="2">
        <v>1</v>
      </c>
      <c r="AC549" s="2">
        <v>0.5</v>
      </c>
      <c r="AD549" s="2">
        <v>35</v>
      </c>
      <c r="AE549" s="2">
        <v>5120</v>
      </c>
      <c r="AF549" s="2">
        <v>70</v>
      </c>
      <c r="AG549" s="2">
        <v>280</v>
      </c>
      <c r="AH549" s="2">
        <v>190</v>
      </c>
      <c r="AI549" s="2">
        <v>50</v>
      </c>
      <c r="AJ549" s="1">
        <v>1000000</v>
      </c>
      <c r="AK549" s="1">
        <v>0.5</v>
      </c>
      <c r="AL549" s="1">
        <v>45</v>
      </c>
      <c r="AM549" s="2">
        <v>0</v>
      </c>
      <c r="AN549" s="2">
        <f t="shared" si="8"/>
        <v>100</v>
      </c>
      <c r="AO549" s="3">
        <v>548</v>
      </c>
      <c r="AP549" s="3">
        <v>70</v>
      </c>
      <c r="AQ549" s="3">
        <v>50</v>
      </c>
      <c r="AR549" s="3">
        <v>30</v>
      </c>
      <c r="AS549" s="1">
        <v>6.6</v>
      </c>
      <c r="AT549" s="3">
        <v>5</v>
      </c>
      <c r="AU549" s="3" t="s">
        <v>3051</v>
      </c>
    </row>
    <row r="550" spans="1:47" x14ac:dyDescent="0.3">
      <c r="A550" s="1" t="s">
        <v>1553</v>
      </c>
      <c r="B550" s="1" t="s">
        <v>1552</v>
      </c>
      <c r="C550" s="1" t="s">
        <v>42</v>
      </c>
      <c r="D550" s="1" t="s">
        <v>52</v>
      </c>
      <c r="E550" s="1" t="s">
        <v>1551</v>
      </c>
      <c r="F550" t="s">
        <v>3068</v>
      </c>
      <c r="G550" t="s">
        <v>3140</v>
      </c>
      <c r="H550" t="s">
        <v>3174</v>
      </c>
      <c r="I550" t="s">
        <v>52</v>
      </c>
      <c r="J550" t="s">
        <v>52</v>
      </c>
      <c r="K550" t="s">
        <v>52</v>
      </c>
      <c r="L550" s="2">
        <v>2</v>
      </c>
      <c r="M550" s="2">
        <v>1</v>
      </c>
      <c r="N550" s="2">
        <v>1</v>
      </c>
      <c r="O550" s="2">
        <v>0.5</v>
      </c>
      <c r="P550" s="2">
        <v>1</v>
      </c>
      <c r="Q550" s="2">
        <v>1</v>
      </c>
      <c r="R550" s="2">
        <v>2</v>
      </c>
      <c r="S550" s="2">
        <v>2</v>
      </c>
      <c r="T550" s="2">
        <v>1</v>
      </c>
      <c r="U550" s="2">
        <v>0.5</v>
      </c>
      <c r="V550" s="2">
        <v>0.5</v>
      </c>
      <c r="W550" s="2">
        <v>2</v>
      </c>
      <c r="X550" s="2">
        <v>1</v>
      </c>
      <c r="Y550" s="2">
        <v>2</v>
      </c>
      <c r="Z550" s="2">
        <v>1</v>
      </c>
      <c r="AA550" s="2">
        <v>1</v>
      </c>
      <c r="AB550" s="2">
        <v>1</v>
      </c>
      <c r="AC550" s="2">
        <v>0.5</v>
      </c>
      <c r="AD550" s="2">
        <v>60</v>
      </c>
      <c r="AE550" s="2">
        <v>5120</v>
      </c>
      <c r="AF550" s="2">
        <v>70</v>
      </c>
      <c r="AG550" s="2">
        <v>480</v>
      </c>
      <c r="AH550" s="2">
        <v>75</v>
      </c>
      <c r="AI550" s="2">
        <v>75</v>
      </c>
      <c r="AJ550" s="1">
        <v>1000000</v>
      </c>
      <c r="AK550" s="1">
        <v>1.1000000000000001</v>
      </c>
      <c r="AL550" s="1">
        <v>70</v>
      </c>
      <c r="AM550" s="2">
        <v>0</v>
      </c>
      <c r="AN550" s="2">
        <f t="shared" si="8"/>
        <v>100</v>
      </c>
      <c r="AO550" s="3">
        <v>549</v>
      </c>
      <c r="AP550" s="3">
        <v>110</v>
      </c>
      <c r="AQ550" s="3">
        <v>75</v>
      </c>
      <c r="AR550" s="3">
        <v>90</v>
      </c>
      <c r="AS550" s="1">
        <v>16.3</v>
      </c>
      <c r="AT550" s="3">
        <v>5</v>
      </c>
      <c r="AU550" s="3" t="s">
        <v>3051</v>
      </c>
    </row>
    <row r="551" spans="1:47" x14ac:dyDescent="0.3">
      <c r="A551" s="1" t="s">
        <v>1556</v>
      </c>
      <c r="B551" s="1" t="s">
        <v>1555</v>
      </c>
      <c r="C551" s="1" t="s">
        <v>62</v>
      </c>
      <c r="D551" s="1" t="s">
        <v>52</v>
      </c>
      <c r="E551" s="1" t="s">
        <v>1554</v>
      </c>
      <c r="F551" t="s">
        <v>3183</v>
      </c>
      <c r="G551" t="s">
        <v>3132</v>
      </c>
      <c r="H551" t="s">
        <v>3176</v>
      </c>
      <c r="I551" t="s">
        <v>3165</v>
      </c>
      <c r="J551" t="s">
        <v>52</v>
      </c>
      <c r="K551" t="s">
        <v>52</v>
      </c>
      <c r="L551" s="2">
        <v>1</v>
      </c>
      <c r="M551" s="2">
        <v>1</v>
      </c>
      <c r="N551" s="2">
        <v>1</v>
      </c>
      <c r="O551" s="2">
        <v>2</v>
      </c>
      <c r="P551" s="2">
        <v>1</v>
      </c>
      <c r="Q551" s="2">
        <v>1</v>
      </c>
      <c r="R551" s="2">
        <v>0.5</v>
      </c>
      <c r="S551" s="2">
        <v>1</v>
      </c>
      <c r="T551" s="2">
        <v>1</v>
      </c>
      <c r="U551" s="2">
        <v>2</v>
      </c>
      <c r="V551" s="2">
        <v>1</v>
      </c>
      <c r="W551" s="2">
        <v>0.5</v>
      </c>
      <c r="X551" s="2">
        <v>1</v>
      </c>
      <c r="Y551" s="2">
        <v>1</v>
      </c>
      <c r="Z551" s="2">
        <v>1</v>
      </c>
      <c r="AA551" s="2">
        <v>1</v>
      </c>
      <c r="AB551" s="2">
        <v>0.5</v>
      </c>
      <c r="AC551" s="2">
        <v>0.5</v>
      </c>
      <c r="AD551" s="2">
        <v>92</v>
      </c>
      <c r="AE551" s="2">
        <v>10240</v>
      </c>
      <c r="AF551" s="2">
        <v>70</v>
      </c>
      <c r="AG551" s="2">
        <v>460</v>
      </c>
      <c r="AH551" s="2">
        <v>25</v>
      </c>
      <c r="AI551" s="2">
        <v>65</v>
      </c>
      <c r="AJ551" s="1">
        <v>1000000</v>
      </c>
      <c r="AK551" s="1">
        <v>1</v>
      </c>
      <c r="AL551" s="1">
        <v>70</v>
      </c>
      <c r="AM551" s="2">
        <v>50</v>
      </c>
      <c r="AN551" s="2">
        <f t="shared" si="8"/>
        <v>50</v>
      </c>
      <c r="AO551" s="3">
        <v>550</v>
      </c>
      <c r="AP551" s="3">
        <v>80</v>
      </c>
      <c r="AQ551" s="3">
        <v>55</v>
      </c>
      <c r="AR551" s="3">
        <v>98</v>
      </c>
      <c r="AS551" s="1">
        <v>18</v>
      </c>
      <c r="AT551" s="3">
        <v>5</v>
      </c>
      <c r="AU551" s="3" t="s">
        <v>3051</v>
      </c>
    </row>
    <row r="552" spans="1:47" x14ac:dyDescent="0.3">
      <c r="A552" s="1" t="s">
        <v>1559</v>
      </c>
      <c r="B552" s="1" t="s">
        <v>1558</v>
      </c>
      <c r="C552" s="1" t="s">
        <v>120</v>
      </c>
      <c r="D552" s="1" t="s">
        <v>99</v>
      </c>
      <c r="E552" s="1" t="s">
        <v>1557</v>
      </c>
      <c r="F552" t="s">
        <v>3120</v>
      </c>
      <c r="G552" t="s">
        <v>3252</v>
      </c>
      <c r="H552" t="s">
        <v>3240</v>
      </c>
      <c r="I552" t="s">
        <v>52</v>
      </c>
      <c r="J552" t="s">
        <v>52</v>
      </c>
      <c r="K552" t="s">
        <v>52</v>
      </c>
      <c r="L552" s="2">
        <v>2</v>
      </c>
      <c r="M552" s="2">
        <v>0.5</v>
      </c>
      <c r="N552" s="2">
        <v>1</v>
      </c>
      <c r="O552" s="2">
        <v>0</v>
      </c>
      <c r="P552" s="2">
        <v>2</v>
      </c>
      <c r="Q552" s="2">
        <v>2</v>
      </c>
      <c r="R552" s="2">
        <v>1</v>
      </c>
      <c r="S552" s="2">
        <v>1</v>
      </c>
      <c r="T552" s="2">
        <v>0.5</v>
      </c>
      <c r="U552" s="2">
        <v>2</v>
      </c>
      <c r="V552" s="2">
        <v>1</v>
      </c>
      <c r="W552" s="2">
        <v>2</v>
      </c>
      <c r="X552" s="2">
        <v>1</v>
      </c>
      <c r="Y552" s="2">
        <v>0.5</v>
      </c>
      <c r="Z552" s="2">
        <v>0</v>
      </c>
      <c r="AA552" s="2">
        <v>0.5</v>
      </c>
      <c r="AB552" s="2">
        <v>1</v>
      </c>
      <c r="AC552" s="2">
        <v>2</v>
      </c>
      <c r="AD552" s="2">
        <v>72</v>
      </c>
      <c r="AE552" s="2">
        <v>5120</v>
      </c>
      <c r="AF552" s="2">
        <v>70</v>
      </c>
      <c r="AG552" s="2">
        <v>292</v>
      </c>
      <c r="AH552" s="2">
        <v>180</v>
      </c>
      <c r="AI552" s="2">
        <v>35</v>
      </c>
      <c r="AJ552" s="1">
        <v>1059860</v>
      </c>
      <c r="AK552" s="1">
        <v>0.7</v>
      </c>
      <c r="AL552" s="1">
        <v>50</v>
      </c>
      <c r="AM552" s="2">
        <v>50</v>
      </c>
      <c r="AN552" s="2">
        <f t="shared" si="8"/>
        <v>50</v>
      </c>
      <c r="AO552" s="3">
        <v>551</v>
      </c>
      <c r="AP552" s="3">
        <v>35</v>
      </c>
      <c r="AQ552" s="3">
        <v>35</v>
      </c>
      <c r="AR552" s="3">
        <v>65</v>
      </c>
      <c r="AS552" s="1">
        <v>15.2</v>
      </c>
      <c r="AT552" s="3">
        <v>5</v>
      </c>
      <c r="AU552" s="3" t="s">
        <v>3051</v>
      </c>
    </row>
    <row r="553" spans="1:47" x14ac:dyDescent="0.3">
      <c r="A553" s="1" t="s">
        <v>1561</v>
      </c>
      <c r="B553" s="1" t="s">
        <v>1560</v>
      </c>
      <c r="C553" s="1" t="s">
        <v>120</v>
      </c>
      <c r="D553" s="1" t="s">
        <v>99</v>
      </c>
      <c r="E553" s="1" t="s">
        <v>1557</v>
      </c>
      <c r="F553" t="s">
        <v>3120</v>
      </c>
      <c r="G553" t="s">
        <v>3252</v>
      </c>
      <c r="H553" t="s">
        <v>3240</v>
      </c>
      <c r="I553" t="s">
        <v>52</v>
      </c>
      <c r="J553" t="s">
        <v>52</v>
      </c>
      <c r="K553" t="s">
        <v>52</v>
      </c>
      <c r="L553" s="2">
        <v>2</v>
      </c>
      <c r="M553" s="2">
        <v>0.5</v>
      </c>
      <c r="N553" s="2">
        <v>1</v>
      </c>
      <c r="O553" s="2">
        <v>0</v>
      </c>
      <c r="P553" s="2">
        <v>2</v>
      </c>
      <c r="Q553" s="2">
        <v>2</v>
      </c>
      <c r="R553" s="2">
        <v>1</v>
      </c>
      <c r="S553" s="2">
        <v>1</v>
      </c>
      <c r="T553" s="2">
        <v>0.5</v>
      </c>
      <c r="U553" s="2">
        <v>2</v>
      </c>
      <c r="V553" s="2">
        <v>1</v>
      </c>
      <c r="W553" s="2">
        <v>2</v>
      </c>
      <c r="X553" s="2">
        <v>1</v>
      </c>
      <c r="Y553" s="2">
        <v>0.5</v>
      </c>
      <c r="Z553" s="2">
        <v>0</v>
      </c>
      <c r="AA553" s="2">
        <v>0.5</v>
      </c>
      <c r="AB553" s="2">
        <v>1</v>
      </c>
      <c r="AC553" s="2">
        <v>2</v>
      </c>
      <c r="AD553" s="2">
        <v>82</v>
      </c>
      <c r="AE553" s="2">
        <v>5120</v>
      </c>
      <c r="AF553" s="2">
        <v>70</v>
      </c>
      <c r="AG553" s="2">
        <v>351</v>
      </c>
      <c r="AH553" s="2">
        <v>90</v>
      </c>
      <c r="AI553" s="2">
        <v>45</v>
      </c>
      <c r="AJ553" s="1">
        <v>1059860</v>
      </c>
      <c r="AK553" s="1">
        <v>1</v>
      </c>
      <c r="AL553" s="1">
        <v>60</v>
      </c>
      <c r="AM553" s="2">
        <v>50</v>
      </c>
      <c r="AN553" s="2">
        <f t="shared" si="8"/>
        <v>50</v>
      </c>
      <c r="AO553" s="3">
        <v>552</v>
      </c>
      <c r="AP553" s="3">
        <v>45</v>
      </c>
      <c r="AQ553" s="3">
        <v>45</v>
      </c>
      <c r="AR553" s="3">
        <v>74</v>
      </c>
      <c r="AS553" s="1">
        <v>33.4</v>
      </c>
      <c r="AT553" s="3">
        <v>5</v>
      </c>
      <c r="AU553" s="3" t="s">
        <v>3051</v>
      </c>
    </row>
    <row r="554" spans="1:47" x14ac:dyDescent="0.3">
      <c r="A554" s="1" t="s">
        <v>1564</v>
      </c>
      <c r="B554" s="1" t="s">
        <v>1563</v>
      </c>
      <c r="C554" s="1" t="s">
        <v>120</v>
      </c>
      <c r="D554" s="1" t="s">
        <v>99</v>
      </c>
      <c r="E554" s="1" t="s">
        <v>1562</v>
      </c>
      <c r="F554" t="s">
        <v>3120</v>
      </c>
      <c r="G554" t="s">
        <v>3252</v>
      </c>
      <c r="H554" t="s">
        <v>3240</v>
      </c>
      <c r="I554" t="s">
        <v>52</v>
      </c>
      <c r="J554" t="s">
        <v>52</v>
      </c>
      <c r="K554" t="s">
        <v>52</v>
      </c>
      <c r="L554" s="2">
        <v>2</v>
      </c>
      <c r="M554" s="2">
        <v>0.5</v>
      </c>
      <c r="N554" s="2">
        <v>1</v>
      </c>
      <c r="O554" s="2">
        <v>0</v>
      </c>
      <c r="P554" s="2">
        <v>2</v>
      </c>
      <c r="Q554" s="2">
        <v>2</v>
      </c>
      <c r="R554" s="2">
        <v>1</v>
      </c>
      <c r="S554" s="2">
        <v>1</v>
      </c>
      <c r="T554" s="2">
        <v>0.5</v>
      </c>
      <c r="U554" s="2">
        <v>2</v>
      </c>
      <c r="V554" s="2">
        <v>1</v>
      </c>
      <c r="W554" s="2">
        <v>2</v>
      </c>
      <c r="X554" s="2">
        <v>1</v>
      </c>
      <c r="Y554" s="2">
        <v>0.5</v>
      </c>
      <c r="Z554" s="2">
        <v>0</v>
      </c>
      <c r="AA554" s="2">
        <v>0.5</v>
      </c>
      <c r="AB554" s="2">
        <v>1</v>
      </c>
      <c r="AC554" s="2">
        <v>2</v>
      </c>
      <c r="AD554" s="2">
        <v>117</v>
      </c>
      <c r="AE554" s="2">
        <v>5120</v>
      </c>
      <c r="AF554" s="2">
        <v>70</v>
      </c>
      <c r="AG554" s="2">
        <v>519</v>
      </c>
      <c r="AH554" s="2">
        <v>45</v>
      </c>
      <c r="AI554" s="2">
        <v>80</v>
      </c>
      <c r="AJ554" s="1">
        <v>1059860</v>
      </c>
      <c r="AK554" s="1">
        <v>1.5</v>
      </c>
      <c r="AL554" s="1">
        <v>95</v>
      </c>
      <c r="AM554" s="2">
        <v>50</v>
      </c>
      <c r="AN554" s="2">
        <f t="shared" si="8"/>
        <v>50</v>
      </c>
      <c r="AO554" s="3">
        <v>553</v>
      </c>
      <c r="AP554" s="3">
        <v>65</v>
      </c>
      <c r="AQ554" s="3">
        <v>70</v>
      </c>
      <c r="AR554" s="3">
        <v>92</v>
      </c>
      <c r="AS554" s="1">
        <v>96.3</v>
      </c>
      <c r="AT554" s="3">
        <v>5</v>
      </c>
      <c r="AU554" s="3" t="s">
        <v>3051</v>
      </c>
    </row>
    <row r="555" spans="1:47" x14ac:dyDescent="0.3">
      <c r="A555" s="1" t="s">
        <v>1567</v>
      </c>
      <c r="B555" s="1" t="s">
        <v>1566</v>
      </c>
      <c r="C555" s="1" t="s">
        <v>51</v>
      </c>
      <c r="D555" s="1" t="s">
        <v>52</v>
      </c>
      <c r="E555" s="1" t="s">
        <v>1565</v>
      </c>
      <c r="F555" t="s">
        <v>3079</v>
      </c>
      <c r="G555" t="s">
        <v>3126</v>
      </c>
      <c r="H555" t="s">
        <v>52</v>
      </c>
      <c r="I555" t="s">
        <v>52</v>
      </c>
      <c r="J555" t="s">
        <v>52</v>
      </c>
      <c r="K555" t="s">
        <v>52</v>
      </c>
      <c r="L555" s="2">
        <v>0.5</v>
      </c>
      <c r="M555" s="2">
        <v>1</v>
      </c>
      <c r="N555" s="2">
        <v>1</v>
      </c>
      <c r="O555" s="2">
        <v>1</v>
      </c>
      <c r="P555" s="2">
        <v>0.5</v>
      </c>
      <c r="Q555" s="2">
        <v>1</v>
      </c>
      <c r="R555" s="2">
        <v>0.5</v>
      </c>
      <c r="S555" s="2">
        <v>1</v>
      </c>
      <c r="T555" s="2">
        <v>1</v>
      </c>
      <c r="U555" s="2">
        <v>0.5</v>
      </c>
      <c r="V555" s="2">
        <v>2</v>
      </c>
      <c r="W555" s="2">
        <v>0.5</v>
      </c>
      <c r="X555" s="2">
        <v>1</v>
      </c>
      <c r="Y555" s="2">
        <v>1</v>
      </c>
      <c r="Z555" s="2">
        <v>1</v>
      </c>
      <c r="AA555" s="2">
        <v>2</v>
      </c>
      <c r="AB555" s="2">
        <v>0.5</v>
      </c>
      <c r="AC555" s="2">
        <v>2</v>
      </c>
      <c r="AD555" s="2">
        <v>90</v>
      </c>
      <c r="AE555" s="2">
        <v>5120</v>
      </c>
      <c r="AF555" s="2">
        <v>70</v>
      </c>
      <c r="AG555" s="2">
        <v>315</v>
      </c>
      <c r="AH555" s="2">
        <v>120</v>
      </c>
      <c r="AI555" s="2">
        <v>45</v>
      </c>
      <c r="AJ555" s="1">
        <v>1059860</v>
      </c>
      <c r="AK555" s="1">
        <v>0.6</v>
      </c>
      <c r="AL555" s="1">
        <v>70</v>
      </c>
      <c r="AM555" s="2">
        <v>50</v>
      </c>
      <c r="AN555" s="2">
        <f t="shared" si="8"/>
        <v>50</v>
      </c>
      <c r="AO555" s="3">
        <v>554</v>
      </c>
      <c r="AP555" s="3">
        <v>15</v>
      </c>
      <c r="AQ555" s="3">
        <v>45</v>
      </c>
      <c r="AR555" s="3">
        <v>50</v>
      </c>
      <c r="AS555" s="1">
        <v>37.5</v>
      </c>
      <c r="AT555" s="3">
        <v>5</v>
      </c>
      <c r="AU555" s="3" t="s">
        <v>3051</v>
      </c>
    </row>
    <row r="556" spans="1:47" x14ac:dyDescent="0.3">
      <c r="A556" s="1" t="s">
        <v>1570</v>
      </c>
      <c r="B556" s="1" t="s">
        <v>1569</v>
      </c>
      <c r="C556" s="1" t="s">
        <v>51</v>
      </c>
      <c r="D556" s="1" t="s">
        <v>51</v>
      </c>
      <c r="E556" s="1" t="s">
        <v>1568</v>
      </c>
      <c r="F556" t="s">
        <v>3184</v>
      </c>
      <c r="G556" t="s">
        <v>3272</v>
      </c>
      <c r="H556" t="s">
        <v>52</v>
      </c>
      <c r="I556" t="s">
        <v>52</v>
      </c>
      <c r="J556" t="s">
        <v>52</v>
      </c>
      <c r="K556" t="s">
        <v>52</v>
      </c>
      <c r="L556" s="2">
        <v>0.5</v>
      </c>
      <c r="M556" s="2">
        <v>1</v>
      </c>
      <c r="N556" s="2">
        <v>1</v>
      </c>
      <c r="O556" s="2">
        <v>1</v>
      </c>
      <c r="P556" s="2">
        <v>0.5</v>
      </c>
      <c r="Q556" s="2">
        <v>1</v>
      </c>
      <c r="R556" s="2">
        <v>0.5</v>
      </c>
      <c r="S556" s="2">
        <v>1</v>
      </c>
      <c r="T556" s="2">
        <v>1</v>
      </c>
      <c r="U556" s="2">
        <v>0.5</v>
      </c>
      <c r="V556" s="2">
        <v>2</v>
      </c>
      <c r="W556" s="2">
        <v>0.5</v>
      </c>
      <c r="X556" s="2">
        <v>1</v>
      </c>
      <c r="Y556" s="2">
        <v>1</v>
      </c>
      <c r="Z556" s="2">
        <v>1</v>
      </c>
      <c r="AA556" s="2">
        <v>2</v>
      </c>
      <c r="AB556" s="2">
        <v>0.5</v>
      </c>
      <c r="AC556" s="2">
        <v>2</v>
      </c>
      <c r="AD556" s="2">
        <v>30</v>
      </c>
      <c r="AE556" s="2">
        <v>5120</v>
      </c>
      <c r="AF556" s="2">
        <v>70</v>
      </c>
      <c r="AG556" s="2">
        <v>540</v>
      </c>
      <c r="AH556" s="2">
        <v>60</v>
      </c>
      <c r="AI556" s="2">
        <v>105</v>
      </c>
      <c r="AJ556" s="1">
        <v>1059860</v>
      </c>
      <c r="AK556" s="1">
        <v>1.3</v>
      </c>
      <c r="AL556" s="1">
        <v>105</v>
      </c>
      <c r="AM556" s="2">
        <v>50</v>
      </c>
      <c r="AN556" s="2">
        <f t="shared" si="8"/>
        <v>50</v>
      </c>
      <c r="AO556" s="3">
        <v>555</v>
      </c>
      <c r="AP556" s="3">
        <v>140</v>
      </c>
      <c r="AQ556" s="3">
        <v>105</v>
      </c>
      <c r="AR556" s="3">
        <v>55</v>
      </c>
      <c r="AS556" s="1">
        <v>92.9</v>
      </c>
      <c r="AT556" s="3">
        <v>5</v>
      </c>
      <c r="AU556" s="3" t="s">
        <v>3051</v>
      </c>
    </row>
    <row r="557" spans="1:47" x14ac:dyDescent="0.3">
      <c r="A557" s="1" t="s">
        <v>1572</v>
      </c>
      <c r="B557" s="1" t="s">
        <v>1571</v>
      </c>
      <c r="C557" s="1" t="s">
        <v>42</v>
      </c>
      <c r="D557" s="1" t="s">
        <v>52</v>
      </c>
      <c r="E557" s="1" t="s">
        <v>942</v>
      </c>
      <c r="F557" t="s">
        <v>3092</v>
      </c>
      <c r="G557" t="s">
        <v>3068</v>
      </c>
      <c r="H557" t="s">
        <v>3267</v>
      </c>
      <c r="I557" t="s">
        <v>52</v>
      </c>
      <c r="J557" t="s">
        <v>52</v>
      </c>
      <c r="K557" t="s">
        <v>52</v>
      </c>
      <c r="L557" s="2">
        <v>2</v>
      </c>
      <c r="M557" s="2">
        <v>1</v>
      </c>
      <c r="N557" s="2">
        <v>1</v>
      </c>
      <c r="O557" s="2">
        <v>0.5</v>
      </c>
      <c r="P557" s="2">
        <v>1</v>
      </c>
      <c r="Q557" s="2">
        <v>1</v>
      </c>
      <c r="R557" s="2">
        <v>2</v>
      </c>
      <c r="S557" s="2">
        <v>2</v>
      </c>
      <c r="T557" s="2">
        <v>1</v>
      </c>
      <c r="U557" s="2">
        <v>0.5</v>
      </c>
      <c r="V557" s="2">
        <v>0.5</v>
      </c>
      <c r="W557" s="2">
        <v>2</v>
      </c>
      <c r="X557" s="2">
        <v>1</v>
      </c>
      <c r="Y557" s="2">
        <v>2</v>
      </c>
      <c r="Z557" s="2">
        <v>1</v>
      </c>
      <c r="AA557" s="2">
        <v>1</v>
      </c>
      <c r="AB557" s="2">
        <v>1</v>
      </c>
      <c r="AC557" s="2">
        <v>0.5</v>
      </c>
      <c r="AD557" s="2">
        <v>86</v>
      </c>
      <c r="AE557" s="2">
        <v>5120</v>
      </c>
      <c r="AF557" s="2">
        <v>70</v>
      </c>
      <c r="AG557" s="2">
        <v>461</v>
      </c>
      <c r="AH557" s="2">
        <v>255</v>
      </c>
      <c r="AI557" s="2">
        <v>67</v>
      </c>
      <c r="AJ557" s="1">
        <v>1000000</v>
      </c>
      <c r="AK557" s="1">
        <v>1</v>
      </c>
      <c r="AL557" s="1">
        <v>75</v>
      </c>
      <c r="AM557" s="2">
        <v>50</v>
      </c>
      <c r="AN557" s="2">
        <f t="shared" si="8"/>
        <v>50</v>
      </c>
      <c r="AO557" s="3">
        <v>556</v>
      </c>
      <c r="AP557" s="3">
        <v>106</v>
      </c>
      <c r="AQ557" s="3">
        <v>67</v>
      </c>
      <c r="AR557" s="3">
        <v>60</v>
      </c>
      <c r="AS557" s="1">
        <v>28</v>
      </c>
      <c r="AT557" s="3">
        <v>5</v>
      </c>
      <c r="AU557" s="3" t="s">
        <v>3051</v>
      </c>
    </row>
    <row r="558" spans="1:47" x14ac:dyDescent="0.3">
      <c r="A558" s="1" t="s">
        <v>1575</v>
      </c>
      <c r="B558" s="1" t="s">
        <v>1574</v>
      </c>
      <c r="C558" s="1" t="s">
        <v>72</v>
      </c>
      <c r="D558" s="1" t="s">
        <v>243</v>
      </c>
      <c r="E558" s="1" t="s">
        <v>1573</v>
      </c>
      <c r="F558" t="s">
        <v>3107</v>
      </c>
      <c r="G558" t="s">
        <v>3103</v>
      </c>
      <c r="H558" t="s">
        <v>3247</v>
      </c>
      <c r="I558" t="s">
        <v>52</v>
      </c>
      <c r="J558" t="s">
        <v>52</v>
      </c>
      <c r="K558" t="s">
        <v>52</v>
      </c>
      <c r="L558" s="2">
        <v>1</v>
      </c>
      <c r="M558" s="2">
        <v>1</v>
      </c>
      <c r="N558" s="2">
        <v>1</v>
      </c>
      <c r="O558" s="2">
        <v>1</v>
      </c>
      <c r="P558" s="2">
        <v>1</v>
      </c>
      <c r="Q558" s="2">
        <v>1</v>
      </c>
      <c r="R558" s="2">
        <v>1</v>
      </c>
      <c r="S558" s="2">
        <v>1</v>
      </c>
      <c r="T558" s="2">
        <v>1</v>
      </c>
      <c r="U558" s="2">
        <v>1</v>
      </c>
      <c r="V558" s="2">
        <v>1</v>
      </c>
      <c r="W558" s="2">
        <v>1</v>
      </c>
      <c r="X558" s="2">
        <v>0.5</v>
      </c>
      <c r="Y558" s="2">
        <v>0.5</v>
      </c>
      <c r="Z558" s="2">
        <v>1</v>
      </c>
      <c r="AA558" s="2">
        <v>2</v>
      </c>
      <c r="AB558" s="2">
        <v>2</v>
      </c>
      <c r="AC558" s="2">
        <v>2</v>
      </c>
      <c r="AD558" s="2">
        <v>65</v>
      </c>
      <c r="AE558" s="2">
        <v>5120</v>
      </c>
      <c r="AF558" s="2">
        <v>70</v>
      </c>
      <c r="AG558" s="2">
        <v>325</v>
      </c>
      <c r="AH558" s="2">
        <v>190</v>
      </c>
      <c r="AI558" s="2">
        <v>85</v>
      </c>
      <c r="AJ558" s="1">
        <v>1000000</v>
      </c>
      <c r="AK558" s="1">
        <v>0.3</v>
      </c>
      <c r="AL558" s="1">
        <v>50</v>
      </c>
      <c r="AM558" s="2">
        <v>50</v>
      </c>
      <c r="AN558" s="2">
        <f t="shared" si="8"/>
        <v>50</v>
      </c>
      <c r="AO558" s="3">
        <v>557</v>
      </c>
      <c r="AP558" s="3">
        <v>35</v>
      </c>
      <c r="AQ558" s="3">
        <v>35</v>
      </c>
      <c r="AR558" s="3">
        <v>55</v>
      </c>
      <c r="AS558" s="1">
        <v>14.5</v>
      </c>
      <c r="AT558" s="3">
        <v>5</v>
      </c>
      <c r="AU558" s="3" t="s">
        <v>3051</v>
      </c>
    </row>
    <row r="559" spans="1:47" x14ac:dyDescent="0.3">
      <c r="A559" s="1" t="s">
        <v>1578</v>
      </c>
      <c r="B559" s="1" t="s">
        <v>1577</v>
      </c>
      <c r="C559" s="1" t="s">
        <v>72</v>
      </c>
      <c r="D559" s="1" t="s">
        <v>243</v>
      </c>
      <c r="E559" s="1" t="s">
        <v>1576</v>
      </c>
      <c r="F559" t="s">
        <v>3107</v>
      </c>
      <c r="G559" t="s">
        <v>3103</v>
      </c>
      <c r="H559" t="s">
        <v>3247</v>
      </c>
      <c r="I559" t="s">
        <v>52</v>
      </c>
      <c r="J559" t="s">
        <v>52</v>
      </c>
      <c r="K559" t="s">
        <v>52</v>
      </c>
      <c r="L559" s="2">
        <v>1</v>
      </c>
      <c r="M559" s="2">
        <v>1</v>
      </c>
      <c r="N559" s="2">
        <v>1</v>
      </c>
      <c r="O559" s="2">
        <v>1</v>
      </c>
      <c r="P559" s="2">
        <v>1</v>
      </c>
      <c r="Q559" s="2">
        <v>1</v>
      </c>
      <c r="R559" s="2">
        <v>1</v>
      </c>
      <c r="S559" s="2">
        <v>1</v>
      </c>
      <c r="T559" s="2">
        <v>1</v>
      </c>
      <c r="U559" s="2">
        <v>1</v>
      </c>
      <c r="V559" s="2">
        <v>1</v>
      </c>
      <c r="W559" s="2">
        <v>1</v>
      </c>
      <c r="X559" s="2">
        <v>0.5</v>
      </c>
      <c r="Y559" s="2">
        <v>0.5</v>
      </c>
      <c r="Z559" s="2">
        <v>1</v>
      </c>
      <c r="AA559" s="2">
        <v>2</v>
      </c>
      <c r="AB559" s="2">
        <v>2</v>
      </c>
      <c r="AC559" s="2">
        <v>2</v>
      </c>
      <c r="AD559" s="2">
        <v>105</v>
      </c>
      <c r="AE559" s="2">
        <v>5120</v>
      </c>
      <c r="AF559" s="2">
        <v>70</v>
      </c>
      <c r="AG559" s="2">
        <v>485</v>
      </c>
      <c r="AH559" s="2">
        <v>75</v>
      </c>
      <c r="AI559" s="2">
        <v>125</v>
      </c>
      <c r="AJ559" s="1">
        <v>1000000</v>
      </c>
      <c r="AK559" s="1">
        <v>1.4</v>
      </c>
      <c r="AL559" s="1">
        <v>70</v>
      </c>
      <c r="AM559" s="2">
        <v>50</v>
      </c>
      <c r="AN559" s="2">
        <f t="shared" si="8"/>
        <v>50</v>
      </c>
      <c r="AO559" s="3">
        <v>558</v>
      </c>
      <c r="AP559" s="3">
        <v>65</v>
      </c>
      <c r="AQ559" s="3">
        <v>75</v>
      </c>
      <c r="AR559" s="3">
        <v>45</v>
      </c>
      <c r="AS559" s="1">
        <v>200</v>
      </c>
      <c r="AT559" s="3">
        <v>5</v>
      </c>
      <c r="AU559" s="3" t="s">
        <v>3051</v>
      </c>
    </row>
    <row r="560" spans="1:47" x14ac:dyDescent="0.3">
      <c r="A560" s="1" t="s">
        <v>1581</v>
      </c>
      <c r="B560" s="1" t="s">
        <v>1580</v>
      </c>
      <c r="C560" s="1" t="s">
        <v>99</v>
      </c>
      <c r="D560" s="1" t="s">
        <v>197</v>
      </c>
      <c r="E560" s="1" t="s">
        <v>1579</v>
      </c>
      <c r="F560" t="s">
        <v>3054</v>
      </c>
      <c r="G560" t="s">
        <v>3252</v>
      </c>
      <c r="H560" t="s">
        <v>3120</v>
      </c>
      <c r="I560" t="s">
        <v>52</v>
      </c>
      <c r="J560" t="s">
        <v>52</v>
      </c>
      <c r="K560" t="s">
        <v>52</v>
      </c>
      <c r="L560" s="2">
        <v>1</v>
      </c>
      <c r="M560" s="2">
        <v>0.25</v>
      </c>
      <c r="N560" s="2">
        <v>1</v>
      </c>
      <c r="O560" s="2">
        <v>1</v>
      </c>
      <c r="P560" s="2">
        <v>4</v>
      </c>
      <c r="Q560" s="2">
        <v>2</v>
      </c>
      <c r="R560" s="2">
        <v>1</v>
      </c>
      <c r="S560" s="2">
        <v>2</v>
      </c>
      <c r="T560" s="2">
        <v>0.5</v>
      </c>
      <c r="U560" s="2">
        <v>1</v>
      </c>
      <c r="V560" s="2">
        <v>1</v>
      </c>
      <c r="W560" s="2">
        <v>1</v>
      </c>
      <c r="X560" s="2">
        <v>1</v>
      </c>
      <c r="Y560" s="2">
        <v>1</v>
      </c>
      <c r="Z560" s="2">
        <v>0</v>
      </c>
      <c r="AA560" s="2">
        <v>0.5</v>
      </c>
      <c r="AB560" s="2">
        <v>1</v>
      </c>
      <c r="AC560" s="2">
        <v>1</v>
      </c>
      <c r="AD560" s="2">
        <v>75</v>
      </c>
      <c r="AE560" s="2">
        <v>3840</v>
      </c>
      <c r="AF560" s="2">
        <v>35</v>
      </c>
      <c r="AG560" s="2">
        <v>348</v>
      </c>
      <c r="AH560" s="2">
        <v>180</v>
      </c>
      <c r="AI560" s="2">
        <v>70</v>
      </c>
      <c r="AJ560" s="1">
        <v>1000000</v>
      </c>
      <c r="AK560" s="1">
        <v>0.6</v>
      </c>
      <c r="AL560" s="1">
        <v>50</v>
      </c>
      <c r="AM560" s="2">
        <v>50</v>
      </c>
      <c r="AN560" s="2">
        <f t="shared" si="8"/>
        <v>50</v>
      </c>
      <c r="AO560" s="3">
        <v>559</v>
      </c>
      <c r="AP560" s="3">
        <v>35</v>
      </c>
      <c r="AQ560" s="3">
        <v>70</v>
      </c>
      <c r="AR560" s="3">
        <v>48</v>
      </c>
      <c r="AS560" s="1">
        <v>11.8</v>
      </c>
      <c r="AT560" s="3">
        <v>5</v>
      </c>
      <c r="AU560" s="3" t="s">
        <v>3051</v>
      </c>
    </row>
    <row r="561" spans="1:47" x14ac:dyDescent="0.3">
      <c r="A561" s="1" t="s">
        <v>1584</v>
      </c>
      <c r="B561" s="1" t="s">
        <v>1583</v>
      </c>
      <c r="C561" s="1" t="s">
        <v>99</v>
      </c>
      <c r="D561" s="1" t="s">
        <v>197</v>
      </c>
      <c r="E561" s="1" t="s">
        <v>1582</v>
      </c>
      <c r="F561" t="s">
        <v>3054</v>
      </c>
      <c r="G561" t="s">
        <v>3252</v>
      </c>
      <c r="H561" t="s">
        <v>3120</v>
      </c>
      <c r="I561" t="s">
        <v>52</v>
      </c>
      <c r="J561" t="s">
        <v>52</v>
      </c>
      <c r="K561" t="s">
        <v>52</v>
      </c>
      <c r="L561" s="2">
        <v>1</v>
      </c>
      <c r="M561" s="2">
        <v>0.25</v>
      </c>
      <c r="N561" s="2">
        <v>1</v>
      </c>
      <c r="O561" s="2">
        <v>1</v>
      </c>
      <c r="P561" s="2">
        <v>4</v>
      </c>
      <c r="Q561" s="2">
        <v>2</v>
      </c>
      <c r="R561" s="2">
        <v>1</v>
      </c>
      <c r="S561" s="2">
        <v>2</v>
      </c>
      <c r="T561" s="2">
        <v>0.5</v>
      </c>
      <c r="U561" s="2">
        <v>1</v>
      </c>
      <c r="V561" s="2">
        <v>1</v>
      </c>
      <c r="W561" s="2">
        <v>1</v>
      </c>
      <c r="X561" s="2">
        <v>1</v>
      </c>
      <c r="Y561" s="2">
        <v>1</v>
      </c>
      <c r="Z561" s="2">
        <v>0</v>
      </c>
      <c r="AA561" s="2">
        <v>0.5</v>
      </c>
      <c r="AB561" s="2">
        <v>1</v>
      </c>
      <c r="AC561" s="2">
        <v>1</v>
      </c>
      <c r="AD561" s="2">
        <v>90</v>
      </c>
      <c r="AE561" s="2">
        <v>3840</v>
      </c>
      <c r="AF561" s="2">
        <v>70</v>
      </c>
      <c r="AG561" s="2">
        <v>488</v>
      </c>
      <c r="AH561" s="2">
        <v>90</v>
      </c>
      <c r="AI561" s="2">
        <v>115</v>
      </c>
      <c r="AJ561" s="1">
        <v>1000000</v>
      </c>
      <c r="AK561" s="1">
        <v>1.1000000000000001</v>
      </c>
      <c r="AL561" s="1">
        <v>65</v>
      </c>
      <c r="AM561" s="2">
        <v>50</v>
      </c>
      <c r="AN561" s="2">
        <f t="shared" si="8"/>
        <v>50</v>
      </c>
      <c r="AO561" s="3">
        <v>560</v>
      </c>
      <c r="AP561" s="3">
        <v>45</v>
      </c>
      <c r="AQ561" s="3">
        <v>115</v>
      </c>
      <c r="AR561" s="3">
        <v>58</v>
      </c>
      <c r="AS561" s="1">
        <v>30</v>
      </c>
      <c r="AT561" s="3">
        <v>5</v>
      </c>
      <c r="AU561" s="3" t="s">
        <v>3051</v>
      </c>
    </row>
    <row r="562" spans="1:47" x14ac:dyDescent="0.3">
      <c r="A562" s="1" t="s">
        <v>1587</v>
      </c>
      <c r="B562" s="1" t="s">
        <v>1586</v>
      </c>
      <c r="C562" s="1" t="s">
        <v>216</v>
      </c>
      <c r="D562" s="1" t="s">
        <v>58</v>
      </c>
      <c r="E562" s="1" t="s">
        <v>1585</v>
      </c>
      <c r="F562" t="s">
        <v>3235</v>
      </c>
      <c r="G562" t="s">
        <v>3231</v>
      </c>
      <c r="H562" t="s">
        <v>3225</v>
      </c>
      <c r="I562" t="s">
        <v>52</v>
      </c>
      <c r="J562" t="s">
        <v>52</v>
      </c>
      <c r="K562" t="s">
        <v>52</v>
      </c>
      <c r="L562" s="2">
        <v>1</v>
      </c>
      <c r="M562" s="2">
        <v>2</v>
      </c>
      <c r="N562" s="2">
        <v>1</v>
      </c>
      <c r="O562" s="2">
        <v>2</v>
      </c>
      <c r="P562" s="2">
        <v>1</v>
      </c>
      <c r="Q562" s="2">
        <v>0.25</v>
      </c>
      <c r="R562" s="2">
        <v>1</v>
      </c>
      <c r="S562" s="2">
        <v>1</v>
      </c>
      <c r="T562" s="2">
        <v>2</v>
      </c>
      <c r="U562" s="2">
        <v>0.5</v>
      </c>
      <c r="V562" s="2">
        <v>0</v>
      </c>
      <c r="W562" s="2">
        <v>2</v>
      </c>
      <c r="X562" s="2">
        <v>1</v>
      </c>
      <c r="Y562" s="2">
        <v>1</v>
      </c>
      <c r="Z562" s="2">
        <v>0.5</v>
      </c>
      <c r="AA562" s="2">
        <v>2</v>
      </c>
      <c r="AB562" s="2">
        <v>1</v>
      </c>
      <c r="AC562" s="2">
        <v>1</v>
      </c>
      <c r="AD562" s="2">
        <v>58</v>
      </c>
      <c r="AE562" s="2">
        <v>5120</v>
      </c>
      <c r="AF562" s="2">
        <v>70</v>
      </c>
      <c r="AG562" s="2">
        <v>490</v>
      </c>
      <c r="AH562" s="2">
        <v>45</v>
      </c>
      <c r="AI562" s="2">
        <v>80</v>
      </c>
      <c r="AJ562" s="1">
        <v>1000000</v>
      </c>
      <c r="AK562" s="1">
        <v>1.4</v>
      </c>
      <c r="AL562" s="1">
        <v>72</v>
      </c>
      <c r="AM562" s="2">
        <v>50</v>
      </c>
      <c r="AN562" s="2">
        <f t="shared" si="8"/>
        <v>50</v>
      </c>
      <c r="AO562" s="3">
        <v>561</v>
      </c>
      <c r="AP562" s="3">
        <v>103</v>
      </c>
      <c r="AQ562" s="3">
        <v>80</v>
      </c>
      <c r="AR562" s="3">
        <v>97</v>
      </c>
      <c r="AS562" s="1">
        <v>14</v>
      </c>
      <c r="AT562" s="3">
        <v>5</v>
      </c>
      <c r="AU562" s="3" t="s">
        <v>3051</v>
      </c>
    </row>
    <row r="563" spans="1:47" x14ac:dyDescent="0.3">
      <c r="A563" s="1" t="s">
        <v>1590</v>
      </c>
      <c r="B563" s="1" t="s">
        <v>1589</v>
      </c>
      <c r="C563" s="1" t="s">
        <v>293</v>
      </c>
      <c r="D563" s="1" t="s">
        <v>52</v>
      </c>
      <c r="E563" s="1" t="s">
        <v>1588</v>
      </c>
      <c r="F563" t="s">
        <v>3075</v>
      </c>
      <c r="G563" t="s">
        <v>52</v>
      </c>
      <c r="H563" t="s">
        <v>52</v>
      </c>
      <c r="I563" t="s">
        <v>52</v>
      </c>
      <c r="J563" t="s">
        <v>52</v>
      </c>
      <c r="K563" t="s">
        <v>52</v>
      </c>
      <c r="L563" s="2">
        <v>0.5</v>
      </c>
      <c r="M563" s="2">
        <v>2</v>
      </c>
      <c r="N563" s="2">
        <v>1</v>
      </c>
      <c r="O563" s="2">
        <v>1</v>
      </c>
      <c r="P563" s="2">
        <v>1</v>
      </c>
      <c r="Q563" s="2">
        <v>0</v>
      </c>
      <c r="R563" s="2">
        <v>1</v>
      </c>
      <c r="S563" s="2">
        <v>1</v>
      </c>
      <c r="T563" s="2">
        <v>2</v>
      </c>
      <c r="U563" s="2">
        <v>1</v>
      </c>
      <c r="V563" s="2">
        <v>1</v>
      </c>
      <c r="W563" s="2">
        <v>1</v>
      </c>
      <c r="X563" s="2">
        <v>0</v>
      </c>
      <c r="Y563" s="2">
        <v>0.5</v>
      </c>
      <c r="Z563" s="2">
        <v>1</v>
      </c>
      <c r="AA563" s="2">
        <v>1</v>
      </c>
      <c r="AB563" s="2">
        <v>1</v>
      </c>
      <c r="AC563" s="2">
        <v>1</v>
      </c>
      <c r="AD563" s="2">
        <v>30</v>
      </c>
      <c r="AE563" s="2">
        <v>6400</v>
      </c>
      <c r="AF563" s="2">
        <v>70</v>
      </c>
      <c r="AG563" s="2">
        <v>303</v>
      </c>
      <c r="AH563" s="2">
        <v>190</v>
      </c>
      <c r="AI563" s="2">
        <v>85</v>
      </c>
      <c r="AJ563" s="1">
        <v>1000000</v>
      </c>
      <c r="AK563" s="1">
        <v>0.5</v>
      </c>
      <c r="AL563" s="1">
        <v>38</v>
      </c>
      <c r="AM563" s="2">
        <v>50</v>
      </c>
      <c r="AN563" s="2">
        <f t="shared" si="8"/>
        <v>50</v>
      </c>
      <c r="AO563" s="3">
        <v>562</v>
      </c>
      <c r="AP563" s="3">
        <v>55</v>
      </c>
      <c r="AQ563" s="3">
        <v>65</v>
      </c>
      <c r="AR563" s="3">
        <v>30</v>
      </c>
      <c r="AS563" s="1">
        <v>1.5</v>
      </c>
      <c r="AT563" s="3">
        <v>5</v>
      </c>
      <c r="AU563" s="3" t="s">
        <v>3051</v>
      </c>
    </row>
    <row r="564" spans="1:47" x14ac:dyDescent="0.3">
      <c r="A564" s="1" t="s">
        <v>1593</v>
      </c>
      <c r="B564" s="1" t="s">
        <v>1592</v>
      </c>
      <c r="C564" s="1" t="s">
        <v>293</v>
      </c>
      <c r="D564" s="1" t="s">
        <v>52</v>
      </c>
      <c r="E564" s="1" t="s">
        <v>1591</v>
      </c>
      <c r="F564" t="s">
        <v>3075</v>
      </c>
      <c r="G564" t="s">
        <v>52</v>
      </c>
      <c r="H564" t="s">
        <v>52</v>
      </c>
      <c r="I564" t="s">
        <v>52</v>
      </c>
      <c r="J564" t="s">
        <v>52</v>
      </c>
      <c r="K564" t="s">
        <v>52</v>
      </c>
      <c r="L564" s="2">
        <v>0.5</v>
      </c>
      <c r="M564" s="2">
        <v>2</v>
      </c>
      <c r="N564" s="2">
        <v>1</v>
      </c>
      <c r="O564" s="2">
        <v>1</v>
      </c>
      <c r="P564" s="2">
        <v>1</v>
      </c>
      <c r="Q564" s="2">
        <v>0</v>
      </c>
      <c r="R564" s="2">
        <v>1</v>
      </c>
      <c r="S564" s="2">
        <v>1</v>
      </c>
      <c r="T564" s="2">
        <v>2</v>
      </c>
      <c r="U564" s="2">
        <v>1</v>
      </c>
      <c r="V564" s="2">
        <v>1</v>
      </c>
      <c r="W564" s="2">
        <v>1</v>
      </c>
      <c r="X564" s="2">
        <v>0</v>
      </c>
      <c r="Y564" s="2">
        <v>0.5</v>
      </c>
      <c r="Z564" s="2">
        <v>1</v>
      </c>
      <c r="AA564" s="2">
        <v>1</v>
      </c>
      <c r="AB564" s="2">
        <v>1</v>
      </c>
      <c r="AC564" s="2">
        <v>1</v>
      </c>
      <c r="AD564" s="2">
        <v>50</v>
      </c>
      <c r="AE564" s="2">
        <v>6400</v>
      </c>
      <c r="AF564" s="2">
        <v>70</v>
      </c>
      <c r="AG564" s="2">
        <v>483</v>
      </c>
      <c r="AH564" s="2">
        <v>90</v>
      </c>
      <c r="AI564" s="2">
        <v>145</v>
      </c>
      <c r="AJ564" s="1">
        <v>1000000</v>
      </c>
      <c r="AK564" s="1">
        <v>1.7</v>
      </c>
      <c r="AL564" s="1">
        <v>58</v>
      </c>
      <c r="AM564" s="2">
        <v>50</v>
      </c>
      <c r="AN564" s="2">
        <f t="shared" si="8"/>
        <v>50</v>
      </c>
      <c r="AO564" s="3">
        <v>563</v>
      </c>
      <c r="AP564" s="3">
        <v>95</v>
      </c>
      <c r="AQ564" s="3">
        <v>105</v>
      </c>
      <c r="AR564" s="3">
        <v>30</v>
      </c>
      <c r="AS564" s="1">
        <v>76.5</v>
      </c>
      <c r="AT564" s="3">
        <v>5</v>
      </c>
      <c r="AU564" s="3" t="s">
        <v>3051</v>
      </c>
    </row>
    <row r="565" spans="1:47" x14ac:dyDescent="0.3">
      <c r="A565" s="1" t="s">
        <v>1596</v>
      </c>
      <c r="B565" s="1" t="s">
        <v>1595</v>
      </c>
      <c r="C565" s="1" t="s">
        <v>62</v>
      </c>
      <c r="D565" s="1" t="s">
        <v>243</v>
      </c>
      <c r="E565" s="1" t="s">
        <v>1594</v>
      </c>
      <c r="F565" t="s">
        <v>3185</v>
      </c>
      <c r="G565" t="s">
        <v>3107</v>
      </c>
      <c r="H565" t="s">
        <v>3143</v>
      </c>
      <c r="I565" t="s">
        <v>52</v>
      </c>
      <c r="J565" t="s">
        <v>52</v>
      </c>
      <c r="K565" t="s">
        <v>52</v>
      </c>
      <c r="L565" s="2">
        <v>1</v>
      </c>
      <c r="M565" s="2">
        <v>1</v>
      </c>
      <c r="N565" s="2">
        <v>1</v>
      </c>
      <c r="O565" s="2">
        <v>2</v>
      </c>
      <c r="P565" s="2">
        <v>1</v>
      </c>
      <c r="Q565" s="2">
        <v>2</v>
      </c>
      <c r="R565" s="2">
        <v>0.25</v>
      </c>
      <c r="S565" s="2">
        <v>0.5</v>
      </c>
      <c r="T565" s="2">
        <v>1</v>
      </c>
      <c r="U565" s="2">
        <v>4</v>
      </c>
      <c r="V565" s="2">
        <v>2</v>
      </c>
      <c r="W565" s="2">
        <v>0.5</v>
      </c>
      <c r="X565" s="2">
        <v>0.5</v>
      </c>
      <c r="Y565" s="2">
        <v>0.5</v>
      </c>
      <c r="Z565" s="2">
        <v>1</v>
      </c>
      <c r="AA565" s="2">
        <v>1</v>
      </c>
      <c r="AB565" s="2">
        <v>1</v>
      </c>
      <c r="AC565" s="2">
        <v>1</v>
      </c>
      <c r="AD565" s="2">
        <v>78</v>
      </c>
      <c r="AE565" s="2">
        <v>7680</v>
      </c>
      <c r="AF565" s="2">
        <v>70</v>
      </c>
      <c r="AG565" s="2">
        <v>355</v>
      </c>
      <c r="AH565" s="2">
        <v>45</v>
      </c>
      <c r="AI565" s="2">
        <v>103</v>
      </c>
      <c r="AJ565" s="1">
        <v>1000000</v>
      </c>
      <c r="AK565" s="1">
        <v>0.7</v>
      </c>
      <c r="AL565" s="1">
        <v>54</v>
      </c>
      <c r="AM565" s="2">
        <v>88.1</v>
      </c>
      <c r="AN565" s="2">
        <f t="shared" si="8"/>
        <v>11.900000000000006</v>
      </c>
      <c r="AO565" s="3">
        <v>564</v>
      </c>
      <c r="AP565" s="3">
        <v>53</v>
      </c>
      <c r="AQ565" s="3">
        <v>45</v>
      </c>
      <c r="AR565" s="3">
        <v>22</v>
      </c>
      <c r="AS565" s="1">
        <v>16.5</v>
      </c>
      <c r="AT565" s="3">
        <v>5</v>
      </c>
      <c r="AU565" s="3" t="s">
        <v>3051</v>
      </c>
    </row>
    <row r="566" spans="1:47" x14ac:dyDescent="0.3">
      <c r="A566" s="1" t="s">
        <v>1598</v>
      </c>
      <c r="B566" s="1" t="s">
        <v>1597</v>
      </c>
      <c r="C566" s="1" t="s">
        <v>62</v>
      </c>
      <c r="D566" s="1" t="s">
        <v>243</v>
      </c>
      <c r="E566" s="1" t="s">
        <v>1594</v>
      </c>
      <c r="F566" t="s">
        <v>3185</v>
      </c>
      <c r="G566" t="s">
        <v>3107</v>
      </c>
      <c r="H566" t="s">
        <v>3143</v>
      </c>
      <c r="I566" t="s">
        <v>52</v>
      </c>
      <c r="J566" t="s">
        <v>52</v>
      </c>
      <c r="K566" t="s">
        <v>52</v>
      </c>
      <c r="L566" s="2">
        <v>1</v>
      </c>
      <c r="M566" s="2">
        <v>1</v>
      </c>
      <c r="N566" s="2">
        <v>1</v>
      </c>
      <c r="O566" s="2">
        <v>2</v>
      </c>
      <c r="P566" s="2">
        <v>1</v>
      </c>
      <c r="Q566" s="2">
        <v>2</v>
      </c>
      <c r="R566" s="2">
        <v>0.25</v>
      </c>
      <c r="S566" s="2">
        <v>0.5</v>
      </c>
      <c r="T566" s="2">
        <v>1</v>
      </c>
      <c r="U566" s="2">
        <v>4</v>
      </c>
      <c r="V566" s="2">
        <v>2</v>
      </c>
      <c r="W566" s="2">
        <v>0.5</v>
      </c>
      <c r="X566" s="2">
        <v>0.5</v>
      </c>
      <c r="Y566" s="2">
        <v>0.5</v>
      </c>
      <c r="Z566" s="2">
        <v>1</v>
      </c>
      <c r="AA566" s="2">
        <v>1</v>
      </c>
      <c r="AB566" s="2">
        <v>1</v>
      </c>
      <c r="AC566" s="2">
        <v>1</v>
      </c>
      <c r="AD566" s="2">
        <v>108</v>
      </c>
      <c r="AE566" s="2">
        <v>7680</v>
      </c>
      <c r="AF566" s="2">
        <v>70</v>
      </c>
      <c r="AG566" s="2">
        <v>495</v>
      </c>
      <c r="AH566" s="2">
        <v>45</v>
      </c>
      <c r="AI566" s="2">
        <v>133</v>
      </c>
      <c r="AJ566" s="1">
        <v>1000000</v>
      </c>
      <c r="AK566" s="1">
        <v>1.2</v>
      </c>
      <c r="AL566" s="1">
        <v>74</v>
      </c>
      <c r="AM566" s="2">
        <v>88.1</v>
      </c>
      <c r="AN566" s="2">
        <f t="shared" si="8"/>
        <v>11.900000000000006</v>
      </c>
      <c r="AO566" s="3">
        <v>565</v>
      </c>
      <c r="AP566" s="3">
        <v>83</v>
      </c>
      <c r="AQ566" s="3">
        <v>65</v>
      </c>
      <c r="AR566" s="3">
        <v>32</v>
      </c>
      <c r="AS566" s="1">
        <v>81</v>
      </c>
      <c r="AT566" s="3">
        <v>5</v>
      </c>
      <c r="AU566" s="3" t="s">
        <v>3051</v>
      </c>
    </row>
    <row r="567" spans="1:47" x14ac:dyDescent="0.3">
      <c r="A567" s="1" t="s">
        <v>1601</v>
      </c>
      <c r="B567" s="1" t="s">
        <v>1600</v>
      </c>
      <c r="C567" s="1" t="s">
        <v>243</v>
      </c>
      <c r="D567" s="1" t="s">
        <v>58</v>
      </c>
      <c r="E567" s="1" t="s">
        <v>1599</v>
      </c>
      <c r="F567" t="s">
        <v>3076</v>
      </c>
      <c r="G567" t="s">
        <v>52</v>
      </c>
      <c r="H567" t="s">
        <v>52</v>
      </c>
      <c r="I567" t="s">
        <v>52</v>
      </c>
      <c r="J567" t="s">
        <v>52</v>
      </c>
      <c r="K567" t="s">
        <v>52</v>
      </c>
      <c r="L567" s="2">
        <v>0.5</v>
      </c>
      <c r="M567" s="2">
        <v>1</v>
      </c>
      <c r="N567" s="2">
        <v>1</v>
      </c>
      <c r="O567" s="2">
        <v>2</v>
      </c>
      <c r="P567" s="2">
        <v>1</v>
      </c>
      <c r="Q567" s="2">
        <v>1</v>
      </c>
      <c r="R567" s="2">
        <v>0.5</v>
      </c>
      <c r="S567" s="2">
        <v>0.5</v>
      </c>
      <c r="T567" s="2">
        <v>1</v>
      </c>
      <c r="U567" s="2">
        <v>1</v>
      </c>
      <c r="V567" s="2">
        <v>0</v>
      </c>
      <c r="W567" s="2">
        <v>2</v>
      </c>
      <c r="X567" s="2">
        <v>0.5</v>
      </c>
      <c r="Y567" s="2">
        <v>0.5</v>
      </c>
      <c r="Z567" s="2">
        <v>1</v>
      </c>
      <c r="AA567" s="2">
        <v>2</v>
      </c>
      <c r="AB567" s="2">
        <v>2</v>
      </c>
      <c r="AC567" s="2">
        <v>2</v>
      </c>
      <c r="AD567" s="2">
        <v>112</v>
      </c>
      <c r="AE567" s="2">
        <v>7680</v>
      </c>
      <c r="AF567" s="2">
        <v>70</v>
      </c>
      <c r="AG567" s="2">
        <v>401</v>
      </c>
      <c r="AH567" s="2">
        <v>45</v>
      </c>
      <c r="AI567" s="2">
        <v>45</v>
      </c>
      <c r="AJ567" s="1">
        <v>1000000</v>
      </c>
      <c r="AK567" s="1">
        <v>0.5</v>
      </c>
      <c r="AL567" s="1">
        <v>55</v>
      </c>
      <c r="AM567" s="2">
        <v>88.1</v>
      </c>
      <c r="AN567" s="2">
        <f t="shared" si="8"/>
        <v>11.900000000000006</v>
      </c>
      <c r="AO567" s="3">
        <v>566</v>
      </c>
      <c r="AP567" s="3">
        <v>74</v>
      </c>
      <c r="AQ567" s="3">
        <v>45</v>
      </c>
      <c r="AR567" s="3">
        <v>70</v>
      </c>
      <c r="AS567" s="1">
        <v>9.5</v>
      </c>
      <c r="AT567" s="3">
        <v>5</v>
      </c>
      <c r="AU567" s="3" t="s">
        <v>3051</v>
      </c>
    </row>
    <row r="568" spans="1:47" x14ac:dyDescent="0.3">
      <c r="A568" s="1" t="s">
        <v>1603</v>
      </c>
      <c r="B568" s="1" t="s">
        <v>1602</v>
      </c>
      <c r="C568" s="1" t="s">
        <v>243</v>
      </c>
      <c r="D568" s="1" t="s">
        <v>58</v>
      </c>
      <c r="E568" s="1" t="s">
        <v>1599</v>
      </c>
      <c r="F568" t="s">
        <v>3076</v>
      </c>
      <c r="G568" t="s">
        <v>52</v>
      </c>
      <c r="H568" t="s">
        <v>52</v>
      </c>
      <c r="I568" t="s">
        <v>52</v>
      </c>
      <c r="J568" t="s">
        <v>52</v>
      </c>
      <c r="K568" t="s">
        <v>52</v>
      </c>
      <c r="L568" s="2">
        <v>0.5</v>
      </c>
      <c r="M568" s="2">
        <v>1</v>
      </c>
      <c r="N568" s="2">
        <v>1</v>
      </c>
      <c r="O568" s="2">
        <v>2</v>
      </c>
      <c r="P568" s="2">
        <v>1</v>
      </c>
      <c r="Q568" s="2">
        <v>1</v>
      </c>
      <c r="R568" s="2">
        <v>0.5</v>
      </c>
      <c r="S568" s="2">
        <v>0.5</v>
      </c>
      <c r="T568" s="2">
        <v>1</v>
      </c>
      <c r="U568" s="2">
        <v>1</v>
      </c>
      <c r="V568" s="2">
        <v>0</v>
      </c>
      <c r="W568" s="2">
        <v>2</v>
      </c>
      <c r="X568" s="2">
        <v>0.5</v>
      </c>
      <c r="Y568" s="2">
        <v>0.5</v>
      </c>
      <c r="Z568" s="2">
        <v>1</v>
      </c>
      <c r="AA568" s="2">
        <v>2</v>
      </c>
      <c r="AB568" s="2">
        <v>2</v>
      </c>
      <c r="AC568" s="2">
        <v>2</v>
      </c>
      <c r="AD568" s="2">
        <v>140</v>
      </c>
      <c r="AE568" s="2">
        <v>7680</v>
      </c>
      <c r="AF568" s="2">
        <v>70</v>
      </c>
      <c r="AG568" s="2">
        <v>567</v>
      </c>
      <c r="AH568" s="2">
        <v>45</v>
      </c>
      <c r="AI568" s="2">
        <v>65</v>
      </c>
      <c r="AJ568" s="1">
        <v>1000000</v>
      </c>
      <c r="AK568" s="1">
        <v>1.4</v>
      </c>
      <c r="AL568" s="1">
        <v>75</v>
      </c>
      <c r="AM568" s="2">
        <v>88.1</v>
      </c>
      <c r="AN568" s="2">
        <f t="shared" si="8"/>
        <v>11.900000000000006</v>
      </c>
      <c r="AO568" s="3">
        <v>567</v>
      </c>
      <c r="AP568" s="3">
        <v>112</v>
      </c>
      <c r="AQ568" s="3">
        <v>65</v>
      </c>
      <c r="AR568" s="3">
        <v>110</v>
      </c>
      <c r="AS568" s="1">
        <v>32</v>
      </c>
      <c r="AT568" s="3">
        <v>5</v>
      </c>
      <c r="AU568" s="3" t="s">
        <v>3051</v>
      </c>
    </row>
    <row r="569" spans="1:47" x14ac:dyDescent="0.3">
      <c r="A569" s="1" t="s">
        <v>1606</v>
      </c>
      <c r="B569" s="1" t="s">
        <v>1605</v>
      </c>
      <c r="C569" s="1" t="s">
        <v>43</v>
      </c>
      <c r="D569" s="1" t="s">
        <v>52</v>
      </c>
      <c r="E569" s="1" t="s">
        <v>1604</v>
      </c>
      <c r="F569" t="s">
        <v>3136</v>
      </c>
      <c r="G569" t="s">
        <v>3168</v>
      </c>
      <c r="H569" t="s">
        <v>3170</v>
      </c>
      <c r="I569" t="s">
        <v>52</v>
      </c>
      <c r="J569" t="s">
        <v>52</v>
      </c>
      <c r="K569" t="s">
        <v>52</v>
      </c>
      <c r="L569" s="2">
        <v>0.5</v>
      </c>
      <c r="M569" s="2">
        <v>1</v>
      </c>
      <c r="N569" s="2">
        <v>1</v>
      </c>
      <c r="O569" s="2">
        <v>1</v>
      </c>
      <c r="P569" s="2">
        <v>0.5</v>
      </c>
      <c r="Q569" s="2">
        <v>0.5</v>
      </c>
      <c r="R569" s="2">
        <v>1</v>
      </c>
      <c r="S569" s="2">
        <v>1</v>
      </c>
      <c r="T569" s="2">
        <v>1</v>
      </c>
      <c r="U569" s="2">
        <v>0.5</v>
      </c>
      <c r="V569" s="2">
        <v>2</v>
      </c>
      <c r="W569" s="2">
        <v>1</v>
      </c>
      <c r="X569" s="2">
        <v>1</v>
      </c>
      <c r="Y569" s="2">
        <v>0.5</v>
      </c>
      <c r="Z569" s="2">
        <v>2</v>
      </c>
      <c r="AA569" s="2">
        <v>1</v>
      </c>
      <c r="AB569" s="2">
        <v>1</v>
      </c>
      <c r="AC569" s="2">
        <v>1</v>
      </c>
      <c r="AD569" s="2">
        <v>50</v>
      </c>
      <c r="AE569" s="2">
        <v>5120</v>
      </c>
      <c r="AF569" s="2">
        <v>70</v>
      </c>
      <c r="AG569" s="2">
        <v>329</v>
      </c>
      <c r="AH569" s="2">
        <v>190</v>
      </c>
      <c r="AI569" s="2">
        <v>62</v>
      </c>
      <c r="AJ569" s="1">
        <v>1000000</v>
      </c>
      <c r="AK569" s="1">
        <v>0.6</v>
      </c>
      <c r="AL569" s="1">
        <v>50</v>
      </c>
      <c r="AM569" s="2">
        <v>50</v>
      </c>
      <c r="AN569" s="2">
        <f t="shared" si="8"/>
        <v>50</v>
      </c>
      <c r="AO569" s="3">
        <v>568</v>
      </c>
      <c r="AP569" s="3">
        <v>40</v>
      </c>
      <c r="AQ569" s="3">
        <v>62</v>
      </c>
      <c r="AR569" s="3">
        <v>65</v>
      </c>
      <c r="AS569" s="1">
        <v>31</v>
      </c>
      <c r="AT569" s="3">
        <v>5</v>
      </c>
      <c r="AU569" s="3" t="s">
        <v>3051</v>
      </c>
    </row>
    <row r="570" spans="1:47" x14ac:dyDescent="0.3">
      <c r="A570" s="1" t="s">
        <v>1609</v>
      </c>
      <c r="B570" s="1" t="s">
        <v>1608</v>
      </c>
      <c r="C570" s="1" t="s">
        <v>43</v>
      </c>
      <c r="D570" s="1" t="s">
        <v>52</v>
      </c>
      <c r="E570" s="1" t="s">
        <v>1607</v>
      </c>
      <c r="F570" t="s">
        <v>3136</v>
      </c>
      <c r="G570" t="s">
        <v>3247</v>
      </c>
      <c r="H570" t="s">
        <v>3170</v>
      </c>
      <c r="I570" t="s">
        <v>52</v>
      </c>
      <c r="J570" t="s">
        <v>52</v>
      </c>
      <c r="K570" t="s">
        <v>52</v>
      </c>
      <c r="L570" s="2">
        <v>0.5</v>
      </c>
      <c r="M570" s="2">
        <v>1</v>
      </c>
      <c r="N570" s="2">
        <v>1</v>
      </c>
      <c r="O570" s="2">
        <v>1</v>
      </c>
      <c r="P570" s="2">
        <v>0.5</v>
      </c>
      <c r="Q570" s="2">
        <v>0.5</v>
      </c>
      <c r="R570" s="2">
        <v>1</v>
      </c>
      <c r="S570" s="2">
        <v>1</v>
      </c>
      <c r="T570" s="2">
        <v>1</v>
      </c>
      <c r="U570" s="2">
        <v>0.5</v>
      </c>
      <c r="V570" s="2">
        <v>2</v>
      </c>
      <c r="W570" s="2">
        <v>1</v>
      </c>
      <c r="X570" s="2">
        <v>1</v>
      </c>
      <c r="Y570" s="2">
        <v>0.5</v>
      </c>
      <c r="Z570" s="2">
        <v>2</v>
      </c>
      <c r="AA570" s="2">
        <v>1</v>
      </c>
      <c r="AB570" s="2">
        <v>1</v>
      </c>
      <c r="AC570" s="2">
        <v>1</v>
      </c>
      <c r="AD570" s="2">
        <v>95</v>
      </c>
      <c r="AE570" s="2">
        <v>5120</v>
      </c>
      <c r="AF570" s="2">
        <v>70</v>
      </c>
      <c r="AG570" s="2">
        <v>474</v>
      </c>
      <c r="AH570" s="2">
        <v>60</v>
      </c>
      <c r="AI570" s="2">
        <v>82</v>
      </c>
      <c r="AJ570" s="1">
        <v>1000000</v>
      </c>
      <c r="AK570" s="1">
        <v>1.9</v>
      </c>
      <c r="AL570" s="1">
        <v>80</v>
      </c>
      <c r="AM570" s="2">
        <v>50</v>
      </c>
      <c r="AN570" s="2">
        <f t="shared" si="8"/>
        <v>50</v>
      </c>
      <c r="AO570" s="3">
        <v>569</v>
      </c>
      <c r="AP570" s="3">
        <v>60</v>
      </c>
      <c r="AQ570" s="3">
        <v>82</v>
      </c>
      <c r="AR570" s="3">
        <v>75</v>
      </c>
      <c r="AS570" s="1">
        <v>107.3</v>
      </c>
      <c r="AT570" s="3">
        <v>5</v>
      </c>
      <c r="AU570" s="3" t="s">
        <v>3051</v>
      </c>
    </row>
    <row r="571" spans="1:47" x14ac:dyDescent="0.3">
      <c r="A571" s="1" t="s">
        <v>1612</v>
      </c>
      <c r="B571" s="1" t="s">
        <v>1611</v>
      </c>
      <c r="C571" s="1" t="s">
        <v>99</v>
      </c>
      <c r="D571" s="1" t="s">
        <v>52</v>
      </c>
      <c r="E571" s="1" t="s">
        <v>1610</v>
      </c>
      <c r="F571" t="s">
        <v>3077</v>
      </c>
      <c r="G571" t="s">
        <v>52</v>
      </c>
      <c r="H571" t="s">
        <v>52</v>
      </c>
      <c r="I571" t="s">
        <v>52</v>
      </c>
      <c r="J571" t="s">
        <v>52</v>
      </c>
      <c r="K571" t="s">
        <v>52</v>
      </c>
      <c r="L571" s="2">
        <v>2</v>
      </c>
      <c r="M571" s="2">
        <v>0.5</v>
      </c>
      <c r="N571" s="2">
        <v>1</v>
      </c>
      <c r="O571" s="2">
        <v>1</v>
      </c>
      <c r="P571" s="2">
        <v>2</v>
      </c>
      <c r="Q571" s="2">
        <v>2</v>
      </c>
      <c r="R571" s="2">
        <v>1</v>
      </c>
      <c r="S571" s="2">
        <v>1</v>
      </c>
      <c r="T571" s="2">
        <v>0.5</v>
      </c>
      <c r="U571" s="2">
        <v>1</v>
      </c>
      <c r="V571" s="2">
        <v>1</v>
      </c>
      <c r="W571" s="2">
        <v>1</v>
      </c>
      <c r="X571" s="2">
        <v>1</v>
      </c>
      <c r="Y571" s="2">
        <v>1</v>
      </c>
      <c r="Z571" s="2">
        <v>0</v>
      </c>
      <c r="AA571" s="2">
        <v>1</v>
      </c>
      <c r="AB571" s="2">
        <v>1</v>
      </c>
      <c r="AC571" s="2">
        <v>1</v>
      </c>
      <c r="AD571" s="2">
        <v>65</v>
      </c>
      <c r="AE571" s="2">
        <v>6400</v>
      </c>
      <c r="AF571" s="2">
        <v>70</v>
      </c>
      <c r="AG571" s="2">
        <v>330</v>
      </c>
      <c r="AH571" s="2">
        <v>75</v>
      </c>
      <c r="AI571" s="2">
        <v>40</v>
      </c>
      <c r="AJ571" s="1">
        <v>1059860</v>
      </c>
      <c r="AK571" s="1">
        <v>0.7</v>
      </c>
      <c r="AL571" s="1">
        <v>40</v>
      </c>
      <c r="AM571" s="2">
        <v>88.1</v>
      </c>
      <c r="AN571" s="2">
        <f t="shared" si="8"/>
        <v>11.900000000000006</v>
      </c>
      <c r="AO571" s="3">
        <v>570</v>
      </c>
      <c r="AP571" s="3">
        <v>80</v>
      </c>
      <c r="AQ571" s="3">
        <v>40</v>
      </c>
      <c r="AR571" s="3">
        <v>65</v>
      </c>
      <c r="AS571" s="1">
        <v>12.5</v>
      </c>
      <c r="AT571" s="3">
        <v>5</v>
      </c>
      <c r="AU571" s="3" t="s">
        <v>3051</v>
      </c>
    </row>
    <row r="572" spans="1:47" x14ac:dyDescent="0.3">
      <c r="A572" s="1" t="s">
        <v>1615</v>
      </c>
      <c r="B572" s="1" t="s">
        <v>1614</v>
      </c>
      <c r="C572" s="1" t="s">
        <v>99</v>
      </c>
      <c r="D572" s="1" t="s">
        <v>52</v>
      </c>
      <c r="E572" s="1" t="s">
        <v>1613</v>
      </c>
      <c r="F572" t="s">
        <v>3077</v>
      </c>
      <c r="G572" t="s">
        <v>52</v>
      </c>
      <c r="H572" t="s">
        <v>52</v>
      </c>
      <c r="I572" t="s">
        <v>52</v>
      </c>
      <c r="J572" t="s">
        <v>52</v>
      </c>
      <c r="K572" t="s">
        <v>52</v>
      </c>
      <c r="L572" s="2">
        <v>2</v>
      </c>
      <c r="M572" s="2">
        <v>0.5</v>
      </c>
      <c r="N572" s="2">
        <v>1</v>
      </c>
      <c r="O572" s="2">
        <v>1</v>
      </c>
      <c r="P572" s="2">
        <v>2</v>
      </c>
      <c r="Q572" s="2">
        <v>2</v>
      </c>
      <c r="R572" s="2">
        <v>1</v>
      </c>
      <c r="S572" s="2">
        <v>1</v>
      </c>
      <c r="T572" s="2">
        <v>0.5</v>
      </c>
      <c r="U572" s="2">
        <v>1</v>
      </c>
      <c r="V572" s="2">
        <v>1</v>
      </c>
      <c r="W572" s="2">
        <v>1</v>
      </c>
      <c r="X572" s="2">
        <v>1</v>
      </c>
      <c r="Y572" s="2">
        <v>1</v>
      </c>
      <c r="Z572" s="2">
        <v>0</v>
      </c>
      <c r="AA572" s="2">
        <v>1</v>
      </c>
      <c r="AB572" s="2">
        <v>1</v>
      </c>
      <c r="AC572" s="2">
        <v>1</v>
      </c>
      <c r="AD572" s="2">
        <v>105</v>
      </c>
      <c r="AE572" s="2">
        <v>5120</v>
      </c>
      <c r="AF572" s="2">
        <v>70</v>
      </c>
      <c r="AG572" s="2">
        <v>510</v>
      </c>
      <c r="AH572" s="2">
        <v>45</v>
      </c>
      <c r="AI572" s="2">
        <v>60</v>
      </c>
      <c r="AJ572" s="1">
        <v>1059860</v>
      </c>
      <c r="AK572" s="1">
        <v>1.6</v>
      </c>
      <c r="AL572" s="1">
        <v>60</v>
      </c>
      <c r="AM572" s="2">
        <v>88.1</v>
      </c>
      <c r="AN572" s="2">
        <f t="shared" si="8"/>
        <v>11.900000000000006</v>
      </c>
      <c r="AO572" s="3">
        <v>571</v>
      </c>
      <c r="AP572" s="3">
        <v>120</v>
      </c>
      <c r="AQ572" s="3">
        <v>60</v>
      </c>
      <c r="AR572" s="3">
        <v>105</v>
      </c>
      <c r="AS572" s="1">
        <v>81.099999999999994</v>
      </c>
      <c r="AT572" s="3">
        <v>5</v>
      </c>
      <c r="AU572" s="3" t="s">
        <v>3051</v>
      </c>
    </row>
    <row r="573" spans="1:47" x14ac:dyDescent="0.3">
      <c r="A573" s="1" t="s">
        <v>1618</v>
      </c>
      <c r="B573" s="1" t="s">
        <v>1617</v>
      </c>
      <c r="C573" s="1" t="s">
        <v>90</v>
      </c>
      <c r="D573" s="1" t="s">
        <v>52</v>
      </c>
      <c r="E573" s="1" t="s">
        <v>1616</v>
      </c>
      <c r="F573" t="s">
        <v>3124</v>
      </c>
      <c r="G573" t="s">
        <v>3169</v>
      </c>
      <c r="H573" t="s">
        <v>3246</v>
      </c>
      <c r="I573" t="s">
        <v>52</v>
      </c>
      <c r="J573" t="s">
        <v>52</v>
      </c>
      <c r="K573" t="s">
        <v>52</v>
      </c>
      <c r="L573" s="2">
        <v>1</v>
      </c>
      <c r="M573" s="2">
        <v>1</v>
      </c>
      <c r="N573" s="2">
        <v>1</v>
      </c>
      <c r="O573" s="2">
        <v>1</v>
      </c>
      <c r="P573" s="2">
        <v>1</v>
      </c>
      <c r="Q573" s="2">
        <v>2</v>
      </c>
      <c r="R573" s="2">
        <v>1</v>
      </c>
      <c r="S573" s="2">
        <v>1</v>
      </c>
      <c r="T573" s="2">
        <v>0</v>
      </c>
      <c r="U573" s="2">
        <v>1</v>
      </c>
      <c r="V573" s="2">
        <v>1</v>
      </c>
      <c r="W573" s="2">
        <v>1</v>
      </c>
      <c r="X573" s="2">
        <v>1</v>
      </c>
      <c r="Y573" s="2">
        <v>1</v>
      </c>
      <c r="Z573" s="2">
        <v>1</v>
      </c>
      <c r="AA573" s="2">
        <v>1</v>
      </c>
      <c r="AB573" s="2">
        <v>1</v>
      </c>
      <c r="AC573" s="2">
        <v>1</v>
      </c>
      <c r="AD573" s="2">
        <v>50</v>
      </c>
      <c r="AE573" s="2">
        <v>3840</v>
      </c>
      <c r="AF573" s="2">
        <v>70</v>
      </c>
      <c r="AG573" s="2">
        <v>300</v>
      </c>
      <c r="AH573" s="2">
        <v>255</v>
      </c>
      <c r="AI573" s="2">
        <v>40</v>
      </c>
      <c r="AJ573" s="1">
        <v>800000</v>
      </c>
      <c r="AK573" s="1">
        <v>0.4</v>
      </c>
      <c r="AL573" s="1">
        <v>55</v>
      </c>
      <c r="AM573" s="2">
        <v>24.6</v>
      </c>
      <c r="AN573" s="2">
        <f t="shared" si="8"/>
        <v>75.400000000000006</v>
      </c>
      <c r="AO573" s="3">
        <v>572</v>
      </c>
      <c r="AP573" s="3">
        <v>40</v>
      </c>
      <c r="AQ573" s="3">
        <v>40</v>
      </c>
      <c r="AR573" s="3">
        <v>75</v>
      </c>
      <c r="AS573" s="1">
        <v>5.8</v>
      </c>
      <c r="AT573" s="3">
        <v>5</v>
      </c>
      <c r="AU573" s="3" t="s">
        <v>3051</v>
      </c>
    </row>
    <row r="574" spans="1:47" x14ac:dyDescent="0.3">
      <c r="A574" s="1" t="s">
        <v>1621</v>
      </c>
      <c r="B574" s="1" t="s">
        <v>1620</v>
      </c>
      <c r="C574" s="1" t="s">
        <v>90</v>
      </c>
      <c r="D574" s="1" t="s">
        <v>52</v>
      </c>
      <c r="E574" s="1" t="s">
        <v>1619</v>
      </c>
      <c r="F574" t="s">
        <v>3124</v>
      </c>
      <c r="G574" t="s">
        <v>3169</v>
      </c>
      <c r="H574" t="s">
        <v>3246</v>
      </c>
      <c r="I574" t="s">
        <v>52</v>
      </c>
      <c r="J574" t="s">
        <v>52</v>
      </c>
      <c r="K574" t="s">
        <v>52</v>
      </c>
      <c r="L574" s="2">
        <v>1</v>
      </c>
      <c r="M574" s="2">
        <v>1</v>
      </c>
      <c r="N574" s="2">
        <v>1</v>
      </c>
      <c r="O574" s="2">
        <v>1</v>
      </c>
      <c r="P574" s="2">
        <v>1</v>
      </c>
      <c r="Q574" s="2">
        <v>2</v>
      </c>
      <c r="R574" s="2">
        <v>1</v>
      </c>
      <c r="S574" s="2">
        <v>1</v>
      </c>
      <c r="T574" s="2">
        <v>0</v>
      </c>
      <c r="U574" s="2">
        <v>1</v>
      </c>
      <c r="V574" s="2">
        <v>1</v>
      </c>
      <c r="W574" s="2">
        <v>1</v>
      </c>
      <c r="X574" s="2">
        <v>1</v>
      </c>
      <c r="Y574" s="2">
        <v>1</v>
      </c>
      <c r="Z574" s="2">
        <v>1</v>
      </c>
      <c r="AA574" s="2">
        <v>1</v>
      </c>
      <c r="AB574" s="2">
        <v>1</v>
      </c>
      <c r="AC574" s="2">
        <v>1</v>
      </c>
      <c r="AD574" s="2">
        <v>95</v>
      </c>
      <c r="AE574" s="2">
        <v>3840</v>
      </c>
      <c r="AF574" s="2">
        <v>70</v>
      </c>
      <c r="AG574" s="2">
        <v>470</v>
      </c>
      <c r="AH574" s="2">
        <v>60</v>
      </c>
      <c r="AI574" s="2">
        <v>60</v>
      </c>
      <c r="AJ574" s="1">
        <v>800000</v>
      </c>
      <c r="AK574" s="1">
        <v>0.5</v>
      </c>
      <c r="AL574" s="1">
        <v>75</v>
      </c>
      <c r="AM574" s="2">
        <v>24.6</v>
      </c>
      <c r="AN574" s="2">
        <f t="shared" si="8"/>
        <v>75.400000000000006</v>
      </c>
      <c r="AO574" s="3">
        <v>573</v>
      </c>
      <c r="AP574" s="3">
        <v>65</v>
      </c>
      <c r="AQ574" s="3">
        <v>60</v>
      </c>
      <c r="AR574" s="3">
        <v>115</v>
      </c>
      <c r="AS574" s="1">
        <v>7.5</v>
      </c>
      <c r="AT574" s="3">
        <v>5</v>
      </c>
      <c r="AU574" s="3" t="s">
        <v>3051</v>
      </c>
    </row>
    <row r="575" spans="1:47" x14ac:dyDescent="0.3">
      <c r="A575" s="1" t="s">
        <v>1624</v>
      </c>
      <c r="B575" s="1" t="s">
        <v>1623</v>
      </c>
      <c r="C575" s="1" t="s">
        <v>216</v>
      </c>
      <c r="D575" s="1" t="s">
        <v>52</v>
      </c>
      <c r="E575" s="1" t="s">
        <v>1622</v>
      </c>
      <c r="F575" t="s">
        <v>3186</v>
      </c>
      <c r="G575" t="s">
        <v>3233</v>
      </c>
      <c r="H575" t="s">
        <v>3150</v>
      </c>
      <c r="I575" t="s">
        <v>52</v>
      </c>
      <c r="J575" t="s">
        <v>52</v>
      </c>
      <c r="K575" t="s">
        <v>52</v>
      </c>
      <c r="L575" s="2">
        <v>2</v>
      </c>
      <c r="M575" s="2">
        <v>2</v>
      </c>
      <c r="N575" s="2">
        <v>1</v>
      </c>
      <c r="O575" s="2">
        <v>1</v>
      </c>
      <c r="P575" s="2">
        <v>1</v>
      </c>
      <c r="Q575" s="2">
        <v>0.5</v>
      </c>
      <c r="R575" s="2">
        <v>1</v>
      </c>
      <c r="S575" s="2">
        <v>1</v>
      </c>
      <c r="T575" s="2">
        <v>2</v>
      </c>
      <c r="U575" s="2">
        <v>1</v>
      </c>
      <c r="V575" s="2">
        <v>1</v>
      </c>
      <c r="W575" s="2">
        <v>1</v>
      </c>
      <c r="X575" s="2">
        <v>1</v>
      </c>
      <c r="Y575" s="2">
        <v>1</v>
      </c>
      <c r="Z575" s="2">
        <v>0.5</v>
      </c>
      <c r="AA575" s="2">
        <v>1</v>
      </c>
      <c r="AB575" s="2">
        <v>1</v>
      </c>
      <c r="AC575" s="2">
        <v>1</v>
      </c>
      <c r="AD575" s="2">
        <v>30</v>
      </c>
      <c r="AE575" s="2">
        <v>5120</v>
      </c>
      <c r="AF575" s="2">
        <v>70</v>
      </c>
      <c r="AG575" s="2">
        <v>290</v>
      </c>
      <c r="AH575" s="2">
        <v>200</v>
      </c>
      <c r="AI575" s="2">
        <v>50</v>
      </c>
      <c r="AJ575" s="1">
        <v>1059860</v>
      </c>
      <c r="AK575" s="1">
        <v>0.4</v>
      </c>
      <c r="AL575" s="1">
        <v>45</v>
      </c>
      <c r="AM575" s="2">
        <v>24.6</v>
      </c>
      <c r="AN575" s="2">
        <f t="shared" si="8"/>
        <v>75.400000000000006</v>
      </c>
      <c r="AO575" s="3">
        <v>574</v>
      </c>
      <c r="AP575" s="3">
        <v>55</v>
      </c>
      <c r="AQ575" s="3">
        <v>65</v>
      </c>
      <c r="AR575" s="3">
        <v>45</v>
      </c>
      <c r="AS575" s="1">
        <v>5.8</v>
      </c>
      <c r="AT575" s="3">
        <v>5</v>
      </c>
      <c r="AU575" s="3" t="s">
        <v>3051</v>
      </c>
    </row>
    <row r="576" spans="1:47" x14ac:dyDescent="0.3">
      <c r="A576" s="1" t="s">
        <v>1626</v>
      </c>
      <c r="B576" s="1" t="s">
        <v>1625</v>
      </c>
      <c r="C576" s="1" t="s">
        <v>216</v>
      </c>
      <c r="D576" s="1" t="s">
        <v>52</v>
      </c>
      <c r="E576" s="1" t="s">
        <v>928</v>
      </c>
      <c r="F576" t="s">
        <v>3186</v>
      </c>
      <c r="G576" t="s">
        <v>3233</v>
      </c>
      <c r="H576" t="s">
        <v>3150</v>
      </c>
      <c r="I576" t="s">
        <v>52</v>
      </c>
      <c r="J576" t="s">
        <v>52</v>
      </c>
      <c r="K576" t="s">
        <v>52</v>
      </c>
      <c r="L576" s="2">
        <v>2</v>
      </c>
      <c r="M576" s="2">
        <v>2</v>
      </c>
      <c r="N576" s="2">
        <v>1</v>
      </c>
      <c r="O576" s="2">
        <v>1</v>
      </c>
      <c r="P576" s="2">
        <v>1</v>
      </c>
      <c r="Q576" s="2">
        <v>0.5</v>
      </c>
      <c r="R576" s="2">
        <v>1</v>
      </c>
      <c r="S576" s="2">
        <v>1</v>
      </c>
      <c r="T576" s="2">
        <v>2</v>
      </c>
      <c r="U576" s="2">
        <v>1</v>
      </c>
      <c r="V576" s="2">
        <v>1</v>
      </c>
      <c r="W576" s="2">
        <v>1</v>
      </c>
      <c r="X576" s="2">
        <v>1</v>
      </c>
      <c r="Y576" s="2">
        <v>1</v>
      </c>
      <c r="Z576" s="2">
        <v>0.5</v>
      </c>
      <c r="AA576" s="2">
        <v>1</v>
      </c>
      <c r="AB576" s="2">
        <v>1</v>
      </c>
      <c r="AC576" s="2">
        <v>1</v>
      </c>
      <c r="AD576" s="2">
        <v>45</v>
      </c>
      <c r="AE576" s="2">
        <v>5120</v>
      </c>
      <c r="AF576" s="2">
        <v>70</v>
      </c>
      <c r="AG576" s="2">
        <v>390</v>
      </c>
      <c r="AH576" s="2">
        <v>100</v>
      </c>
      <c r="AI576" s="2">
        <v>70</v>
      </c>
      <c r="AJ576" s="1">
        <v>1059860</v>
      </c>
      <c r="AK576" s="1">
        <v>0.7</v>
      </c>
      <c r="AL576" s="1">
        <v>60</v>
      </c>
      <c r="AM576" s="2">
        <v>24.6</v>
      </c>
      <c r="AN576" s="2">
        <f t="shared" si="8"/>
        <v>75.400000000000006</v>
      </c>
      <c r="AO576" s="3">
        <v>575</v>
      </c>
      <c r="AP576" s="3">
        <v>75</v>
      </c>
      <c r="AQ576" s="3">
        <v>85</v>
      </c>
      <c r="AR576" s="3">
        <v>55</v>
      </c>
      <c r="AS576" s="1">
        <v>18</v>
      </c>
      <c r="AT576" s="3">
        <v>5</v>
      </c>
      <c r="AU576" s="3" t="s">
        <v>3051</v>
      </c>
    </row>
    <row r="577" spans="1:47" x14ac:dyDescent="0.3">
      <c r="A577" s="1" t="s">
        <v>1629</v>
      </c>
      <c r="B577" s="1" t="s">
        <v>1628</v>
      </c>
      <c r="C577" s="1" t="s">
        <v>216</v>
      </c>
      <c r="D577" s="1" t="s">
        <v>52</v>
      </c>
      <c r="E577" s="1" t="s">
        <v>1627</v>
      </c>
      <c r="F577" t="s">
        <v>3186</v>
      </c>
      <c r="G577" t="s">
        <v>3233</v>
      </c>
      <c r="H577" t="s">
        <v>3150</v>
      </c>
      <c r="I577" t="s">
        <v>52</v>
      </c>
      <c r="J577" t="s">
        <v>52</v>
      </c>
      <c r="K577" t="s">
        <v>52</v>
      </c>
      <c r="L577" s="2">
        <v>2</v>
      </c>
      <c r="M577" s="2">
        <v>2</v>
      </c>
      <c r="N577" s="2">
        <v>1</v>
      </c>
      <c r="O577" s="2">
        <v>1</v>
      </c>
      <c r="P577" s="2">
        <v>1</v>
      </c>
      <c r="Q577" s="2">
        <v>0.5</v>
      </c>
      <c r="R577" s="2">
        <v>1</v>
      </c>
      <c r="S577" s="2">
        <v>1</v>
      </c>
      <c r="T577" s="2">
        <v>2</v>
      </c>
      <c r="U577" s="2">
        <v>1</v>
      </c>
      <c r="V577" s="2">
        <v>1</v>
      </c>
      <c r="W577" s="2">
        <v>1</v>
      </c>
      <c r="X577" s="2">
        <v>1</v>
      </c>
      <c r="Y577" s="2">
        <v>1</v>
      </c>
      <c r="Z577" s="2">
        <v>0.5</v>
      </c>
      <c r="AA577" s="2">
        <v>1</v>
      </c>
      <c r="AB577" s="2">
        <v>1</v>
      </c>
      <c r="AC577" s="2">
        <v>1</v>
      </c>
      <c r="AD577" s="2">
        <v>55</v>
      </c>
      <c r="AE577" s="2">
        <v>5120</v>
      </c>
      <c r="AF577" s="2">
        <v>70</v>
      </c>
      <c r="AG577" s="2">
        <v>490</v>
      </c>
      <c r="AH577" s="2">
        <v>50</v>
      </c>
      <c r="AI577" s="2">
        <v>95</v>
      </c>
      <c r="AJ577" s="1">
        <v>1059860</v>
      </c>
      <c r="AK577" s="1">
        <v>1.5</v>
      </c>
      <c r="AL577" s="1">
        <v>70</v>
      </c>
      <c r="AM577" s="2">
        <v>24.6</v>
      </c>
      <c r="AN577" s="2">
        <f t="shared" si="8"/>
        <v>75.400000000000006</v>
      </c>
      <c r="AO577" s="3">
        <v>576</v>
      </c>
      <c r="AP577" s="3">
        <v>95</v>
      </c>
      <c r="AQ577" s="3">
        <v>110</v>
      </c>
      <c r="AR577" s="3">
        <v>65</v>
      </c>
      <c r="AS577" s="1">
        <v>44</v>
      </c>
      <c r="AT577" s="3">
        <v>5</v>
      </c>
      <c r="AU577" s="3" t="s">
        <v>3051</v>
      </c>
    </row>
    <row r="578" spans="1:47" x14ac:dyDescent="0.3">
      <c r="A578" s="1" t="s">
        <v>1632</v>
      </c>
      <c r="B578" s="1" t="s">
        <v>1631</v>
      </c>
      <c r="C578" s="1" t="s">
        <v>216</v>
      </c>
      <c r="D578" s="1" t="s">
        <v>52</v>
      </c>
      <c r="E578" s="1" t="s">
        <v>1630</v>
      </c>
      <c r="F578" t="s">
        <v>3187</v>
      </c>
      <c r="G578" t="s">
        <v>3231</v>
      </c>
      <c r="H578" t="s">
        <v>3242</v>
      </c>
      <c r="I578" t="s">
        <v>52</v>
      </c>
      <c r="J578" t="s">
        <v>52</v>
      </c>
      <c r="K578" t="s">
        <v>52</v>
      </c>
      <c r="L578" s="2">
        <v>2</v>
      </c>
      <c r="M578" s="2">
        <v>2</v>
      </c>
      <c r="N578" s="2">
        <v>1</v>
      </c>
      <c r="O578" s="2">
        <v>1</v>
      </c>
      <c r="P578" s="2">
        <v>1</v>
      </c>
      <c r="Q578" s="2">
        <v>0.5</v>
      </c>
      <c r="R578" s="2">
        <v>1</v>
      </c>
      <c r="S578" s="2">
        <v>1</v>
      </c>
      <c r="T578" s="2">
        <v>2</v>
      </c>
      <c r="U578" s="2">
        <v>1</v>
      </c>
      <c r="V578" s="2">
        <v>1</v>
      </c>
      <c r="W578" s="2">
        <v>1</v>
      </c>
      <c r="X578" s="2">
        <v>1</v>
      </c>
      <c r="Y578" s="2">
        <v>1</v>
      </c>
      <c r="Z578" s="2">
        <v>0.5</v>
      </c>
      <c r="AA578" s="2">
        <v>1</v>
      </c>
      <c r="AB578" s="2">
        <v>1</v>
      </c>
      <c r="AC578" s="2">
        <v>1</v>
      </c>
      <c r="AD578" s="2">
        <v>30</v>
      </c>
      <c r="AE578" s="2">
        <v>5120</v>
      </c>
      <c r="AF578" s="2">
        <v>70</v>
      </c>
      <c r="AG578" s="2">
        <v>290</v>
      </c>
      <c r="AH578" s="2">
        <v>200</v>
      </c>
      <c r="AI578" s="2">
        <v>40</v>
      </c>
      <c r="AJ578" s="1">
        <v>1059860</v>
      </c>
      <c r="AK578" s="1">
        <v>0.3</v>
      </c>
      <c r="AL578" s="1">
        <v>45</v>
      </c>
      <c r="AM578" s="2">
        <v>50</v>
      </c>
      <c r="AN578" s="2">
        <f t="shared" si="8"/>
        <v>50</v>
      </c>
      <c r="AO578" s="3">
        <v>577</v>
      </c>
      <c r="AP578" s="3">
        <v>105</v>
      </c>
      <c r="AQ578" s="3">
        <v>50</v>
      </c>
      <c r="AR578" s="3">
        <v>20</v>
      </c>
      <c r="AS578" s="1">
        <v>1</v>
      </c>
      <c r="AT578" s="3">
        <v>5</v>
      </c>
      <c r="AU578" s="3" t="s">
        <v>3051</v>
      </c>
    </row>
    <row r="579" spans="1:47" x14ac:dyDescent="0.3">
      <c r="A579" s="1" t="s">
        <v>1635</v>
      </c>
      <c r="B579" s="1" t="s">
        <v>1634</v>
      </c>
      <c r="C579" s="1" t="s">
        <v>216</v>
      </c>
      <c r="D579" s="1" t="s">
        <v>52</v>
      </c>
      <c r="E579" s="1" t="s">
        <v>1633</v>
      </c>
      <c r="F579" t="s">
        <v>3187</v>
      </c>
      <c r="G579" t="s">
        <v>3231</v>
      </c>
      <c r="H579" t="s">
        <v>3242</v>
      </c>
      <c r="I579" t="s">
        <v>52</v>
      </c>
      <c r="J579" t="s">
        <v>52</v>
      </c>
      <c r="K579" t="s">
        <v>52</v>
      </c>
      <c r="L579" s="2">
        <v>2</v>
      </c>
      <c r="M579" s="2">
        <v>2</v>
      </c>
      <c r="N579" s="2">
        <v>1</v>
      </c>
      <c r="O579" s="2">
        <v>1</v>
      </c>
      <c r="P579" s="2">
        <v>1</v>
      </c>
      <c r="Q579" s="2">
        <v>0.5</v>
      </c>
      <c r="R579" s="2">
        <v>1</v>
      </c>
      <c r="S579" s="2">
        <v>1</v>
      </c>
      <c r="T579" s="2">
        <v>2</v>
      </c>
      <c r="U579" s="2">
        <v>1</v>
      </c>
      <c r="V579" s="2">
        <v>1</v>
      </c>
      <c r="W579" s="2">
        <v>1</v>
      </c>
      <c r="X579" s="2">
        <v>1</v>
      </c>
      <c r="Y579" s="2">
        <v>1</v>
      </c>
      <c r="Z579" s="2">
        <v>0.5</v>
      </c>
      <c r="AA579" s="2">
        <v>1</v>
      </c>
      <c r="AB579" s="2">
        <v>1</v>
      </c>
      <c r="AC579" s="2">
        <v>1</v>
      </c>
      <c r="AD579" s="2">
        <v>40</v>
      </c>
      <c r="AE579" s="2">
        <v>5120</v>
      </c>
      <c r="AF579" s="2">
        <v>70</v>
      </c>
      <c r="AG579" s="2">
        <v>370</v>
      </c>
      <c r="AH579" s="2">
        <v>100</v>
      </c>
      <c r="AI579" s="2">
        <v>50</v>
      </c>
      <c r="AJ579" s="1">
        <v>1059860</v>
      </c>
      <c r="AK579" s="1">
        <v>0.6</v>
      </c>
      <c r="AL579" s="1">
        <v>65</v>
      </c>
      <c r="AM579" s="2">
        <v>50</v>
      </c>
      <c r="AN579" s="2">
        <f t="shared" ref="AN579:AN642" si="9">IF(AM579="","",100-AM579)</f>
        <v>50</v>
      </c>
      <c r="AO579" s="3">
        <v>578</v>
      </c>
      <c r="AP579" s="3">
        <v>125</v>
      </c>
      <c r="AQ579" s="3">
        <v>60</v>
      </c>
      <c r="AR579" s="3">
        <v>30</v>
      </c>
      <c r="AS579" s="1">
        <v>8</v>
      </c>
      <c r="AT579" s="3">
        <v>5</v>
      </c>
      <c r="AU579" s="3" t="s">
        <v>3051</v>
      </c>
    </row>
    <row r="580" spans="1:47" x14ac:dyDescent="0.3">
      <c r="A580" s="1" t="s">
        <v>1638</v>
      </c>
      <c r="B580" s="1" t="s">
        <v>1637</v>
      </c>
      <c r="C580" s="1" t="s">
        <v>216</v>
      </c>
      <c r="D580" s="1" t="s">
        <v>52</v>
      </c>
      <c r="E580" s="1" t="s">
        <v>1636</v>
      </c>
      <c r="F580" t="s">
        <v>3187</v>
      </c>
      <c r="G580" t="s">
        <v>3231</v>
      </c>
      <c r="H580" t="s">
        <v>3242</v>
      </c>
      <c r="I580" t="s">
        <v>52</v>
      </c>
      <c r="J580" t="s">
        <v>52</v>
      </c>
      <c r="K580" t="s">
        <v>52</v>
      </c>
      <c r="L580" s="2">
        <v>2</v>
      </c>
      <c r="M580" s="2">
        <v>2</v>
      </c>
      <c r="N580" s="2">
        <v>1</v>
      </c>
      <c r="O580" s="2">
        <v>1</v>
      </c>
      <c r="P580" s="2">
        <v>1</v>
      </c>
      <c r="Q580" s="2">
        <v>0.5</v>
      </c>
      <c r="R580" s="2">
        <v>1</v>
      </c>
      <c r="S580" s="2">
        <v>1</v>
      </c>
      <c r="T580" s="2">
        <v>2</v>
      </c>
      <c r="U580" s="2">
        <v>1</v>
      </c>
      <c r="V580" s="2">
        <v>1</v>
      </c>
      <c r="W580" s="2">
        <v>1</v>
      </c>
      <c r="X580" s="2">
        <v>1</v>
      </c>
      <c r="Y580" s="2">
        <v>1</v>
      </c>
      <c r="Z580" s="2">
        <v>0.5</v>
      </c>
      <c r="AA580" s="2">
        <v>1</v>
      </c>
      <c r="AB580" s="2">
        <v>1</v>
      </c>
      <c r="AC580" s="2">
        <v>1</v>
      </c>
      <c r="AD580" s="2">
        <v>65</v>
      </c>
      <c r="AE580" s="2">
        <v>5120</v>
      </c>
      <c r="AF580" s="2">
        <v>70</v>
      </c>
      <c r="AG580" s="2">
        <v>490</v>
      </c>
      <c r="AH580" s="2">
        <v>50</v>
      </c>
      <c r="AI580" s="2">
        <v>75</v>
      </c>
      <c r="AJ580" s="1">
        <v>1059860</v>
      </c>
      <c r="AK580" s="1">
        <v>1</v>
      </c>
      <c r="AL580" s="1">
        <v>110</v>
      </c>
      <c r="AM580" s="2">
        <v>50</v>
      </c>
      <c r="AN580" s="2">
        <f t="shared" si="9"/>
        <v>50</v>
      </c>
      <c r="AO580" s="3">
        <v>579</v>
      </c>
      <c r="AP580" s="3">
        <v>125</v>
      </c>
      <c r="AQ580" s="3">
        <v>85</v>
      </c>
      <c r="AR580" s="3">
        <v>30</v>
      </c>
      <c r="AS580" s="1">
        <v>20.100000000000001</v>
      </c>
      <c r="AT580" s="3">
        <v>5</v>
      </c>
      <c r="AU580" s="3" t="s">
        <v>3051</v>
      </c>
    </row>
    <row r="581" spans="1:47" x14ac:dyDescent="0.3">
      <c r="A581" s="1" t="s">
        <v>1640</v>
      </c>
      <c r="B581" s="1" t="s">
        <v>1639</v>
      </c>
      <c r="C581" s="1" t="s">
        <v>62</v>
      </c>
      <c r="D581" s="1" t="s">
        <v>58</v>
      </c>
      <c r="E581" s="1" t="s">
        <v>796</v>
      </c>
      <c r="F581" t="s">
        <v>3118</v>
      </c>
      <c r="G581" t="s">
        <v>3179</v>
      </c>
      <c r="H581" t="s">
        <v>3071</v>
      </c>
      <c r="I581" t="s">
        <v>52</v>
      </c>
      <c r="J581" t="s">
        <v>52</v>
      </c>
      <c r="K581" t="s">
        <v>52</v>
      </c>
      <c r="L581" s="2">
        <v>0.5</v>
      </c>
      <c r="M581" s="2">
        <v>1</v>
      </c>
      <c r="N581" s="2">
        <v>1</v>
      </c>
      <c r="O581" s="2">
        <v>4</v>
      </c>
      <c r="P581" s="2">
        <v>1</v>
      </c>
      <c r="Q581" s="2">
        <v>0.5</v>
      </c>
      <c r="R581" s="2">
        <v>0.5</v>
      </c>
      <c r="S581" s="2">
        <v>1</v>
      </c>
      <c r="T581" s="2">
        <v>1</v>
      </c>
      <c r="U581" s="2">
        <v>1</v>
      </c>
      <c r="V581" s="2">
        <v>0</v>
      </c>
      <c r="W581" s="2">
        <v>1</v>
      </c>
      <c r="X581" s="2">
        <v>1</v>
      </c>
      <c r="Y581" s="2">
        <v>1</v>
      </c>
      <c r="Z581" s="2">
        <v>1</v>
      </c>
      <c r="AA581" s="2">
        <v>2</v>
      </c>
      <c r="AB581" s="2">
        <v>0.5</v>
      </c>
      <c r="AC581" s="2">
        <v>0.5</v>
      </c>
      <c r="AD581" s="2">
        <v>44</v>
      </c>
      <c r="AE581" s="2">
        <v>5120</v>
      </c>
      <c r="AF581" s="2">
        <v>70</v>
      </c>
      <c r="AG581" s="2">
        <v>305</v>
      </c>
      <c r="AH581" s="2">
        <v>190</v>
      </c>
      <c r="AI581" s="2">
        <v>50</v>
      </c>
      <c r="AJ581" s="1">
        <v>1000000</v>
      </c>
      <c r="AK581" s="1">
        <v>0.5</v>
      </c>
      <c r="AL581" s="1">
        <v>62</v>
      </c>
      <c r="AM581" s="2">
        <v>50</v>
      </c>
      <c r="AN581" s="2">
        <f t="shared" si="9"/>
        <v>50</v>
      </c>
      <c r="AO581" s="3">
        <v>580</v>
      </c>
      <c r="AP581" s="3">
        <v>44</v>
      </c>
      <c r="AQ581" s="3">
        <v>50</v>
      </c>
      <c r="AR581" s="3">
        <v>55</v>
      </c>
      <c r="AS581" s="1">
        <v>5.5</v>
      </c>
      <c r="AT581" s="3">
        <v>5</v>
      </c>
      <c r="AU581" s="3" t="s">
        <v>3051</v>
      </c>
    </row>
    <row r="582" spans="1:47" x14ac:dyDescent="0.3">
      <c r="A582" s="1" t="s">
        <v>1643</v>
      </c>
      <c r="B582" s="1" t="s">
        <v>1642</v>
      </c>
      <c r="C582" s="1" t="s">
        <v>62</v>
      </c>
      <c r="D582" s="1" t="s">
        <v>58</v>
      </c>
      <c r="E582" s="1" t="s">
        <v>1641</v>
      </c>
      <c r="F582" t="s">
        <v>3118</v>
      </c>
      <c r="G582" t="s">
        <v>3179</v>
      </c>
      <c r="H582" t="s">
        <v>3071</v>
      </c>
      <c r="I582" t="s">
        <v>52</v>
      </c>
      <c r="J582" t="s">
        <v>52</v>
      </c>
      <c r="K582" t="s">
        <v>52</v>
      </c>
      <c r="L582" s="2">
        <v>0.5</v>
      </c>
      <c r="M582" s="2">
        <v>1</v>
      </c>
      <c r="N582" s="2">
        <v>1</v>
      </c>
      <c r="O582" s="2">
        <v>4</v>
      </c>
      <c r="P582" s="2">
        <v>1</v>
      </c>
      <c r="Q582" s="2">
        <v>0.5</v>
      </c>
      <c r="R582" s="2">
        <v>0.5</v>
      </c>
      <c r="S582" s="2">
        <v>1</v>
      </c>
      <c r="T582" s="2">
        <v>1</v>
      </c>
      <c r="U582" s="2">
        <v>1</v>
      </c>
      <c r="V582" s="2">
        <v>0</v>
      </c>
      <c r="W582" s="2">
        <v>1</v>
      </c>
      <c r="X582" s="2">
        <v>1</v>
      </c>
      <c r="Y582" s="2">
        <v>1</v>
      </c>
      <c r="Z582" s="2">
        <v>1</v>
      </c>
      <c r="AA582" s="2">
        <v>2</v>
      </c>
      <c r="AB582" s="2">
        <v>0.5</v>
      </c>
      <c r="AC582" s="2">
        <v>0.5</v>
      </c>
      <c r="AD582" s="2">
        <v>87</v>
      </c>
      <c r="AE582" s="2">
        <v>5120</v>
      </c>
      <c r="AF582" s="2">
        <v>70</v>
      </c>
      <c r="AG582" s="2">
        <v>473</v>
      </c>
      <c r="AH582" s="2">
        <v>45</v>
      </c>
      <c r="AI582" s="2">
        <v>63</v>
      </c>
      <c r="AJ582" s="1">
        <v>1000000</v>
      </c>
      <c r="AK582" s="1">
        <v>1.3</v>
      </c>
      <c r="AL582" s="1">
        <v>75</v>
      </c>
      <c r="AM582" s="2">
        <v>50</v>
      </c>
      <c r="AN582" s="2">
        <f t="shared" si="9"/>
        <v>50</v>
      </c>
      <c r="AO582" s="3">
        <v>581</v>
      </c>
      <c r="AP582" s="3">
        <v>87</v>
      </c>
      <c r="AQ582" s="3">
        <v>63</v>
      </c>
      <c r="AR582" s="3">
        <v>98</v>
      </c>
      <c r="AS582" s="1">
        <v>24.2</v>
      </c>
      <c r="AT582" s="3">
        <v>5</v>
      </c>
      <c r="AU582" s="3" t="s">
        <v>3051</v>
      </c>
    </row>
    <row r="583" spans="1:47" x14ac:dyDescent="0.3">
      <c r="A583" s="1" t="s">
        <v>1645</v>
      </c>
      <c r="B583" s="1" t="s">
        <v>1644</v>
      </c>
      <c r="C583" s="1" t="s">
        <v>121</v>
      </c>
      <c r="D583" s="1" t="s">
        <v>52</v>
      </c>
      <c r="E583" s="1" t="s">
        <v>1332</v>
      </c>
      <c r="F583" t="s">
        <v>3188</v>
      </c>
      <c r="G583" t="s">
        <v>3175</v>
      </c>
      <c r="H583" t="s">
        <v>3247</v>
      </c>
      <c r="I583" t="s">
        <v>52</v>
      </c>
      <c r="J583" t="s">
        <v>52</v>
      </c>
      <c r="K583" t="s">
        <v>52</v>
      </c>
      <c r="L583" s="2">
        <v>1</v>
      </c>
      <c r="M583" s="2">
        <v>1</v>
      </c>
      <c r="N583" s="2">
        <v>1</v>
      </c>
      <c r="O583" s="2">
        <v>1</v>
      </c>
      <c r="P583" s="2">
        <v>1</v>
      </c>
      <c r="Q583" s="2">
        <v>2</v>
      </c>
      <c r="R583" s="2">
        <v>2</v>
      </c>
      <c r="S583" s="2">
        <v>1</v>
      </c>
      <c r="T583" s="2">
        <v>1</v>
      </c>
      <c r="U583" s="2">
        <v>1</v>
      </c>
      <c r="V583" s="2">
        <v>1</v>
      </c>
      <c r="W583" s="2">
        <v>0.5</v>
      </c>
      <c r="X583" s="2">
        <v>1</v>
      </c>
      <c r="Y583" s="2">
        <v>1</v>
      </c>
      <c r="Z583" s="2">
        <v>1</v>
      </c>
      <c r="AA583" s="2">
        <v>2</v>
      </c>
      <c r="AB583" s="2">
        <v>2</v>
      </c>
      <c r="AC583" s="2">
        <v>1</v>
      </c>
      <c r="AD583" s="2">
        <v>50</v>
      </c>
      <c r="AE583" s="2">
        <v>5120</v>
      </c>
      <c r="AF583" s="2">
        <v>70</v>
      </c>
      <c r="AG583" s="2">
        <v>305</v>
      </c>
      <c r="AH583" s="2">
        <v>255</v>
      </c>
      <c r="AI583" s="2">
        <v>50</v>
      </c>
      <c r="AJ583" s="1">
        <v>1250000</v>
      </c>
      <c r="AK583" s="1">
        <v>0.4</v>
      </c>
      <c r="AL583" s="1">
        <v>36</v>
      </c>
      <c r="AM583" s="2">
        <v>50</v>
      </c>
      <c r="AN583" s="2">
        <f t="shared" si="9"/>
        <v>50</v>
      </c>
      <c r="AO583" s="3">
        <v>582</v>
      </c>
      <c r="AP583" s="3">
        <v>65</v>
      </c>
      <c r="AQ583" s="3">
        <v>60</v>
      </c>
      <c r="AR583" s="3">
        <v>44</v>
      </c>
      <c r="AS583" s="1">
        <v>5.7</v>
      </c>
      <c r="AT583" s="3">
        <v>5</v>
      </c>
      <c r="AU583" s="3" t="s">
        <v>3051</v>
      </c>
    </row>
    <row r="584" spans="1:47" x14ac:dyDescent="0.3">
      <c r="A584" s="1" t="s">
        <v>1648</v>
      </c>
      <c r="B584" s="1" t="s">
        <v>1647</v>
      </c>
      <c r="C584" s="1" t="s">
        <v>121</v>
      </c>
      <c r="D584" s="1" t="s">
        <v>52</v>
      </c>
      <c r="E584" s="1" t="s">
        <v>1646</v>
      </c>
      <c r="F584" t="s">
        <v>3188</v>
      </c>
      <c r="G584" t="s">
        <v>3175</v>
      </c>
      <c r="H584" t="s">
        <v>3247</v>
      </c>
      <c r="I584" t="s">
        <v>52</v>
      </c>
      <c r="J584" t="s">
        <v>52</v>
      </c>
      <c r="K584" t="s">
        <v>52</v>
      </c>
      <c r="L584" s="2">
        <v>1</v>
      </c>
      <c r="M584" s="2">
        <v>1</v>
      </c>
      <c r="N584" s="2">
        <v>1</v>
      </c>
      <c r="O584" s="2">
        <v>1</v>
      </c>
      <c r="P584" s="2">
        <v>1</v>
      </c>
      <c r="Q584" s="2">
        <v>2</v>
      </c>
      <c r="R584" s="2">
        <v>2</v>
      </c>
      <c r="S584" s="2">
        <v>1</v>
      </c>
      <c r="T584" s="2">
        <v>1</v>
      </c>
      <c r="U584" s="2">
        <v>1</v>
      </c>
      <c r="V584" s="2">
        <v>1</v>
      </c>
      <c r="W584" s="2">
        <v>0.5</v>
      </c>
      <c r="X584" s="2">
        <v>1</v>
      </c>
      <c r="Y584" s="2">
        <v>1</v>
      </c>
      <c r="Z584" s="2">
        <v>1</v>
      </c>
      <c r="AA584" s="2">
        <v>2</v>
      </c>
      <c r="AB584" s="2">
        <v>2</v>
      </c>
      <c r="AC584" s="2">
        <v>1</v>
      </c>
      <c r="AD584" s="2">
        <v>65</v>
      </c>
      <c r="AE584" s="2">
        <v>5120</v>
      </c>
      <c r="AF584" s="2">
        <v>70</v>
      </c>
      <c r="AG584" s="2">
        <v>395</v>
      </c>
      <c r="AH584" s="2">
        <v>120</v>
      </c>
      <c r="AI584" s="2">
        <v>65</v>
      </c>
      <c r="AJ584" s="1">
        <v>1250000</v>
      </c>
      <c r="AK584" s="1">
        <v>1.1000000000000001</v>
      </c>
      <c r="AL584" s="1">
        <v>51</v>
      </c>
      <c r="AM584" s="2">
        <v>50</v>
      </c>
      <c r="AN584" s="2">
        <f t="shared" si="9"/>
        <v>50</v>
      </c>
      <c r="AO584" s="3">
        <v>583</v>
      </c>
      <c r="AP584" s="3">
        <v>80</v>
      </c>
      <c r="AQ584" s="3">
        <v>75</v>
      </c>
      <c r="AR584" s="3">
        <v>59</v>
      </c>
      <c r="AS584" s="1">
        <v>41</v>
      </c>
      <c r="AT584" s="3">
        <v>5</v>
      </c>
      <c r="AU584" s="3" t="s">
        <v>3051</v>
      </c>
    </row>
    <row r="585" spans="1:47" x14ac:dyDescent="0.3">
      <c r="A585" s="1" t="s">
        <v>1651</v>
      </c>
      <c r="B585" s="1" t="s">
        <v>1650</v>
      </c>
      <c r="C585" s="1" t="s">
        <v>121</v>
      </c>
      <c r="D585" s="1" t="s">
        <v>52</v>
      </c>
      <c r="E585" s="1" t="s">
        <v>1649</v>
      </c>
      <c r="F585" t="s">
        <v>3188</v>
      </c>
      <c r="G585" t="s">
        <v>3172</v>
      </c>
      <c r="H585" t="s">
        <v>3247</v>
      </c>
      <c r="I585" t="s">
        <v>52</v>
      </c>
      <c r="J585" t="s">
        <v>52</v>
      </c>
      <c r="K585" t="s">
        <v>52</v>
      </c>
      <c r="L585" s="2">
        <v>1</v>
      </c>
      <c r="M585" s="2">
        <v>1</v>
      </c>
      <c r="N585" s="2">
        <v>1</v>
      </c>
      <c r="O585" s="2">
        <v>1</v>
      </c>
      <c r="P585" s="2">
        <v>1</v>
      </c>
      <c r="Q585" s="2">
        <v>2</v>
      </c>
      <c r="R585" s="2">
        <v>2</v>
      </c>
      <c r="S585" s="2">
        <v>1</v>
      </c>
      <c r="T585" s="2">
        <v>1</v>
      </c>
      <c r="U585" s="2">
        <v>1</v>
      </c>
      <c r="V585" s="2">
        <v>1</v>
      </c>
      <c r="W585" s="2">
        <v>0.5</v>
      </c>
      <c r="X585" s="2">
        <v>1</v>
      </c>
      <c r="Y585" s="2">
        <v>1</v>
      </c>
      <c r="Z585" s="2">
        <v>1</v>
      </c>
      <c r="AA585" s="2">
        <v>2</v>
      </c>
      <c r="AB585" s="2">
        <v>2</v>
      </c>
      <c r="AC585" s="2">
        <v>1</v>
      </c>
      <c r="AD585" s="2">
        <v>95</v>
      </c>
      <c r="AE585" s="2">
        <v>5120</v>
      </c>
      <c r="AF585" s="2">
        <v>70</v>
      </c>
      <c r="AG585" s="2">
        <v>535</v>
      </c>
      <c r="AH585" s="2">
        <v>45</v>
      </c>
      <c r="AI585" s="2">
        <v>85</v>
      </c>
      <c r="AJ585" s="1">
        <v>1250000</v>
      </c>
      <c r="AK585" s="1">
        <v>1.3</v>
      </c>
      <c r="AL585" s="1">
        <v>71</v>
      </c>
      <c r="AM585" s="2">
        <v>50</v>
      </c>
      <c r="AN585" s="2">
        <f t="shared" si="9"/>
        <v>50</v>
      </c>
      <c r="AO585" s="3">
        <v>584</v>
      </c>
      <c r="AP585" s="3">
        <v>110</v>
      </c>
      <c r="AQ585" s="3">
        <v>95</v>
      </c>
      <c r="AR585" s="3">
        <v>79</v>
      </c>
      <c r="AS585" s="1">
        <v>57.5</v>
      </c>
      <c r="AT585" s="3">
        <v>5</v>
      </c>
      <c r="AU585" s="3" t="s">
        <v>3051</v>
      </c>
    </row>
    <row r="586" spans="1:47" x14ac:dyDescent="0.3">
      <c r="A586" s="1" t="s">
        <v>1654</v>
      </c>
      <c r="B586" s="1" t="s">
        <v>1653</v>
      </c>
      <c r="C586" s="1" t="s">
        <v>90</v>
      </c>
      <c r="D586" s="1" t="s">
        <v>42</v>
      </c>
      <c r="E586" s="1" t="s">
        <v>1652</v>
      </c>
      <c r="F586" t="s">
        <v>3068</v>
      </c>
      <c r="G586" t="s">
        <v>3194</v>
      </c>
      <c r="H586" t="s">
        <v>3066</v>
      </c>
      <c r="I586" t="s">
        <v>52</v>
      </c>
      <c r="J586" t="s">
        <v>52</v>
      </c>
      <c r="K586" t="s">
        <v>52</v>
      </c>
      <c r="L586" s="2">
        <v>2</v>
      </c>
      <c r="M586" s="2">
        <v>1</v>
      </c>
      <c r="N586" s="2">
        <v>1</v>
      </c>
      <c r="O586" s="2">
        <v>0.5</v>
      </c>
      <c r="P586" s="2">
        <v>1</v>
      </c>
      <c r="Q586" s="2">
        <v>2</v>
      </c>
      <c r="R586" s="2">
        <v>2</v>
      </c>
      <c r="S586" s="2">
        <v>2</v>
      </c>
      <c r="T586" s="2">
        <v>0</v>
      </c>
      <c r="U586" s="2">
        <v>0.5</v>
      </c>
      <c r="V586" s="2">
        <v>0.5</v>
      </c>
      <c r="W586" s="2">
        <v>2</v>
      </c>
      <c r="X586" s="2">
        <v>1</v>
      </c>
      <c r="Y586" s="2">
        <v>2</v>
      </c>
      <c r="Z586" s="2">
        <v>1</v>
      </c>
      <c r="AA586" s="2">
        <v>1</v>
      </c>
      <c r="AB586" s="2">
        <v>1</v>
      </c>
      <c r="AC586" s="2">
        <v>0.5</v>
      </c>
      <c r="AD586" s="2">
        <v>60</v>
      </c>
      <c r="AE586" s="2">
        <v>5120</v>
      </c>
      <c r="AF586" s="2">
        <v>70</v>
      </c>
      <c r="AG586" s="2">
        <v>335</v>
      </c>
      <c r="AH586" s="2">
        <v>190</v>
      </c>
      <c r="AI586" s="2">
        <v>50</v>
      </c>
      <c r="AJ586" s="1">
        <v>1000000</v>
      </c>
      <c r="AK586" s="1">
        <v>0.6</v>
      </c>
      <c r="AL586" s="1">
        <v>60</v>
      </c>
      <c r="AM586" s="2">
        <v>50</v>
      </c>
      <c r="AN586" s="2">
        <f t="shared" si="9"/>
        <v>50</v>
      </c>
      <c r="AO586" s="3">
        <v>585</v>
      </c>
      <c r="AP586" s="3">
        <v>40</v>
      </c>
      <c r="AQ586" s="3">
        <v>50</v>
      </c>
      <c r="AR586" s="3">
        <v>75</v>
      </c>
      <c r="AS586" s="1">
        <v>19.5</v>
      </c>
      <c r="AT586" s="3">
        <v>5</v>
      </c>
      <c r="AU586" s="3" t="s">
        <v>3051</v>
      </c>
    </row>
    <row r="587" spans="1:47" x14ac:dyDescent="0.3">
      <c r="A587" s="1" t="s">
        <v>1656</v>
      </c>
      <c r="B587" s="1" t="s">
        <v>1655</v>
      </c>
      <c r="C587" s="1" t="s">
        <v>90</v>
      </c>
      <c r="D587" s="1" t="s">
        <v>42</v>
      </c>
      <c r="E587" s="1" t="s">
        <v>1652</v>
      </c>
      <c r="F587" t="s">
        <v>3068</v>
      </c>
      <c r="G587" t="s">
        <v>3194</v>
      </c>
      <c r="H587" t="s">
        <v>3066</v>
      </c>
      <c r="I587" t="s">
        <v>52</v>
      </c>
      <c r="J587" t="s">
        <v>52</v>
      </c>
      <c r="K587" t="s">
        <v>52</v>
      </c>
      <c r="L587" s="2">
        <v>2</v>
      </c>
      <c r="M587" s="2">
        <v>1</v>
      </c>
      <c r="N587" s="2">
        <v>1</v>
      </c>
      <c r="O587" s="2">
        <v>0.5</v>
      </c>
      <c r="P587" s="2">
        <v>1</v>
      </c>
      <c r="Q587" s="2">
        <v>2</v>
      </c>
      <c r="R587" s="2">
        <v>2</v>
      </c>
      <c r="S587" s="2">
        <v>2</v>
      </c>
      <c r="T587" s="2">
        <v>0</v>
      </c>
      <c r="U587" s="2">
        <v>0.5</v>
      </c>
      <c r="V587" s="2">
        <v>0.5</v>
      </c>
      <c r="W587" s="2">
        <v>2</v>
      </c>
      <c r="X587" s="2">
        <v>1</v>
      </c>
      <c r="Y587" s="2">
        <v>2</v>
      </c>
      <c r="Z587" s="2">
        <v>1</v>
      </c>
      <c r="AA587" s="2">
        <v>1</v>
      </c>
      <c r="AB587" s="2">
        <v>1</v>
      </c>
      <c r="AC587" s="2">
        <v>0.5</v>
      </c>
      <c r="AD587" s="2">
        <v>100</v>
      </c>
      <c r="AE587" s="2">
        <v>5120</v>
      </c>
      <c r="AF587" s="2">
        <v>70</v>
      </c>
      <c r="AG587" s="2">
        <v>475</v>
      </c>
      <c r="AH587" s="2">
        <v>75</v>
      </c>
      <c r="AI587" s="2">
        <v>70</v>
      </c>
      <c r="AJ587" s="1">
        <v>1000000</v>
      </c>
      <c r="AK587" s="1">
        <v>1.9</v>
      </c>
      <c r="AL587" s="1">
        <v>80</v>
      </c>
      <c r="AM587" s="2">
        <v>50</v>
      </c>
      <c r="AN587" s="2">
        <f t="shared" si="9"/>
        <v>50</v>
      </c>
      <c r="AO587" s="3">
        <v>586</v>
      </c>
      <c r="AP587" s="3">
        <v>60</v>
      </c>
      <c r="AQ587" s="3">
        <v>70</v>
      </c>
      <c r="AR587" s="3">
        <v>95</v>
      </c>
      <c r="AS587" s="1">
        <v>92.5</v>
      </c>
      <c r="AT587" s="3">
        <v>5</v>
      </c>
      <c r="AU587" s="3" t="s">
        <v>3051</v>
      </c>
    </row>
    <row r="588" spans="1:47" x14ac:dyDescent="0.3">
      <c r="A588" s="1" t="s">
        <v>1659</v>
      </c>
      <c r="B588" s="1" t="s">
        <v>1658</v>
      </c>
      <c r="C588" s="1" t="s">
        <v>115</v>
      </c>
      <c r="D588" s="1" t="s">
        <v>58</v>
      </c>
      <c r="E588" s="1" t="s">
        <v>1657</v>
      </c>
      <c r="F588" t="s">
        <v>3121</v>
      </c>
      <c r="G588" t="s">
        <v>3173</v>
      </c>
      <c r="H588" t="s">
        <v>52</v>
      </c>
      <c r="I588" t="s">
        <v>52</v>
      </c>
      <c r="J588" t="s">
        <v>52</v>
      </c>
      <c r="K588" t="s">
        <v>52</v>
      </c>
      <c r="L588" s="2">
        <v>0.5</v>
      </c>
      <c r="M588" s="2">
        <v>1</v>
      </c>
      <c r="N588" s="2">
        <v>1</v>
      </c>
      <c r="O588" s="2">
        <v>1</v>
      </c>
      <c r="P588" s="2">
        <v>1</v>
      </c>
      <c r="Q588" s="2">
        <v>0.5</v>
      </c>
      <c r="R588" s="2">
        <v>1</v>
      </c>
      <c r="S588" s="2">
        <v>0.5</v>
      </c>
      <c r="T588" s="2">
        <v>1</v>
      </c>
      <c r="U588" s="2">
        <v>0.5</v>
      </c>
      <c r="V588" s="2">
        <v>0</v>
      </c>
      <c r="W588" s="2">
        <v>2</v>
      </c>
      <c r="X588" s="2">
        <v>1</v>
      </c>
      <c r="Y588" s="2">
        <v>1</v>
      </c>
      <c r="Z588" s="2">
        <v>1</v>
      </c>
      <c r="AA588" s="2">
        <v>2</v>
      </c>
      <c r="AB588" s="2">
        <v>0.5</v>
      </c>
      <c r="AC588" s="2">
        <v>1</v>
      </c>
      <c r="AD588" s="2">
        <v>75</v>
      </c>
      <c r="AE588" s="2">
        <v>5120</v>
      </c>
      <c r="AF588" s="2">
        <v>70</v>
      </c>
      <c r="AG588" s="2">
        <v>428</v>
      </c>
      <c r="AH588" s="2">
        <v>200</v>
      </c>
      <c r="AI588" s="2">
        <v>60</v>
      </c>
      <c r="AJ588" s="1">
        <v>1000000</v>
      </c>
      <c r="AK588" s="1">
        <v>0.4</v>
      </c>
      <c r="AL588" s="1">
        <v>55</v>
      </c>
      <c r="AM588" s="2">
        <v>50</v>
      </c>
      <c r="AN588" s="2">
        <f t="shared" si="9"/>
        <v>50</v>
      </c>
      <c r="AO588" s="3">
        <v>587</v>
      </c>
      <c r="AP588" s="3">
        <v>75</v>
      </c>
      <c r="AQ588" s="3">
        <v>60</v>
      </c>
      <c r="AR588" s="3">
        <v>103</v>
      </c>
      <c r="AS588" s="1">
        <v>5</v>
      </c>
      <c r="AT588" s="3">
        <v>5</v>
      </c>
      <c r="AU588" s="3" t="s">
        <v>3051</v>
      </c>
    </row>
    <row r="589" spans="1:47" x14ac:dyDescent="0.3">
      <c r="A589" s="1" t="s">
        <v>1662</v>
      </c>
      <c r="B589" s="1" t="s">
        <v>1661</v>
      </c>
      <c r="C589" s="1" t="s">
        <v>72</v>
      </c>
      <c r="D589" s="1" t="s">
        <v>52</v>
      </c>
      <c r="E589" s="1" t="s">
        <v>1660</v>
      </c>
      <c r="F589" t="s">
        <v>3093</v>
      </c>
      <c r="G589" t="s">
        <v>3054</v>
      </c>
      <c r="H589" t="s">
        <v>3085</v>
      </c>
      <c r="I589" t="s">
        <v>52</v>
      </c>
      <c r="J589" t="s">
        <v>52</v>
      </c>
      <c r="K589" t="s">
        <v>52</v>
      </c>
      <c r="L589" s="2">
        <v>1</v>
      </c>
      <c r="M589" s="2">
        <v>1</v>
      </c>
      <c r="N589" s="2">
        <v>1</v>
      </c>
      <c r="O589" s="2">
        <v>1</v>
      </c>
      <c r="P589" s="2">
        <v>1</v>
      </c>
      <c r="Q589" s="2">
        <v>0.5</v>
      </c>
      <c r="R589" s="2">
        <v>2</v>
      </c>
      <c r="S589" s="2">
        <v>2</v>
      </c>
      <c r="T589" s="2">
        <v>1</v>
      </c>
      <c r="U589" s="2">
        <v>0.5</v>
      </c>
      <c r="V589" s="2">
        <v>0.5</v>
      </c>
      <c r="W589" s="2">
        <v>1</v>
      </c>
      <c r="X589" s="2">
        <v>1</v>
      </c>
      <c r="Y589" s="2">
        <v>1</v>
      </c>
      <c r="Z589" s="2">
        <v>1</v>
      </c>
      <c r="AA589" s="2">
        <v>2</v>
      </c>
      <c r="AB589" s="2">
        <v>1</v>
      </c>
      <c r="AC589" s="2">
        <v>1</v>
      </c>
      <c r="AD589" s="2">
        <v>75</v>
      </c>
      <c r="AE589" s="2">
        <v>3840</v>
      </c>
      <c r="AF589" s="2">
        <v>70</v>
      </c>
      <c r="AG589" s="2">
        <v>315</v>
      </c>
      <c r="AH589" s="2">
        <v>200</v>
      </c>
      <c r="AI589" s="2">
        <v>45</v>
      </c>
      <c r="AJ589" s="1">
        <v>1000000</v>
      </c>
      <c r="AK589" s="1">
        <v>0.5</v>
      </c>
      <c r="AL589" s="1">
        <v>50</v>
      </c>
      <c r="AM589" s="2">
        <v>50</v>
      </c>
      <c r="AN589" s="2">
        <f t="shared" si="9"/>
        <v>50</v>
      </c>
      <c r="AO589" s="3">
        <v>588</v>
      </c>
      <c r="AP589" s="3">
        <v>40</v>
      </c>
      <c r="AQ589" s="3">
        <v>45</v>
      </c>
      <c r="AR589" s="3">
        <v>60</v>
      </c>
      <c r="AS589" s="1">
        <v>5.9</v>
      </c>
      <c r="AT589" s="3">
        <v>5</v>
      </c>
      <c r="AU589" s="3" t="s">
        <v>3051</v>
      </c>
    </row>
    <row r="590" spans="1:47" x14ac:dyDescent="0.3">
      <c r="A590" s="1" t="s">
        <v>1665</v>
      </c>
      <c r="B590" s="1" t="s">
        <v>1664</v>
      </c>
      <c r="C590" s="1" t="s">
        <v>72</v>
      </c>
      <c r="D590" s="1" t="s">
        <v>263</v>
      </c>
      <c r="E590" s="1" t="s">
        <v>1663</v>
      </c>
      <c r="F590" t="s">
        <v>3093</v>
      </c>
      <c r="G590" t="s">
        <v>3103</v>
      </c>
      <c r="H590" t="s">
        <v>3187</v>
      </c>
      <c r="I590" t="s">
        <v>52</v>
      </c>
      <c r="J590" t="s">
        <v>52</v>
      </c>
      <c r="K590" t="s">
        <v>52</v>
      </c>
      <c r="L590" s="2">
        <v>0.5</v>
      </c>
      <c r="M590" s="2">
        <v>1</v>
      </c>
      <c r="N590" s="2">
        <v>0.5</v>
      </c>
      <c r="O590" s="2">
        <v>1</v>
      </c>
      <c r="P590" s="2">
        <v>0.5</v>
      </c>
      <c r="Q590" s="2">
        <v>1</v>
      </c>
      <c r="R590" s="2">
        <v>4</v>
      </c>
      <c r="S590" s="2">
        <v>1</v>
      </c>
      <c r="T590" s="2">
        <v>1</v>
      </c>
      <c r="U590" s="2">
        <v>0.25</v>
      </c>
      <c r="V590" s="2">
        <v>1</v>
      </c>
      <c r="W590" s="2">
        <v>0.5</v>
      </c>
      <c r="X590" s="2">
        <v>0.5</v>
      </c>
      <c r="Y590" s="2">
        <v>0</v>
      </c>
      <c r="Z590" s="2">
        <v>0.5</v>
      </c>
      <c r="AA590" s="2">
        <v>1</v>
      </c>
      <c r="AB590" s="2">
        <v>0.5</v>
      </c>
      <c r="AC590" s="2">
        <v>1</v>
      </c>
      <c r="AD590" s="2">
        <v>135</v>
      </c>
      <c r="AE590" s="2">
        <v>3840</v>
      </c>
      <c r="AF590" s="2">
        <v>70</v>
      </c>
      <c r="AG590" s="2">
        <v>495</v>
      </c>
      <c r="AH590" s="2">
        <v>75</v>
      </c>
      <c r="AI590" s="2">
        <v>105</v>
      </c>
      <c r="AJ590" s="1">
        <v>1000000</v>
      </c>
      <c r="AK590" s="1">
        <v>1</v>
      </c>
      <c r="AL590" s="1">
        <v>70</v>
      </c>
      <c r="AM590" s="2">
        <v>50</v>
      </c>
      <c r="AN590" s="2">
        <f t="shared" si="9"/>
        <v>50</v>
      </c>
      <c r="AO590" s="3">
        <v>589</v>
      </c>
      <c r="AP590" s="3">
        <v>60</v>
      </c>
      <c r="AQ590" s="3">
        <v>105</v>
      </c>
      <c r="AR590" s="3">
        <v>20</v>
      </c>
      <c r="AS590" s="1">
        <v>33</v>
      </c>
      <c r="AT590" s="3">
        <v>5</v>
      </c>
      <c r="AU590" s="3" t="s">
        <v>3051</v>
      </c>
    </row>
    <row r="591" spans="1:47" x14ac:dyDescent="0.3">
      <c r="A591" s="1" t="s">
        <v>1667</v>
      </c>
      <c r="B591" s="1" t="s">
        <v>1666</v>
      </c>
      <c r="C591" s="1" t="s">
        <v>42</v>
      </c>
      <c r="D591" s="1" t="s">
        <v>43</v>
      </c>
      <c r="E591" s="1" t="s">
        <v>167</v>
      </c>
      <c r="F591" t="s">
        <v>3127</v>
      </c>
      <c r="G591" t="s">
        <v>3242</v>
      </c>
      <c r="H591" t="s">
        <v>52</v>
      </c>
      <c r="I591" t="s">
        <v>52</v>
      </c>
      <c r="J591" t="s">
        <v>52</v>
      </c>
      <c r="K591" t="s">
        <v>52</v>
      </c>
      <c r="L591" s="2">
        <v>1</v>
      </c>
      <c r="M591" s="2">
        <v>1</v>
      </c>
      <c r="N591" s="2">
        <v>1</v>
      </c>
      <c r="O591" s="2">
        <v>0.5</v>
      </c>
      <c r="P591" s="2">
        <v>0.5</v>
      </c>
      <c r="Q591" s="2">
        <v>0.5</v>
      </c>
      <c r="R591" s="2">
        <v>2</v>
      </c>
      <c r="S591" s="2">
        <v>2</v>
      </c>
      <c r="T591" s="2">
        <v>1</v>
      </c>
      <c r="U591" s="2">
        <v>0.25</v>
      </c>
      <c r="V591" s="2">
        <v>1</v>
      </c>
      <c r="W591" s="2">
        <v>2</v>
      </c>
      <c r="X591" s="2">
        <v>1</v>
      </c>
      <c r="Y591" s="2">
        <v>1</v>
      </c>
      <c r="Z591" s="2">
        <v>2</v>
      </c>
      <c r="AA591" s="2">
        <v>1</v>
      </c>
      <c r="AB591" s="2">
        <v>1</v>
      </c>
      <c r="AC591" s="2">
        <v>0.5</v>
      </c>
      <c r="AD591" s="2">
        <v>55</v>
      </c>
      <c r="AE591" s="2">
        <v>5120</v>
      </c>
      <c r="AF591" s="2">
        <v>70</v>
      </c>
      <c r="AG591" s="2">
        <v>294</v>
      </c>
      <c r="AH591" s="2">
        <v>190</v>
      </c>
      <c r="AI591" s="2">
        <v>45</v>
      </c>
      <c r="AJ591" s="1">
        <v>1000000</v>
      </c>
      <c r="AK591" s="1">
        <v>0.2</v>
      </c>
      <c r="AL591" s="1">
        <v>69</v>
      </c>
      <c r="AM591" s="2">
        <v>50</v>
      </c>
      <c r="AN591" s="2">
        <f t="shared" si="9"/>
        <v>50</v>
      </c>
      <c r="AO591" s="3">
        <v>590</v>
      </c>
      <c r="AP591" s="3">
        <v>55</v>
      </c>
      <c r="AQ591" s="3">
        <v>55</v>
      </c>
      <c r="AR591" s="3">
        <v>15</v>
      </c>
      <c r="AS591" s="1">
        <v>1</v>
      </c>
      <c r="AT591" s="3">
        <v>5</v>
      </c>
      <c r="AU591" s="3" t="s">
        <v>3051</v>
      </c>
    </row>
    <row r="592" spans="1:47" x14ac:dyDescent="0.3">
      <c r="A592" s="1" t="s">
        <v>1669</v>
      </c>
      <c r="B592" s="1" t="s">
        <v>1668</v>
      </c>
      <c r="C592" s="1" t="s">
        <v>42</v>
      </c>
      <c r="D592" s="1" t="s">
        <v>43</v>
      </c>
      <c r="E592" s="1" t="s">
        <v>167</v>
      </c>
      <c r="F592" t="s">
        <v>3127</v>
      </c>
      <c r="G592" t="s">
        <v>3242</v>
      </c>
      <c r="H592" t="s">
        <v>52</v>
      </c>
      <c r="I592" t="s">
        <v>52</v>
      </c>
      <c r="J592" t="s">
        <v>52</v>
      </c>
      <c r="K592" t="s">
        <v>52</v>
      </c>
      <c r="L592" s="2">
        <v>1</v>
      </c>
      <c r="M592" s="2">
        <v>1</v>
      </c>
      <c r="N592" s="2">
        <v>1</v>
      </c>
      <c r="O592" s="2">
        <v>0.5</v>
      </c>
      <c r="P592" s="2">
        <v>0.5</v>
      </c>
      <c r="Q592" s="2">
        <v>0.5</v>
      </c>
      <c r="R592" s="2">
        <v>2</v>
      </c>
      <c r="S592" s="2">
        <v>2</v>
      </c>
      <c r="T592" s="2">
        <v>1</v>
      </c>
      <c r="U592" s="2">
        <v>0.25</v>
      </c>
      <c r="V592" s="2">
        <v>1</v>
      </c>
      <c r="W592" s="2">
        <v>2</v>
      </c>
      <c r="X592" s="2">
        <v>1</v>
      </c>
      <c r="Y592" s="2">
        <v>1</v>
      </c>
      <c r="Z592" s="2">
        <v>2</v>
      </c>
      <c r="AA592" s="2">
        <v>1</v>
      </c>
      <c r="AB592" s="2">
        <v>1</v>
      </c>
      <c r="AC592" s="2">
        <v>0.5</v>
      </c>
      <c r="AD592" s="2">
        <v>85</v>
      </c>
      <c r="AE592" s="2">
        <v>5120</v>
      </c>
      <c r="AF592" s="2">
        <v>70</v>
      </c>
      <c r="AG592" s="2">
        <v>464</v>
      </c>
      <c r="AH592" s="2">
        <v>75</v>
      </c>
      <c r="AI592" s="2">
        <v>70</v>
      </c>
      <c r="AJ592" s="1">
        <v>1000000</v>
      </c>
      <c r="AK592" s="1">
        <v>0.6</v>
      </c>
      <c r="AL592" s="1">
        <v>114</v>
      </c>
      <c r="AM592" s="2">
        <v>50</v>
      </c>
      <c r="AN592" s="2">
        <f t="shared" si="9"/>
        <v>50</v>
      </c>
      <c r="AO592" s="3">
        <v>591</v>
      </c>
      <c r="AP592" s="3">
        <v>85</v>
      </c>
      <c r="AQ592" s="3">
        <v>80</v>
      </c>
      <c r="AR592" s="3">
        <v>30</v>
      </c>
      <c r="AS592" s="1">
        <v>10.5</v>
      </c>
      <c r="AT592" s="3">
        <v>5</v>
      </c>
      <c r="AU592" s="3" t="s">
        <v>3051</v>
      </c>
    </row>
    <row r="593" spans="1:47" x14ac:dyDescent="0.3">
      <c r="A593" s="1" t="s">
        <v>1672</v>
      </c>
      <c r="B593" s="1" t="s">
        <v>1671</v>
      </c>
      <c r="C593" s="1" t="s">
        <v>62</v>
      </c>
      <c r="D593" s="1" t="s">
        <v>293</v>
      </c>
      <c r="E593" s="1" t="s">
        <v>1670</v>
      </c>
      <c r="F593" t="s">
        <v>3092</v>
      </c>
      <c r="G593" t="s">
        <v>3056</v>
      </c>
      <c r="H593" t="s">
        <v>3130</v>
      </c>
      <c r="I593" t="s">
        <v>52</v>
      </c>
      <c r="J593" t="s">
        <v>52</v>
      </c>
      <c r="K593" t="s">
        <v>52</v>
      </c>
      <c r="L593" s="2">
        <v>0.5</v>
      </c>
      <c r="M593" s="2">
        <v>2</v>
      </c>
      <c r="N593" s="2">
        <v>1</v>
      </c>
      <c r="O593" s="2">
        <v>2</v>
      </c>
      <c r="P593" s="2">
        <v>1</v>
      </c>
      <c r="Q593" s="2">
        <v>0</v>
      </c>
      <c r="R593" s="2">
        <v>0.5</v>
      </c>
      <c r="S593" s="2">
        <v>1</v>
      </c>
      <c r="T593" s="2">
        <v>2</v>
      </c>
      <c r="U593" s="2">
        <v>2</v>
      </c>
      <c r="V593" s="2">
        <v>1</v>
      </c>
      <c r="W593" s="2">
        <v>0.5</v>
      </c>
      <c r="X593" s="2">
        <v>0</v>
      </c>
      <c r="Y593" s="2">
        <v>0.5</v>
      </c>
      <c r="Z593" s="2">
        <v>1</v>
      </c>
      <c r="AA593" s="2">
        <v>1</v>
      </c>
      <c r="AB593" s="2">
        <v>0.5</v>
      </c>
      <c r="AC593" s="2">
        <v>0.5</v>
      </c>
      <c r="AD593" s="2">
        <v>40</v>
      </c>
      <c r="AE593" s="2">
        <v>5120</v>
      </c>
      <c r="AF593" s="2">
        <v>70</v>
      </c>
      <c r="AG593" s="2">
        <v>335</v>
      </c>
      <c r="AH593" s="2">
        <v>190</v>
      </c>
      <c r="AI593" s="2">
        <v>50</v>
      </c>
      <c r="AJ593" s="1">
        <v>1000000</v>
      </c>
      <c r="AK593" s="1">
        <v>1.2</v>
      </c>
      <c r="AL593" s="1">
        <v>55</v>
      </c>
      <c r="AM593" s="2">
        <v>50</v>
      </c>
      <c r="AN593" s="2">
        <f t="shared" si="9"/>
        <v>50</v>
      </c>
      <c r="AO593" s="3">
        <v>592</v>
      </c>
      <c r="AP593" s="3">
        <v>65</v>
      </c>
      <c r="AQ593" s="3">
        <v>85</v>
      </c>
      <c r="AR593" s="3">
        <v>40</v>
      </c>
      <c r="AS593" s="1">
        <v>33</v>
      </c>
      <c r="AT593" s="3">
        <v>5</v>
      </c>
      <c r="AU593" s="3" t="s">
        <v>3051</v>
      </c>
    </row>
    <row r="594" spans="1:47" x14ac:dyDescent="0.3">
      <c r="A594" s="1" t="s">
        <v>1674</v>
      </c>
      <c r="B594" s="1" t="s">
        <v>1673</v>
      </c>
      <c r="C594" s="1" t="s">
        <v>62</v>
      </c>
      <c r="D594" s="1" t="s">
        <v>293</v>
      </c>
      <c r="E594" s="1" t="s">
        <v>1670</v>
      </c>
      <c r="F594" t="s">
        <v>3092</v>
      </c>
      <c r="G594" t="s">
        <v>3056</v>
      </c>
      <c r="H594" t="s">
        <v>3130</v>
      </c>
      <c r="I594" t="s">
        <v>52</v>
      </c>
      <c r="J594" t="s">
        <v>52</v>
      </c>
      <c r="K594" t="s">
        <v>52</v>
      </c>
      <c r="L594" s="2">
        <v>0.5</v>
      </c>
      <c r="M594" s="2">
        <v>2</v>
      </c>
      <c r="N594" s="2">
        <v>1</v>
      </c>
      <c r="O594" s="2">
        <v>2</v>
      </c>
      <c r="P594" s="2">
        <v>1</v>
      </c>
      <c r="Q594" s="2">
        <v>0</v>
      </c>
      <c r="R594" s="2">
        <v>0.5</v>
      </c>
      <c r="S594" s="2">
        <v>1</v>
      </c>
      <c r="T594" s="2">
        <v>2</v>
      </c>
      <c r="U594" s="2">
        <v>2</v>
      </c>
      <c r="V594" s="2">
        <v>1</v>
      </c>
      <c r="W594" s="2">
        <v>0.5</v>
      </c>
      <c r="X594" s="2">
        <v>0</v>
      </c>
      <c r="Y594" s="2">
        <v>0.5</v>
      </c>
      <c r="Z594" s="2">
        <v>1</v>
      </c>
      <c r="AA594" s="2">
        <v>1</v>
      </c>
      <c r="AB594" s="2">
        <v>0.5</v>
      </c>
      <c r="AC594" s="2">
        <v>0.5</v>
      </c>
      <c r="AD594" s="2">
        <v>60</v>
      </c>
      <c r="AE594" s="2">
        <v>5120</v>
      </c>
      <c r="AF594" s="2">
        <v>70</v>
      </c>
      <c r="AG594" s="2">
        <v>480</v>
      </c>
      <c r="AH594" s="2">
        <v>60</v>
      </c>
      <c r="AI594" s="2">
        <v>70</v>
      </c>
      <c r="AJ594" s="1">
        <v>1000000</v>
      </c>
      <c r="AK594" s="1">
        <v>2.2000000000000002</v>
      </c>
      <c r="AL594" s="1">
        <v>100</v>
      </c>
      <c r="AM594" s="2">
        <v>50</v>
      </c>
      <c r="AN594" s="2">
        <f t="shared" si="9"/>
        <v>50</v>
      </c>
      <c r="AO594" s="3">
        <v>593</v>
      </c>
      <c r="AP594" s="3">
        <v>85</v>
      </c>
      <c r="AQ594" s="3">
        <v>105</v>
      </c>
      <c r="AR594" s="3">
        <v>60</v>
      </c>
      <c r="AS594" s="1">
        <v>135</v>
      </c>
      <c r="AT594" s="3">
        <v>5</v>
      </c>
      <c r="AU594" s="3" t="s">
        <v>3051</v>
      </c>
    </row>
    <row r="595" spans="1:47" x14ac:dyDescent="0.3">
      <c r="A595" s="1" t="s">
        <v>1677</v>
      </c>
      <c r="B595" s="1" t="s">
        <v>1676</v>
      </c>
      <c r="C595" s="1" t="s">
        <v>62</v>
      </c>
      <c r="D595" s="1" t="s">
        <v>52</v>
      </c>
      <c r="E595" s="1" t="s">
        <v>1675</v>
      </c>
      <c r="F595" t="s">
        <v>3181</v>
      </c>
      <c r="G595" t="s">
        <v>3071</v>
      </c>
      <c r="H595" t="s">
        <v>3242</v>
      </c>
      <c r="I595" t="s">
        <v>52</v>
      </c>
      <c r="J595" t="s">
        <v>52</v>
      </c>
      <c r="K595" t="s">
        <v>52</v>
      </c>
      <c r="L595" s="2">
        <v>1</v>
      </c>
      <c r="M595" s="2">
        <v>1</v>
      </c>
      <c r="N595" s="2">
        <v>1</v>
      </c>
      <c r="O595" s="2">
        <v>2</v>
      </c>
      <c r="P595" s="2">
        <v>1</v>
      </c>
      <c r="Q595" s="2">
        <v>1</v>
      </c>
      <c r="R595" s="2">
        <v>0.5</v>
      </c>
      <c r="S595" s="2">
        <v>1</v>
      </c>
      <c r="T595" s="2">
        <v>1</v>
      </c>
      <c r="U595" s="2">
        <v>2</v>
      </c>
      <c r="V595" s="2">
        <v>1</v>
      </c>
      <c r="W595" s="2">
        <v>0.5</v>
      </c>
      <c r="X595" s="2">
        <v>1</v>
      </c>
      <c r="Y595" s="2">
        <v>1</v>
      </c>
      <c r="Z595" s="2">
        <v>1</v>
      </c>
      <c r="AA595" s="2">
        <v>1</v>
      </c>
      <c r="AB595" s="2">
        <v>0.5</v>
      </c>
      <c r="AC595" s="2">
        <v>0.5</v>
      </c>
      <c r="AD595" s="2">
        <v>75</v>
      </c>
      <c r="AE595" s="2">
        <v>10240</v>
      </c>
      <c r="AF595" s="2">
        <v>70</v>
      </c>
      <c r="AG595" s="2">
        <v>470</v>
      </c>
      <c r="AH595" s="2">
        <v>75</v>
      </c>
      <c r="AI595" s="2">
        <v>80</v>
      </c>
      <c r="AJ595" s="1">
        <v>800000</v>
      </c>
      <c r="AK595" s="1">
        <v>1.2</v>
      </c>
      <c r="AL595" s="1">
        <v>165</v>
      </c>
      <c r="AM595" s="2">
        <v>50</v>
      </c>
      <c r="AN595" s="2">
        <f t="shared" si="9"/>
        <v>50</v>
      </c>
      <c r="AO595" s="3">
        <v>594</v>
      </c>
      <c r="AP595" s="3">
        <v>40</v>
      </c>
      <c r="AQ595" s="3">
        <v>45</v>
      </c>
      <c r="AR595" s="3">
        <v>65</v>
      </c>
      <c r="AS595" s="1">
        <v>31.6</v>
      </c>
      <c r="AT595" s="3">
        <v>5</v>
      </c>
      <c r="AU595" s="3" t="s">
        <v>3051</v>
      </c>
    </row>
    <row r="596" spans="1:47" x14ac:dyDescent="0.3">
      <c r="A596" s="1" t="s">
        <v>1680</v>
      </c>
      <c r="B596" s="1" t="s">
        <v>1679</v>
      </c>
      <c r="C596" s="1" t="s">
        <v>72</v>
      </c>
      <c r="D596" s="1" t="s">
        <v>115</v>
      </c>
      <c r="E596" s="1" t="s">
        <v>1678</v>
      </c>
      <c r="F596" t="s">
        <v>3117</v>
      </c>
      <c r="G596" t="s">
        <v>3228</v>
      </c>
      <c r="H596" t="s">
        <v>3093</v>
      </c>
      <c r="I596" t="s">
        <v>52</v>
      </c>
      <c r="J596" t="s">
        <v>52</v>
      </c>
      <c r="K596" t="s">
        <v>52</v>
      </c>
      <c r="L596" s="2">
        <v>1</v>
      </c>
      <c r="M596" s="2">
        <v>1</v>
      </c>
      <c r="N596" s="2">
        <v>1</v>
      </c>
      <c r="O596" s="2">
        <v>0.5</v>
      </c>
      <c r="P596" s="2">
        <v>1</v>
      </c>
      <c r="Q596" s="2">
        <v>0.5</v>
      </c>
      <c r="R596" s="2">
        <v>2</v>
      </c>
      <c r="S596" s="2">
        <v>1</v>
      </c>
      <c r="T596" s="2">
        <v>1</v>
      </c>
      <c r="U596" s="2">
        <v>0.5</v>
      </c>
      <c r="V596" s="2">
        <v>1</v>
      </c>
      <c r="W596" s="2">
        <v>1</v>
      </c>
      <c r="X596" s="2">
        <v>1</v>
      </c>
      <c r="Y596" s="2">
        <v>1</v>
      </c>
      <c r="Z596" s="2">
        <v>1</v>
      </c>
      <c r="AA596" s="2">
        <v>2</v>
      </c>
      <c r="AB596" s="2">
        <v>0.5</v>
      </c>
      <c r="AC596" s="2">
        <v>1</v>
      </c>
      <c r="AD596" s="2">
        <v>47</v>
      </c>
      <c r="AE596" s="2">
        <v>5120</v>
      </c>
      <c r="AF596" s="2">
        <v>70</v>
      </c>
      <c r="AG596" s="2">
        <v>319</v>
      </c>
      <c r="AH596" s="2">
        <v>190</v>
      </c>
      <c r="AI596" s="2">
        <v>50</v>
      </c>
      <c r="AJ596" s="1">
        <v>1000000</v>
      </c>
      <c r="AK596" s="1">
        <v>0.1</v>
      </c>
      <c r="AL596" s="1">
        <v>50</v>
      </c>
      <c r="AM596" s="2">
        <v>50</v>
      </c>
      <c r="AN596" s="2">
        <f t="shared" si="9"/>
        <v>50</v>
      </c>
      <c r="AO596" s="3">
        <v>595</v>
      </c>
      <c r="AP596" s="3">
        <v>57</v>
      </c>
      <c r="AQ596" s="3">
        <v>50</v>
      </c>
      <c r="AR596" s="3">
        <v>65</v>
      </c>
      <c r="AS596" s="1">
        <v>0.6</v>
      </c>
      <c r="AT596" s="3">
        <v>5</v>
      </c>
      <c r="AU596" s="3" t="s">
        <v>3051</v>
      </c>
    </row>
    <row r="597" spans="1:47" x14ac:dyDescent="0.3">
      <c r="A597" s="1" t="s">
        <v>1683</v>
      </c>
      <c r="B597" s="1" t="s">
        <v>1682</v>
      </c>
      <c r="C597" s="1" t="s">
        <v>72</v>
      </c>
      <c r="D597" s="1" t="s">
        <v>115</v>
      </c>
      <c r="E597" s="1" t="s">
        <v>1681</v>
      </c>
      <c r="F597" t="s">
        <v>3117</v>
      </c>
      <c r="G597" t="s">
        <v>3228</v>
      </c>
      <c r="H597" t="s">
        <v>3093</v>
      </c>
      <c r="I597" t="s">
        <v>52</v>
      </c>
      <c r="J597" t="s">
        <v>52</v>
      </c>
      <c r="K597" t="s">
        <v>52</v>
      </c>
      <c r="L597" s="2">
        <v>1</v>
      </c>
      <c r="M597" s="2">
        <v>1</v>
      </c>
      <c r="N597" s="2">
        <v>1</v>
      </c>
      <c r="O597" s="2">
        <v>0.5</v>
      </c>
      <c r="P597" s="2">
        <v>1</v>
      </c>
      <c r="Q597" s="2">
        <v>0.5</v>
      </c>
      <c r="R597" s="2">
        <v>2</v>
      </c>
      <c r="S597" s="2">
        <v>1</v>
      </c>
      <c r="T597" s="2">
        <v>1</v>
      </c>
      <c r="U597" s="2">
        <v>0.5</v>
      </c>
      <c r="V597" s="2">
        <v>1</v>
      </c>
      <c r="W597" s="2">
        <v>1</v>
      </c>
      <c r="X597" s="2">
        <v>1</v>
      </c>
      <c r="Y597" s="2">
        <v>1</v>
      </c>
      <c r="Z597" s="2">
        <v>1</v>
      </c>
      <c r="AA597" s="2">
        <v>2</v>
      </c>
      <c r="AB597" s="2">
        <v>0.5</v>
      </c>
      <c r="AC597" s="2">
        <v>1</v>
      </c>
      <c r="AD597" s="2">
        <v>77</v>
      </c>
      <c r="AE597" s="2">
        <v>5120</v>
      </c>
      <c r="AF597" s="2">
        <v>70</v>
      </c>
      <c r="AG597" s="2">
        <v>472</v>
      </c>
      <c r="AH597" s="2">
        <v>75</v>
      </c>
      <c r="AI597" s="2">
        <v>60</v>
      </c>
      <c r="AJ597" s="1">
        <v>1000000</v>
      </c>
      <c r="AK597" s="1">
        <v>0.8</v>
      </c>
      <c r="AL597" s="1">
        <v>70</v>
      </c>
      <c r="AM597" s="2">
        <v>50</v>
      </c>
      <c r="AN597" s="2">
        <f t="shared" si="9"/>
        <v>50</v>
      </c>
      <c r="AO597" s="3">
        <v>596</v>
      </c>
      <c r="AP597" s="3">
        <v>97</v>
      </c>
      <c r="AQ597" s="3">
        <v>60</v>
      </c>
      <c r="AR597" s="3">
        <v>108</v>
      </c>
      <c r="AS597" s="1">
        <v>14.3</v>
      </c>
      <c r="AT597" s="3">
        <v>5</v>
      </c>
      <c r="AU597" s="3" t="s">
        <v>3051</v>
      </c>
    </row>
    <row r="598" spans="1:47" x14ac:dyDescent="0.3">
      <c r="A598" s="1" t="s">
        <v>1686</v>
      </c>
      <c r="B598" s="1" t="s">
        <v>1685</v>
      </c>
      <c r="C598" s="1" t="s">
        <v>42</v>
      </c>
      <c r="D598" s="1" t="s">
        <v>263</v>
      </c>
      <c r="E598" s="1" t="s">
        <v>1684</v>
      </c>
      <c r="F598" t="s">
        <v>3078</v>
      </c>
      <c r="G598" t="s">
        <v>52</v>
      </c>
      <c r="H598" t="s">
        <v>52</v>
      </c>
      <c r="I598" t="s">
        <v>52</v>
      </c>
      <c r="J598" t="s">
        <v>52</v>
      </c>
      <c r="K598" t="s">
        <v>52</v>
      </c>
      <c r="L598" s="2">
        <v>1</v>
      </c>
      <c r="M598" s="2">
        <v>1</v>
      </c>
      <c r="N598" s="2">
        <v>0.5</v>
      </c>
      <c r="O598" s="2">
        <v>0.5</v>
      </c>
      <c r="P598" s="2">
        <v>0.5</v>
      </c>
      <c r="Q598" s="2">
        <v>2</v>
      </c>
      <c r="R598" s="2">
        <v>4</v>
      </c>
      <c r="S598" s="2">
        <v>1</v>
      </c>
      <c r="T598" s="2">
        <v>1</v>
      </c>
      <c r="U598" s="2">
        <v>0.25</v>
      </c>
      <c r="V598" s="2">
        <v>1</v>
      </c>
      <c r="W598" s="2">
        <v>1</v>
      </c>
      <c r="X598" s="2">
        <v>0.5</v>
      </c>
      <c r="Y598" s="2">
        <v>0</v>
      </c>
      <c r="Z598" s="2">
        <v>0.5</v>
      </c>
      <c r="AA598" s="2">
        <v>0.5</v>
      </c>
      <c r="AB598" s="2">
        <v>0.5</v>
      </c>
      <c r="AC598" s="2">
        <v>0.5</v>
      </c>
      <c r="AD598" s="2">
        <v>50</v>
      </c>
      <c r="AE598" s="2">
        <v>5120</v>
      </c>
      <c r="AF598" s="2">
        <v>70</v>
      </c>
      <c r="AG598" s="2">
        <v>305</v>
      </c>
      <c r="AH598" s="2">
        <v>255</v>
      </c>
      <c r="AI598" s="2">
        <v>91</v>
      </c>
      <c r="AJ598" s="1">
        <v>1000000</v>
      </c>
      <c r="AK598" s="1">
        <v>0.6</v>
      </c>
      <c r="AL598" s="1">
        <v>44</v>
      </c>
      <c r="AM598" s="2">
        <v>50</v>
      </c>
      <c r="AN598" s="2">
        <f t="shared" si="9"/>
        <v>50</v>
      </c>
      <c r="AO598" s="3">
        <v>597</v>
      </c>
      <c r="AP598" s="3">
        <v>24</v>
      </c>
      <c r="AQ598" s="3">
        <v>86</v>
      </c>
      <c r="AR598" s="3">
        <v>10</v>
      </c>
      <c r="AS598" s="1">
        <v>18.8</v>
      </c>
      <c r="AT598" s="3">
        <v>5</v>
      </c>
      <c r="AU598" s="3" t="s">
        <v>3051</v>
      </c>
    </row>
    <row r="599" spans="1:47" x14ac:dyDescent="0.3">
      <c r="A599" s="1" t="s">
        <v>1689</v>
      </c>
      <c r="B599" s="1" t="s">
        <v>1688</v>
      </c>
      <c r="C599" s="1" t="s">
        <v>42</v>
      </c>
      <c r="D599" s="1" t="s">
        <v>263</v>
      </c>
      <c r="E599" s="1" t="s">
        <v>1687</v>
      </c>
      <c r="F599" t="s">
        <v>3078</v>
      </c>
      <c r="G599" t="s">
        <v>3166</v>
      </c>
      <c r="H599" t="s">
        <v>52</v>
      </c>
      <c r="I599" t="s">
        <v>52</v>
      </c>
      <c r="J599" t="s">
        <v>52</v>
      </c>
      <c r="K599" t="s">
        <v>52</v>
      </c>
      <c r="L599" s="2">
        <v>1</v>
      </c>
      <c r="M599" s="2">
        <v>1</v>
      </c>
      <c r="N599" s="2">
        <v>0.5</v>
      </c>
      <c r="O599" s="2">
        <v>0.5</v>
      </c>
      <c r="P599" s="2">
        <v>0.5</v>
      </c>
      <c r="Q599" s="2">
        <v>2</v>
      </c>
      <c r="R599" s="2">
        <v>4</v>
      </c>
      <c r="S599" s="2">
        <v>1</v>
      </c>
      <c r="T599" s="2">
        <v>1</v>
      </c>
      <c r="U599" s="2">
        <v>0.25</v>
      </c>
      <c r="V599" s="2">
        <v>1</v>
      </c>
      <c r="W599" s="2">
        <v>1</v>
      </c>
      <c r="X599" s="2">
        <v>0.5</v>
      </c>
      <c r="Y599" s="2">
        <v>0</v>
      </c>
      <c r="Z599" s="2">
        <v>0.5</v>
      </c>
      <c r="AA599" s="2">
        <v>0.5</v>
      </c>
      <c r="AB599" s="2">
        <v>0.5</v>
      </c>
      <c r="AC599" s="2">
        <v>0.5</v>
      </c>
      <c r="AD599" s="2">
        <v>94</v>
      </c>
      <c r="AE599" s="2">
        <v>5120</v>
      </c>
      <c r="AF599" s="2">
        <v>70</v>
      </c>
      <c r="AG599" s="2">
        <v>489</v>
      </c>
      <c r="AH599" s="2">
        <v>90</v>
      </c>
      <c r="AI599" s="2">
        <v>131</v>
      </c>
      <c r="AJ599" s="1">
        <v>1000000</v>
      </c>
      <c r="AK599" s="1">
        <v>1</v>
      </c>
      <c r="AL599" s="1">
        <v>74</v>
      </c>
      <c r="AM599" s="2">
        <v>50</v>
      </c>
      <c r="AN599" s="2">
        <f t="shared" si="9"/>
        <v>50</v>
      </c>
      <c r="AO599" s="3">
        <v>598</v>
      </c>
      <c r="AP599" s="3">
        <v>54</v>
      </c>
      <c r="AQ599" s="3">
        <v>116</v>
      </c>
      <c r="AR599" s="3">
        <v>20</v>
      </c>
      <c r="AS599" s="1">
        <v>110</v>
      </c>
      <c r="AT599" s="3">
        <v>5</v>
      </c>
      <c r="AU599" s="3" t="s">
        <v>3051</v>
      </c>
    </row>
    <row r="600" spans="1:47" x14ac:dyDescent="0.3">
      <c r="A600" s="1" t="s">
        <v>1692</v>
      </c>
      <c r="B600" s="1" t="s">
        <v>1691</v>
      </c>
      <c r="C600" s="1" t="s">
        <v>263</v>
      </c>
      <c r="D600" s="1" t="s">
        <v>52</v>
      </c>
      <c r="E600" s="1" t="s">
        <v>1690</v>
      </c>
      <c r="F600" t="s">
        <v>3155</v>
      </c>
      <c r="G600" t="s">
        <v>3156</v>
      </c>
      <c r="H600" t="s">
        <v>3090</v>
      </c>
      <c r="I600" t="s">
        <v>52</v>
      </c>
      <c r="J600" t="s">
        <v>52</v>
      </c>
      <c r="K600" t="s">
        <v>52</v>
      </c>
      <c r="L600" s="2">
        <v>0.5</v>
      </c>
      <c r="M600" s="2">
        <v>1</v>
      </c>
      <c r="N600" s="2">
        <v>0.5</v>
      </c>
      <c r="O600" s="2">
        <v>1</v>
      </c>
      <c r="P600" s="2">
        <v>0.5</v>
      </c>
      <c r="Q600" s="2">
        <v>2</v>
      </c>
      <c r="R600" s="2">
        <v>2</v>
      </c>
      <c r="S600" s="2">
        <v>0.5</v>
      </c>
      <c r="T600" s="2">
        <v>1</v>
      </c>
      <c r="U600" s="2">
        <v>0.5</v>
      </c>
      <c r="V600" s="2">
        <v>2</v>
      </c>
      <c r="W600" s="2">
        <v>0.5</v>
      </c>
      <c r="X600" s="2">
        <v>0.5</v>
      </c>
      <c r="Y600" s="2">
        <v>0</v>
      </c>
      <c r="Z600" s="2">
        <v>0.5</v>
      </c>
      <c r="AA600" s="2">
        <v>0.5</v>
      </c>
      <c r="AB600" s="2">
        <v>0.5</v>
      </c>
      <c r="AC600" s="2">
        <v>1</v>
      </c>
      <c r="AD600" s="2">
        <v>55</v>
      </c>
      <c r="AE600" s="2">
        <v>5120</v>
      </c>
      <c r="AF600" s="2">
        <v>70</v>
      </c>
      <c r="AG600" s="2">
        <v>300</v>
      </c>
      <c r="AH600" s="2">
        <v>130</v>
      </c>
      <c r="AI600" s="2">
        <v>70</v>
      </c>
      <c r="AJ600" s="1">
        <v>1059860</v>
      </c>
      <c r="AK600" s="1">
        <v>0.3</v>
      </c>
      <c r="AL600" s="1">
        <v>40</v>
      </c>
      <c r="AM600" s="2" t="s">
        <v>52</v>
      </c>
      <c r="AN600" s="2" t="str">
        <f t="shared" si="9"/>
        <v/>
      </c>
      <c r="AO600" s="3">
        <v>599</v>
      </c>
      <c r="AP600" s="3">
        <v>45</v>
      </c>
      <c r="AQ600" s="3">
        <v>60</v>
      </c>
      <c r="AR600" s="3">
        <v>30</v>
      </c>
      <c r="AS600" s="1">
        <v>21</v>
      </c>
      <c r="AT600" s="3">
        <v>5</v>
      </c>
      <c r="AU600" s="3" t="s">
        <v>3051</v>
      </c>
    </row>
    <row r="601" spans="1:47" x14ac:dyDescent="0.3">
      <c r="A601" s="1" t="s">
        <v>1694</v>
      </c>
      <c r="B601" s="1" t="s">
        <v>1693</v>
      </c>
      <c r="C601" s="1" t="s">
        <v>263</v>
      </c>
      <c r="D601" s="1" t="s">
        <v>52</v>
      </c>
      <c r="E601" s="1" t="s">
        <v>1690</v>
      </c>
      <c r="F601" t="s">
        <v>3155</v>
      </c>
      <c r="G601" t="s">
        <v>3156</v>
      </c>
      <c r="H601" t="s">
        <v>3090</v>
      </c>
      <c r="I601" t="s">
        <v>52</v>
      </c>
      <c r="J601" t="s">
        <v>52</v>
      </c>
      <c r="K601" t="s">
        <v>52</v>
      </c>
      <c r="L601" s="2">
        <v>0.5</v>
      </c>
      <c r="M601" s="2">
        <v>1</v>
      </c>
      <c r="N601" s="2">
        <v>0.5</v>
      </c>
      <c r="O601" s="2">
        <v>1</v>
      </c>
      <c r="P601" s="2">
        <v>0.5</v>
      </c>
      <c r="Q601" s="2">
        <v>2</v>
      </c>
      <c r="R601" s="2">
        <v>2</v>
      </c>
      <c r="S601" s="2">
        <v>0.5</v>
      </c>
      <c r="T601" s="2">
        <v>1</v>
      </c>
      <c r="U601" s="2">
        <v>0.5</v>
      </c>
      <c r="V601" s="2">
        <v>2</v>
      </c>
      <c r="W601" s="2">
        <v>0.5</v>
      </c>
      <c r="X601" s="2">
        <v>0.5</v>
      </c>
      <c r="Y601" s="2">
        <v>0</v>
      </c>
      <c r="Z601" s="2">
        <v>0.5</v>
      </c>
      <c r="AA601" s="2">
        <v>0.5</v>
      </c>
      <c r="AB601" s="2">
        <v>0.5</v>
      </c>
      <c r="AC601" s="2">
        <v>1</v>
      </c>
      <c r="AD601" s="2">
        <v>80</v>
      </c>
      <c r="AE601" s="2">
        <v>5120</v>
      </c>
      <c r="AF601" s="2">
        <v>70</v>
      </c>
      <c r="AG601" s="2">
        <v>440</v>
      </c>
      <c r="AH601" s="2">
        <v>60</v>
      </c>
      <c r="AI601" s="2">
        <v>95</v>
      </c>
      <c r="AJ601" s="1">
        <v>1059860</v>
      </c>
      <c r="AK601" s="1">
        <v>0.6</v>
      </c>
      <c r="AL601" s="1">
        <v>60</v>
      </c>
      <c r="AM601" s="2" t="s">
        <v>52</v>
      </c>
      <c r="AN601" s="2" t="str">
        <f t="shared" si="9"/>
        <v/>
      </c>
      <c r="AO601" s="3">
        <v>600</v>
      </c>
      <c r="AP601" s="3">
        <v>70</v>
      </c>
      <c r="AQ601" s="3">
        <v>85</v>
      </c>
      <c r="AR601" s="3">
        <v>50</v>
      </c>
      <c r="AS601" s="1">
        <v>51</v>
      </c>
      <c r="AT601" s="3">
        <v>5</v>
      </c>
      <c r="AU601" s="3" t="s">
        <v>3051</v>
      </c>
    </row>
    <row r="602" spans="1:47" x14ac:dyDescent="0.3">
      <c r="A602" s="1" t="s">
        <v>1696</v>
      </c>
      <c r="B602" s="1" t="s">
        <v>1695</v>
      </c>
      <c r="C602" s="1" t="s">
        <v>263</v>
      </c>
      <c r="D602" s="1" t="s">
        <v>52</v>
      </c>
      <c r="E602" s="1" t="s">
        <v>1690</v>
      </c>
      <c r="F602" t="s">
        <v>3155</v>
      </c>
      <c r="G602" t="s">
        <v>3156</v>
      </c>
      <c r="H602" t="s">
        <v>3090</v>
      </c>
      <c r="I602" t="s">
        <v>52</v>
      </c>
      <c r="J602" t="s">
        <v>52</v>
      </c>
      <c r="K602" t="s">
        <v>52</v>
      </c>
      <c r="L602" s="2">
        <v>0.5</v>
      </c>
      <c r="M602" s="2">
        <v>1</v>
      </c>
      <c r="N602" s="2">
        <v>0.5</v>
      </c>
      <c r="O602" s="2">
        <v>1</v>
      </c>
      <c r="P602" s="2">
        <v>0.5</v>
      </c>
      <c r="Q602" s="2">
        <v>2</v>
      </c>
      <c r="R602" s="2">
        <v>2</v>
      </c>
      <c r="S602" s="2">
        <v>0.5</v>
      </c>
      <c r="T602" s="2">
        <v>1</v>
      </c>
      <c r="U602" s="2">
        <v>0.5</v>
      </c>
      <c r="V602" s="2">
        <v>2</v>
      </c>
      <c r="W602" s="2">
        <v>0.5</v>
      </c>
      <c r="X602" s="2">
        <v>0.5</v>
      </c>
      <c r="Y602" s="2">
        <v>0</v>
      </c>
      <c r="Z602" s="2">
        <v>0.5</v>
      </c>
      <c r="AA602" s="2">
        <v>0.5</v>
      </c>
      <c r="AB602" s="2">
        <v>0.5</v>
      </c>
      <c r="AC602" s="2">
        <v>1</v>
      </c>
      <c r="AD602" s="2">
        <v>100</v>
      </c>
      <c r="AE602" s="2">
        <v>5120</v>
      </c>
      <c r="AF602" s="2">
        <v>70</v>
      </c>
      <c r="AG602" s="2">
        <v>520</v>
      </c>
      <c r="AH602" s="2">
        <v>30</v>
      </c>
      <c r="AI602" s="2">
        <v>115</v>
      </c>
      <c r="AJ602" s="1">
        <v>1059860</v>
      </c>
      <c r="AK602" s="1">
        <v>0.6</v>
      </c>
      <c r="AL602" s="1">
        <v>60</v>
      </c>
      <c r="AM602" s="2" t="s">
        <v>52</v>
      </c>
      <c r="AN602" s="2" t="str">
        <f t="shared" si="9"/>
        <v/>
      </c>
      <c r="AO602" s="3">
        <v>601</v>
      </c>
      <c r="AP602" s="3">
        <v>70</v>
      </c>
      <c r="AQ602" s="3">
        <v>85</v>
      </c>
      <c r="AR602" s="3">
        <v>90</v>
      </c>
      <c r="AS602" s="1">
        <v>81</v>
      </c>
      <c r="AT602" s="3">
        <v>5</v>
      </c>
      <c r="AU602" s="3" t="s">
        <v>3051</v>
      </c>
    </row>
    <row r="603" spans="1:47" x14ac:dyDescent="0.3">
      <c r="A603" s="1" t="s">
        <v>1699</v>
      </c>
      <c r="B603" s="1" t="s">
        <v>1698</v>
      </c>
      <c r="C603" s="1" t="s">
        <v>115</v>
      </c>
      <c r="D603" s="1" t="s">
        <v>52</v>
      </c>
      <c r="E603" s="1" t="s">
        <v>1697</v>
      </c>
      <c r="F603" t="s">
        <v>3055</v>
      </c>
      <c r="G603" t="s">
        <v>52</v>
      </c>
      <c r="H603" t="s">
        <v>52</v>
      </c>
      <c r="I603" t="s">
        <v>52</v>
      </c>
      <c r="J603" t="s">
        <v>52</v>
      </c>
      <c r="K603" t="s">
        <v>52</v>
      </c>
      <c r="L603" s="2">
        <v>1</v>
      </c>
      <c r="M603" s="2">
        <v>1</v>
      </c>
      <c r="N603" s="2">
        <v>1</v>
      </c>
      <c r="O603" s="2">
        <v>0.5</v>
      </c>
      <c r="P603" s="2">
        <v>1</v>
      </c>
      <c r="Q603" s="2">
        <v>1</v>
      </c>
      <c r="R603" s="2">
        <v>1</v>
      </c>
      <c r="S603" s="2">
        <v>0.5</v>
      </c>
      <c r="T603" s="2">
        <v>1</v>
      </c>
      <c r="U603" s="2">
        <v>1</v>
      </c>
      <c r="V603" s="2">
        <v>2</v>
      </c>
      <c r="W603" s="2">
        <v>1</v>
      </c>
      <c r="X603" s="2">
        <v>1</v>
      </c>
      <c r="Y603" s="2">
        <v>1</v>
      </c>
      <c r="Z603" s="2">
        <v>1</v>
      </c>
      <c r="AA603" s="2">
        <v>1</v>
      </c>
      <c r="AB603" s="2">
        <v>0.5</v>
      </c>
      <c r="AC603" s="2">
        <v>1</v>
      </c>
      <c r="AD603" s="2">
        <v>55</v>
      </c>
      <c r="AE603" s="2">
        <v>5120</v>
      </c>
      <c r="AF603" s="2">
        <v>70</v>
      </c>
      <c r="AG603" s="2">
        <v>275</v>
      </c>
      <c r="AH603" s="2">
        <v>190</v>
      </c>
      <c r="AI603" s="2">
        <v>40</v>
      </c>
      <c r="AJ603" s="1">
        <v>1250000</v>
      </c>
      <c r="AK603" s="1">
        <v>0.2</v>
      </c>
      <c r="AL603" s="1">
        <v>35</v>
      </c>
      <c r="AM603" s="2">
        <v>50</v>
      </c>
      <c r="AN603" s="2">
        <f t="shared" si="9"/>
        <v>50</v>
      </c>
      <c r="AO603" s="3">
        <v>602</v>
      </c>
      <c r="AP603" s="3">
        <v>45</v>
      </c>
      <c r="AQ603" s="3">
        <v>40</v>
      </c>
      <c r="AR603" s="3">
        <v>60</v>
      </c>
      <c r="AS603" s="1">
        <v>0.3</v>
      </c>
      <c r="AT603" s="3">
        <v>5</v>
      </c>
      <c r="AU603" s="3" t="s">
        <v>3051</v>
      </c>
    </row>
    <row r="604" spans="1:47" x14ac:dyDescent="0.3">
      <c r="A604" s="1" t="s">
        <v>1701</v>
      </c>
      <c r="B604" s="1" t="s">
        <v>1700</v>
      </c>
      <c r="C604" s="1" t="s">
        <v>115</v>
      </c>
      <c r="D604" s="1" t="s">
        <v>52</v>
      </c>
      <c r="E604" s="1" t="s">
        <v>1697</v>
      </c>
      <c r="F604" t="s">
        <v>3055</v>
      </c>
      <c r="G604" t="s">
        <v>52</v>
      </c>
      <c r="H604" t="s">
        <v>52</v>
      </c>
      <c r="I604" t="s">
        <v>52</v>
      </c>
      <c r="J604" t="s">
        <v>52</v>
      </c>
      <c r="K604" t="s">
        <v>52</v>
      </c>
      <c r="L604" s="2">
        <v>1</v>
      </c>
      <c r="M604" s="2">
        <v>1</v>
      </c>
      <c r="N604" s="2">
        <v>1</v>
      </c>
      <c r="O604" s="2">
        <v>0.5</v>
      </c>
      <c r="P604" s="2">
        <v>1</v>
      </c>
      <c r="Q604" s="2">
        <v>1</v>
      </c>
      <c r="R604" s="2">
        <v>1</v>
      </c>
      <c r="S604" s="2">
        <v>0.5</v>
      </c>
      <c r="T604" s="2">
        <v>1</v>
      </c>
      <c r="U604" s="2">
        <v>1</v>
      </c>
      <c r="V604" s="2">
        <v>2</v>
      </c>
      <c r="W604" s="2">
        <v>1</v>
      </c>
      <c r="X604" s="2">
        <v>1</v>
      </c>
      <c r="Y604" s="2">
        <v>1</v>
      </c>
      <c r="Z604" s="2">
        <v>1</v>
      </c>
      <c r="AA604" s="2">
        <v>1</v>
      </c>
      <c r="AB604" s="2">
        <v>0.5</v>
      </c>
      <c r="AC604" s="2">
        <v>1</v>
      </c>
      <c r="AD604" s="2">
        <v>85</v>
      </c>
      <c r="AE604" s="2">
        <v>5120</v>
      </c>
      <c r="AF604" s="2">
        <v>70</v>
      </c>
      <c r="AG604" s="2">
        <v>405</v>
      </c>
      <c r="AH604" s="2">
        <v>60</v>
      </c>
      <c r="AI604" s="2">
        <v>70</v>
      </c>
      <c r="AJ604" s="1">
        <v>1250000</v>
      </c>
      <c r="AK604" s="1">
        <v>1.2</v>
      </c>
      <c r="AL604" s="1">
        <v>65</v>
      </c>
      <c r="AM604" s="2">
        <v>50</v>
      </c>
      <c r="AN604" s="2">
        <f t="shared" si="9"/>
        <v>50</v>
      </c>
      <c r="AO604" s="3">
        <v>603</v>
      </c>
      <c r="AP604" s="3">
        <v>75</v>
      </c>
      <c r="AQ604" s="3">
        <v>70</v>
      </c>
      <c r="AR604" s="3">
        <v>40</v>
      </c>
      <c r="AS604" s="1">
        <v>22</v>
      </c>
      <c r="AT604" s="3">
        <v>5</v>
      </c>
      <c r="AU604" s="3" t="s">
        <v>3051</v>
      </c>
    </row>
    <row r="605" spans="1:47" x14ac:dyDescent="0.3">
      <c r="A605" s="1" t="s">
        <v>1703</v>
      </c>
      <c r="B605" s="1" t="s">
        <v>1702</v>
      </c>
      <c r="C605" s="1" t="s">
        <v>115</v>
      </c>
      <c r="D605" s="1" t="s">
        <v>52</v>
      </c>
      <c r="E605" s="1" t="s">
        <v>1697</v>
      </c>
      <c r="F605" t="s">
        <v>3055</v>
      </c>
      <c r="G605" t="s">
        <v>52</v>
      </c>
      <c r="H605" t="s">
        <v>52</v>
      </c>
      <c r="I605" t="s">
        <v>52</v>
      </c>
      <c r="J605" t="s">
        <v>52</v>
      </c>
      <c r="K605" t="s">
        <v>52</v>
      </c>
      <c r="L605" s="2">
        <v>1</v>
      </c>
      <c r="M605" s="2">
        <v>1</v>
      </c>
      <c r="N605" s="2">
        <v>1</v>
      </c>
      <c r="O605" s="2">
        <v>0.5</v>
      </c>
      <c r="P605" s="2">
        <v>1</v>
      </c>
      <c r="Q605" s="2">
        <v>1</v>
      </c>
      <c r="R605" s="2">
        <v>1</v>
      </c>
      <c r="S605" s="2">
        <v>0.5</v>
      </c>
      <c r="T605" s="2">
        <v>1</v>
      </c>
      <c r="U605" s="2">
        <v>1</v>
      </c>
      <c r="V605" s="2">
        <v>2</v>
      </c>
      <c r="W605" s="2">
        <v>1</v>
      </c>
      <c r="X605" s="2">
        <v>1</v>
      </c>
      <c r="Y605" s="2">
        <v>1</v>
      </c>
      <c r="Z605" s="2">
        <v>1</v>
      </c>
      <c r="AA605" s="2">
        <v>1</v>
      </c>
      <c r="AB605" s="2">
        <v>0.5</v>
      </c>
      <c r="AC605" s="2">
        <v>1</v>
      </c>
      <c r="AD605" s="2">
        <v>115</v>
      </c>
      <c r="AE605" s="2">
        <v>5120</v>
      </c>
      <c r="AF605" s="2">
        <v>70</v>
      </c>
      <c r="AG605" s="2">
        <v>515</v>
      </c>
      <c r="AH605" s="2">
        <v>30</v>
      </c>
      <c r="AI605" s="2">
        <v>80</v>
      </c>
      <c r="AJ605" s="1">
        <v>1250000</v>
      </c>
      <c r="AK605" s="1">
        <v>2.1</v>
      </c>
      <c r="AL605" s="1">
        <v>85</v>
      </c>
      <c r="AM605" s="2">
        <v>50</v>
      </c>
      <c r="AN605" s="2">
        <f t="shared" si="9"/>
        <v>50</v>
      </c>
      <c r="AO605" s="3">
        <v>604</v>
      </c>
      <c r="AP605" s="3">
        <v>105</v>
      </c>
      <c r="AQ605" s="3">
        <v>80</v>
      </c>
      <c r="AR605" s="3">
        <v>50</v>
      </c>
      <c r="AS605" s="1">
        <v>80.5</v>
      </c>
      <c r="AT605" s="3">
        <v>5</v>
      </c>
      <c r="AU605" s="3" t="s">
        <v>3051</v>
      </c>
    </row>
    <row r="606" spans="1:47" x14ac:dyDescent="0.3">
      <c r="A606" s="1" t="s">
        <v>1706</v>
      </c>
      <c r="B606" s="1" t="s">
        <v>1705</v>
      </c>
      <c r="C606" s="1" t="s">
        <v>216</v>
      </c>
      <c r="D606" s="1" t="s">
        <v>52</v>
      </c>
      <c r="E606" s="1" t="s">
        <v>1704</v>
      </c>
      <c r="F606" t="s">
        <v>3189</v>
      </c>
      <c r="G606" t="s">
        <v>3057</v>
      </c>
      <c r="H606" t="s">
        <v>3243</v>
      </c>
      <c r="I606" t="s">
        <v>52</v>
      </c>
      <c r="J606" t="s">
        <v>52</v>
      </c>
      <c r="K606" t="s">
        <v>52</v>
      </c>
      <c r="L606" s="2">
        <v>2</v>
      </c>
      <c r="M606" s="2">
        <v>2</v>
      </c>
      <c r="N606" s="2">
        <v>1</v>
      </c>
      <c r="O606" s="2">
        <v>1</v>
      </c>
      <c r="P606" s="2">
        <v>1</v>
      </c>
      <c r="Q606" s="2">
        <v>0.5</v>
      </c>
      <c r="R606" s="2">
        <v>1</v>
      </c>
      <c r="S606" s="2">
        <v>1</v>
      </c>
      <c r="T606" s="2">
        <v>2</v>
      </c>
      <c r="U606" s="2">
        <v>1</v>
      </c>
      <c r="V606" s="2">
        <v>1</v>
      </c>
      <c r="W606" s="2">
        <v>1</v>
      </c>
      <c r="X606" s="2">
        <v>1</v>
      </c>
      <c r="Y606" s="2">
        <v>1</v>
      </c>
      <c r="Z606" s="2">
        <v>0.5</v>
      </c>
      <c r="AA606" s="2">
        <v>1</v>
      </c>
      <c r="AB606" s="2">
        <v>1</v>
      </c>
      <c r="AC606" s="2">
        <v>1</v>
      </c>
      <c r="AD606" s="2">
        <v>55</v>
      </c>
      <c r="AE606" s="2">
        <v>5120</v>
      </c>
      <c r="AF606" s="2">
        <v>70</v>
      </c>
      <c r="AG606" s="2">
        <v>335</v>
      </c>
      <c r="AH606" s="2">
        <v>255</v>
      </c>
      <c r="AI606" s="2">
        <v>55</v>
      </c>
      <c r="AJ606" s="1">
        <v>1000000</v>
      </c>
      <c r="AK606" s="1">
        <v>0.5</v>
      </c>
      <c r="AL606" s="1">
        <v>55</v>
      </c>
      <c r="AM606" s="2">
        <v>50</v>
      </c>
      <c r="AN606" s="2">
        <f t="shared" si="9"/>
        <v>50</v>
      </c>
      <c r="AO606" s="3">
        <v>605</v>
      </c>
      <c r="AP606" s="3">
        <v>85</v>
      </c>
      <c r="AQ606" s="3">
        <v>55</v>
      </c>
      <c r="AR606" s="3">
        <v>30</v>
      </c>
      <c r="AS606" s="1">
        <v>9</v>
      </c>
      <c r="AT606" s="3">
        <v>5</v>
      </c>
      <c r="AU606" s="3" t="s">
        <v>3051</v>
      </c>
    </row>
    <row r="607" spans="1:47" x14ac:dyDescent="0.3">
      <c r="A607" s="1" t="s">
        <v>1708</v>
      </c>
      <c r="B607" s="1" t="s">
        <v>1707</v>
      </c>
      <c r="C607" s="1" t="s">
        <v>216</v>
      </c>
      <c r="D607" s="1" t="s">
        <v>52</v>
      </c>
      <c r="E607" s="1" t="s">
        <v>1704</v>
      </c>
      <c r="F607" t="s">
        <v>3189</v>
      </c>
      <c r="G607" t="s">
        <v>3057</v>
      </c>
      <c r="H607" t="s">
        <v>3243</v>
      </c>
      <c r="I607" t="s">
        <v>52</v>
      </c>
      <c r="J607" t="s">
        <v>52</v>
      </c>
      <c r="K607" t="s">
        <v>52</v>
      </c>
      <c r="L607" s="2">
        <v>2</v>
      </c>
      <c r="M607" s="2">
        <v>2</v>
      </c>
      <c r="N607" s="2">
        <v>1</v>
      </c>
      <c r="O607" s="2">
        <v>1</v>
      </c>
      <c r="P607" s="2">
        <v>1</v>
      </c>
      <c r="Q607" s="2">
        <v>0.5</v>
      </c>
      <c r="R607" s="2">
        <v>1</v>
      </c>
      <c r="S607" s="2">
        <v>1</v>
      </c>
      <c r="T607" s="2">
        <v>2</v>
      </c>
      <c r="U607" s="2">
        <v>1</v>
      </c>
      <c r="V607" s="2">
        <v>1</v>
      </c>
      <c r="W607" s="2">
        <v>1</v>
      </c>
      <c r="X607" s="2">
        <v>1</v>
      </c>
      <c r="Y607" s="2">
        <v>1</v>
      </c>
      <c r="Z607" s="2">
        <v>0.5</v>
      </c>
      <c r="AA607" s="2">
        <v>1</v>
      </c>
      <c r="AB607" s="2">
        <v>1</v>
      </c>
      <c r="AC607" s="2">
        <v>1</v>
      </c>
      <c r="AD607" s="2">
        <v>75</v>
      </c>
      <c r="AE607" s="2">
        <v>5120</v>
      </c>
      <c r="AF607" s="2">
        <v>70</v>
      </c>
      <c r="AG607" s="2">
        <v>485</v>
      </c>
      <c r="AH607" s="2">
        <v>90</v>
      </c>
      <c r="AI607" s="2">
        <v>75</v>
      </c>
      <c r="AJ607" s="1">
        <v>1000000</v>
      </c>
      <c r="AK607" s="1">
        <v>1</v>
      </c>
      <c r="AL607" s="1">
        <v>75</v>
      </c>
      <c r="AM607" s="2">
        <v>50</v>
      </c>
      <c r="AN607" s="2">
        <f t="shared" si="9"/>
        <v>50</v>
      </c>
      <c r="AO607" s="3">
        <v>606</v>
      </c>
      <c r="AP607" s="3">
        <v>125</v>
      </c>
      <c r="AQ607" s="3">
        <v>95</v>
      </c>
      <c r="AR607" s="3">
        <v>40</v>
      </c>
      <c r="AS607" s="1">
        <v>34.5</v>
      </c>
      <c r="AT607" s="3">
        <v>5</v>
      </c>
      <c r="AU607" s="3" t="s">
        <v>3051</v>
      </c>
    </row>
    <row r="608" spans="1:47" x14ac:dyDescent="0.3">
      <c r="A608" s="1" t="s">
        <v>1711</v>
      </c>
      <c r="B608" s="1" t="s">
        <v>1710</v>
      </c>
      <c r="C608" s="1" t="s">
        <v>293</v>
      </c>
      <c r="D608" s="1" t="s">
        <v>51</v>
      </c>
      <c r="E608" s="1" t="s">
        <v>1709</v>
      </c>
      <c r="F608" t="s">
        <v>3125</v>
      </c>
      <c r="G608" t="s">
        <v>3145</v>
      </c>
      <c r="H608" t="s">
        <v>3234</v>
      </c>
      <c r="I608" t="s">
        <v>52</v>
      </c>
      <c r="J608" t="s">
        <v>52</v>
      </c>
      <c r="K608" t="s">
        <v>52</v>
      </c>
      <c r="L608" s="2">
        <v>0.25</v>
      </c>
      <c r="M608" s="2">
        <v>2</v>
      </c>
      <c r="N608" s="2">
        <v>1</v>
      </c>
      <c r="O608" s="2">
        <v>1</v>
      </c>
      <c r="P608" s="2">
        <v>0.5</v>
      </c>
      <c r="Q608" s="2">
        <v>0</v>
      </c>
      <c r="R608" s="2">
        <v>0.5</v>
      </c>
      <c r="S608" s="2">
        <v>1</v>
      </c>
      <c r="T608" s="2">
        <v>2</v>
      </c>
      <c r="U608" s="2">
        <v>0.5</v>
      </c>
      <c r="V608" s="2">
        <v>2</v>
      </c>
      <c r="W608" s="2">
        <v>0.5</v>
      </c>
      <c r="X608" s="2">
        <v>0</v>
      </c>
      <c r="Y608" s="2">
        <v>0.5</v>
      </c>
      <c r="Z608" s="2">
        <v>1</v>
      </c>
      <c r="AA608" s="2">
        <v>2</v>
      </c>
      <c r="AB608" s="2">
        <v>0.5</v>
      </c>
      <c r="AC608" s="2">
        <v>2</v>
      </c>
      <c r="AD608" s="2">
        <v>30</v>
      </c>
      <c r="AE608" s="2">
        <v>5120</v>
      </c>
      <c r="AF608" s="2">
        <v>70</v>
      </c>
      <c r="AG608" s="2">
        <v>275</v>
      </c>
      <c r="AH608" s="2">
        <v>190</v>
      </c>
      <c r="AI608" s="2">
        <v>55</v>
      </c>
      <c r="AJ608" s="1">
        <v>1059860</v>
      </c>
      <c r="AK608" s="1">
        <v>0.3</v>
      </c>
      <c r="AL608" s="1">
        <v>50</v>
      </c>
      <c r="AM608" s="2">
        <v>50</v>
      </c>
      <c r="AN608" s="2">
        <f t="shared" si="9"/>
        <v>50</v>
      </c>
      <c r="AO608" s="3">
        <v>607</v>
      </c>
      <c r="AP608" s="3">
        <v>65</v>
      </c>
      <c r="AQ608" s="3">
        <v>55</v>
      </c>
      <c r="AR608" s="3">
        <v>20</v>
      </c>
      <c r="AS608" s="1">
        <v>3.1</v>
      </c>
      <c r="AT608" s="3">
        <v>5</v>
      </c>
      <c r="AU608" s="3" t="s">
        <v>3051</v>
      </c>
    </row>
    <row r="609" spans="1:47" x14ac:dyDescent="0.3">
      <c r="A609" s="1" t="s">
        <v>1714</v>
      </c>
      <c r="B609" s="1" t="s">
        <v>1713</v>
      </c>
      <c r="C609" s="1" t="s">
        <v>293</v>
      </c>
      <c r="D609" s="1" t="s">
        <v>51</v>
      </c>
      <c r="E609" s="1" t="s">
        <v>1712</v>
      </c>
      <c r="F609" t="s">
        <v>3125</v>
      </c>
      <c r="G609" t="s">
        <v>3145</v>
      </c>
      <c r="H609" t="s">
        <v>3234</v>
      </c>
      <c r="I609" t="s">
        <v>52</v>
      </c>
      <c r="J609" t="s">
        <v>52</v>
      </c>
      <c r="K609" t="s">
        <v>52</v>
      </c>
      <c r="L609" s="2">
        <v>0.25</v>
      </c>
      <c r="M609" s="2">
        <v>2</v>
      </c>
      <c r="N609" s="2">
        <v>1</v>
      </c>
      <c r="O609" s="2">
        <v>1</v>
      </c>
      <c r="P609" s="2">
        <v>0.5</v>
      </c>
      <c r="Q609" s="2">
        <v>0</v>
      </c>
      <c r="R609" s="2">
        <v>0.5</v>
      </c>
      <c r="S609" s="2">
        <v>1</v>
      </c>
      <c r="T609" s="2">
        <v>2</v>
      </c>
      <c r="U609" s="2">
        <v>0.5</v>
      </c>
      <c r="V609" s="2">
        <v>2</v>
      </c>
      <c r="W609" s="2">
        <v>0.5</v>
      </c>
      <c r="X609" s="2">
        <v>0</v>
      </c>
      <c r="Y609" s="2">
        <v>0.5</v>
      </c>
      <c r="Z609" s="2">
        <v>1</v>
      </c>
      <c r="AA609" s="2">
        <v>2</v>
      </c>
      <c r="AB609" s="2">
        <v>0.5</v>
      </c>
      <c r="AC609" s="2">
        <v>2</v>
      </c>
      <c r="AD609" s="2">
        <v>40</v>
      </c>
      <c r="AE609" s="2">
        <v>5120</v>
      </c>
      <c r="AF609" s="2">
        <v>70</v>
      </c>
      <c r="AG609" s="2">
        <v>370</v>
      </c>
      <c r="AH609" s="2">
        <v>90</v>
      </c>
      <c r="AI609" s="2">
        <v>60</v>
      </c>
      <c r="AJ609" s="1">
        <v>1059860</v>
      </c>
      <c r="AK609" s="1">
        <v>0.6</v>
      </c>
      <c r="AL609" s="1">
        <v>60</v>
      </c>
      <c r="AM609" s="2">
        <v>50</v>
      </c>
      <c r="AN609" s="2">
        <f t="shared" si="9"/>
        <v>50</v>
      </c>
      <c r="AO609" s="3">
        <v>608</v>
      </c>
      <c r="AP609" s="3">
        <v>95</v>
      </c>
      <c r="AQ609" s="3">
        <v>60</v>
      </c>
      <c r="AR609" s="3">
        <v>55</v>
      </c>
      <c r="AS609" s="1">
        <v>13</v>
      </c>
      <c r="AT609" s="3">
        <v>5</v>
      </c>
      <c r="AU609" s="3" t="s">
        <v>3051</v>
      </c>
    </row>
    <row r="610" spans="1:47" x14ac:dyDescent="0.3">
      <c r="A610" s="1" t="s">
        <v>1717</v>
      </c>
      <c r="B610" s="1" t="s">
        <v>1716</v>
      </c>
      <c r="C610" s="1" t="s">
        <v>293</v>
      </c>
      <c r="D610" s="1" t="s">
        <v>51</v>
      </c>
      <c r="E610" s="1" t="s">
        <v>1715</v>
      </c>
      <c r="F610" t="s">
        <v>3125</v>
      </c>
      <c r="G610" t="s">
        <v>3145</v>
      </c>
      <c r="H610" t="s">
        <v>3234</v>
      </c>
      <c r="I610" t="s">
        <v>52</v>
      </c>
      <c r="J610" t="s">
        <v>52</v>
      </c>
      <c r="K610" t="s">
        <v>52</v>
      </c>
      <c r="L610" s="2">
        <v>0.25</v>
      </c>
      <c r="M610" s="2">
        <v>2</v>
      </c>
      <c r="N610" s="2">
        <v>1</v>
      </c>
      <c r="O610" s="2">
        <v>1</v>
      </c>
      <c r="P610" s="2">
        <v>0.5</v>
      </c>
      <c r="Q610" s="2">
        <v>0</v>
      </c>
      <c r="R610" s="2">
        <v>0.5</v>
      </c>
      <c r="S610" s="2">
        <v>1</v>
      </c>
      <c r="T610" s="2">
        <v>2</v>
      </c>
      <c r="U610" s="2">
        <v>0.5</v>
      </c>
      <c r="V610" s="2">
        <v>2</v>
      </c>
      <c r="W610" s="2">
        <v>0.5</v>
      </c>
      <c r="X610" s="2">
        <v>0</v>
      </c>
      <c r="Y610" s="2">
        <v>0.5</v>
      </c>
      <c r="Z610" s="2">
        <v>1</v>
      </c>
      <c r="AA610" s="2">
        <v>2</v>
      </c>
      <c r="AB610" s="2">
        <v>0.5</v>
      </c>
      <c r="AC610" s="2">
        <v>2</v>
      </c>
      <c r="AD610" s="2">
        <v>55</v>
      </c>
      <c r="AE610" s="2">
        <v>5120</v>
      </c>
      <c r="AF610" s="2">
        <v>70</v>
      </c>
      <c r="AG610" s="2">
        <v>520</v>
      </c>
      <c r="AH610" s="2">
        <v>45</v>
      </c>
      <c r="AI610" s="2">
        <v>90</v>
      </c>
      <c r="AJ610" s="1">
        <v>1059860</v>
      </c>
      <c r="AK610" s="1">
        <v>1</v>
      </c>
      <c r="AL610" s="1">
        <v>60</v>
      </c>
      <c r="AM610" s="2">
        <v>50</v>
      </c>
      <c r="AN610" s="2">
        <f t="shared" si="9"/>
        <v>50</v>
      </c>
      <c r="AO610" s="3">
        <v>609</v>
      </c>
      <c r="AP610" s="3">
        <v>145</v>
      </c>
      <c r="AQ610" s="3">
        <v>90</v>
      </c>
      <c r="AR610" s="3">
        <v>80</v>
      </c>
      <c r="AS610" s="1">
        <v>34.299999999999997</v>
      </c>
      <c r="AT610" s="3">
        <v>5</v>
      </c>
      <c r="AU610" s="3" t="s">
        <v>3051</v>
      </c>
    </row>
    <row r="611" spans="1:47" x14ac:dyDescent="0.3">
      <c r="A611" s="1" t="s">
        <v>1720</v>
      </c>
      <c r="B611" s="1" t="s">
        <v>1719</v>
      </c>
      <c r="C611" s="1" t="s">
        <v>443</v>
      </c>
      <c r="D611" s="1" t="s">
        <v>52</v>
      </c>
      <c r="E611" s="1" t="s">
        <v>1718</v>
      </c>
      <c r="F611" t="s">
        <v>3164</v>
      </c>
      <c r="G611" t="s">
        <v>3165</v>
      </c>
      <c r="H611" t="s">
        <v>3228</v>
      </c>
      <c r="I611" t="s">
        <v>52</v>
      </c>
      <c r="J611" t="s">
        <v>52</v>
      </c>
      <c r="K611" t="s">
        <v>52</v>
      </c>
      <c r="L611" s="2">
        <v>1</v>
      </c>
      <c r="M611" s="2">
        <v>1</v>
      </c>
      <c r="N611" s="2">
        <v>2</v>
      </c>
      <c r="O611" s="2">
        <v>0.5</v>
      </c>
      <c r="P611" s="2">
        <v>2</v>
      </c>
      <c r="Q611" s="2">
        <v>1</v>
      </c>
      <c r="R611" s="2">
        <v>0.5</v>
      </c>
      <c r="S611" s="2">
        <v>1</v>
      </c>
      <c r="T611" s="2">
        <v>1</v>
      </c>
      <c r="U611" s="2">
        <v>0.5</v>
      </c>
      <c r="V611" s="2">
        <v>1</v>
      </c>
      <c r="W611" s="2">
        <v>2</v>
      </c>
      <c r="X611" s="2">
        <v>1</v>
      </c>
      <c r="Y611" s="2">
        <v>1</v>
      </c>
      <c r="Z611" s="2">
        <v>1</v>
      </c>
      <c r="AA611" s="2">
        <v>1</v>
      </c>
      <c r="AB611" s="2">
        <v>1</v>
      </c>
      <c r="AC611" s="2">
        <v>0.5</v>
      </c>
      <c r="AD611" s="2">
        <v>87</v>
      </c>
      <c r="AE611" s="2">
        <v>10240</v>
      </c>
      <c r="AF611" s="2">
        <v>35</v>
      </c>
      <c r="AG611" s="2">
        <v>320</v>
      </c>
      <c r="AH611" s="2">
        <v>75</v>
      </c>
      <c r="AI611" s="2">
        <v>60</v>
      </c>
      <c r="AJ611" s="1">
        <v>1250000</v>
      </c>
      <c r="AK611" s="1">
        <v>0.6</v>
      </c>
      <c r="AL611" s="1">
        <v>46</v>
      </c>
      <c r="AM611" s="2">
        <v>50</v>
      </c>
      <c r="AN611" s="2">
        <f t="shared" si="9"/>
        <v>50</v>
      </c>
      <c r="AO611" s="3">
        <v>610</v>
      </c>
      <c r="AP611" s="3">
        <v>30</v>
      </c>
      <c r="AQ611" s="3">
        <v>40</v>
      </c>
      <c r="AR611" s="3">
        <v>57</v>
      </c>
      <c r="AS611" s="1">
        <v>18</v>
      </c>
      <c r="AT611" s="3">
        <v>5</v>
      </c>
      <c r="AU611" s="3" t="s">
        <v>3051</v>
      </c>
    </row>
    <row r="612" spans="1:47" x14ac:dyDescent="0.3">
      <c r="A612" s="1" t="s">
        <v>1723</v>
      </c>
      <c r="B612" s="1" t="s">
        <v>1722</v>
      </c>
      <c r="C612" s="1" t="s">
        <v>443</v>
      </c>
      <c r="D612" s="1" t="s">
        <v>52</v>
      </c>
      <c r="E612" s="1" t="s">
        <v>1721</v>
      </c>
      <c r="F612" t="s">
        <v>3164</v>
      </c>
      <c r="G612" t="s">
        <v>3165</v>
      </c>
      <c r="H612" t="s">
        <v>3228</v>
      </c>
      <c r="I612" t="s">
        <v>52</v>
      </c>
      <c r="J612" t="s">
        <v>52</v>
      </c>
      <c r="K612" t="s">
        <v>52</v>
      </c>
      <c r="L612" s="2">
        <v>1</v>
      </c>
      <c r="M612" s="2">
        <v>1</v>
      </c>
      <c r="N612" s="2">
        <v>2</v>
      </c>
      <c r="O612" s="2">
        <v>0.5</v>
      </c>
      <c r="P612" s="2">
        <v>2</v>
      </c>
      <c r="Q612" s="2">
        <v>1</v>
      </c>
      <c r="R612" s="2">
        <v>0.5</v>
      </c>
      <c r="S612" s="2">
        <v>1</v>
      </c>
      <c r="T612" s="2">
        <v>1</v>
      </c>
      <c r="U612" s="2">
        <v>0.5</v>
      </c>
      <c r="V612" s="2">
        <v>1</v>
      </c>
      <c r="W612" s="2">
        <v>2</v>
      </c>
      <c r="X612" s="2">
        <v>1</v>
      </c>
      <c r="Y612" s="2">
        <v>1</v>
      </c>
      <c r="Z612" s="2">
        <v>1</v>
      </c>
      <c r="AA612" s="2">
        <v>1</v>
      </c>
      <c r="AB612" s="2">
        <v>1</v>
      </c>
      <c r="AC612" s="2">
        <v>0.5</v>
      </c>
      <c r="AD612" s="2">
        <v>117</v>
      </c>
      <c r="AE612" s="2">
        <v>10240</v>
      </c>
      <c r="AF612" s="2">
        <v>35</v>
      </c>
      <c r="AG612" s="2">
        <v>410</v>
      </c>
      <c r="AH612" s="2">
        <v>60</v>
      </c>
      <c r="AI612" s="2">
        <v>70</v>
      </c>
      <c r="AJ612" s="1">
        <v>1250000</v>
      </c>
      <c r="AK612" s="1">
        <v>1</v>
      </c>
      <c r="AL612" s="1">
        <v>66</v>
      </c>
      <c r="AM612" s="2">
        <v>50</v>
      </c>
      <c r="AN612" s="2">
        <f t="shared" si="9"/>
        <v>50</v>
      </c>
      <c r="AO612" s="3">
        <v>611</v>
      </c>
      <c r="AP612" s="3">
        <v>40</v>
      </c>
      <c r="AQ612" s="3">
        <v>50</v>
      </c>
      <c r="AR612" s="3">
        <v>67</v>
      </c>
      <c r="AS612" s="1">
        <v>36</v>
      </c>
      <c r="AT612" s="3">
        <v>5</v>
      </c>
      <c r="AU612" s="3" t="s">
        <v>3051</v>
      </c>
    </row>
    <row r="613" spans="1:47" x14ac:dyDescent="0.3">
      <c r="A613" s="1" t="s">
        <v>1725</v>
      </c>
      <c r="B613" s="1" t="s">
        <v>1724</v>
      </c>
      <c r="C613" s="1" t="s">
        <v>443</v>
      </c>
      <c r="D613" s="1" t="s">
        <v>52</v>
      </c>
      <c r="E613" s="1" t="s">
        <v>1721</v>
      </c>
      <c r="F613" t="s">
        <v>3164</v>
      </c>
      <c r="G613" t="s">
        <v>3165</v>
      </c>
      <c r="H613" t="s">
        <v>3228</v>
      </c>
      <c r="I613" t="s">
        <v>52</v>
      </c>
      <c r="J613" t="s">
        <v>52</v>
      </c>
      <c r="K613" t="s">
        <v>52</v>
      </c>
      <c r="L613" s="2">
        <v>1</v>
      </c>
      <c r="M613" s="2">
        <v>1</v>
      </c>
      <c r="N613" s="2">
        <v>2</v>
      </c>
      <c r="O613" s="2">
        <v>0.5</v>
      </c>
      <c r="P613" s="2">
        <v>2</v>
      </c>
      <c r="Q613" s="2">
        <v>1</v>
      </c>
      <c r="R613" s="2">
        <v>0.5</v>
      </c>
      <c r="S613" s="2">
        <v>1</v>
      </c>
      <c r="T613" s="2">
        <v>1</v>
      </c>
      <c r="U613" s="2">
        <v>0.5</v>
      </c>
      <c r="V613" s="2">
        <v>1</v>
      </c>
      <c r="W613" s="2">
        <v>2</v>
      </c>
      <c r="X613" s="2">
        <v>1</v>
      </c>
      <c r="Y613" s="2">
        <v>1</v>
      </c>
      <c r="Z613" s="2">
        <v>1</v>
      </c>
      <c r="AA613" s="2">
        <v>1</v>
      </c>
      <c r="AB613" s="2">
        <v>1</v>
      </c>
      <c r="AC613" s="2">
        <v>0.5</v>
      </c>
      <c r="AD613" s="2">
        <v>147</v>
      </c>
      <c r="AE613" s="2">
        <v>10240</v>
      </c>
      <c r="AF613" s="2">
        <v>35</v>
      </c>
      <c r="AG613" s="2">
        <v>540</v>
      </c>
      <c r="AH613" s="2">
        <v>45</v>
      </c>
      <c r="AI613" s="2">
        <v>90</v>
      </c>
      <c r="AJ613" s="1">
        <v>1250000</v>
      </c>
      <c r="AK613" s="1">
        <v>1.8</v>
      </c>
      <c r="AL613" s="1">
        <v>76</v>
      </c>
      <c r="AM613" s="2">
        <v>50</v>
      </c>
      <c r="AN613" s="2">
        <f t="shared" si="9"/>
        <v>50</v>
      </c>
      <c r="AO613" s="3">
        <v>612</v>
      </c>
      <c r="AP613" s="3">
        <v>60</v>
      </c>
      <c r="AQ613" s="3">
        <v>70</v>
      </c>
      <c r="AR613" s="3">
        <v>97</v>
      </c>
      <c r="AS613" s="1">
        <v>105.5</v>
      </c>
      <c r="AT613" s="3">
        <v>5</v>
      </c>
      <c r="AU613" s="3" t="s">
        <v>3051</v>
      </c>
    </row>
    <row r="614" spans="1:47" x14ac:dyDescent="0.3">
      <c r="A614" s="1" t="s">
        <v>1728</v>
      </c>
      <c r="B614" s="1" t="s">
        <v>1727</v>
      </c>
      <c r="C614" s="1" t="s">
        <v>121</v>
      </c>
      <c r="D614" s="1" t="s">
        <v>52</v>
      </c>
      <c r="E614" s="1" t="s">
        <v>1726</v>
      </c>
      <c r="F614" t="s">
        <v>3175</v>
      </c>
      <c r="G614" t="s">
        <v>3230</v>
      </c>
      <c r="H614" t="s">
        <v>3238</v>
      </c>
      <c r="I614" t="s">
        <v>52</v>
      </c>
      <c r="J614" t="s">
        <v>52</v>
      </c>
      <c r="K614" t="s">
        <v>52</v>
      </c>
      <c r="L614" s="2">
        <v>1</v>
      </c>
      <c r="M614" s="2">
        <v>1</v>
      </c>
      <c r="N614" s="2">
        <v>1</v>
      </c>
      <c r="O614" s="2">
        <v>1</v>
      </c>
      <c r="P614" s="2">
        <v>1</v>
      </c>
      <c r="Q614" s="2">
        <v>2</v>
      </c>
      <c r="R614" s="2">
        <v>2</v>
      </c>
      <c r="S614" s="2">
        <v>1</v>
      </c>
      <c r="T614" s="2">
        <v>1</v>
      </c>
      <c r="U614" s="2">
        <v>1</v>
      </c>
      <c r="V614" s="2">
        <v>1</v>
      </c>
      <c r="W614" s="2">
        <v>0.5</v>
      </c>
      <c r="X614" s="2">
        <v>1</v>
      </c>
      <c r="Y614" s="2">
        <v>1</v>
      </c>
      <c r="Z614" s="2">
        <v>1</v>
      </c>
      <c r="AA614" s="2">
        <v>2</v>
      </c>
      <c r="AB614" s="2">
        <v>2</v>
      </c>
      <c r="AC614" s="2">
        <v>1</v>
      </c>
      <c r="AD614" s="2">
        <v>70</v>
      </c>
      <c r="AE614" s="2">
        <v>5120</v>
      </c>
      <c r="AF614" s="2">
        <v>70</v>
      </c>
      <c r="AG614" s="2">
        <v>305</v>
      </c>
      <c r="AH614" s="2">
        <v>120</v>
      </c>
      <c r="AI614" s="2">
        <v>40</v>
      </c>
      <c r="AJ614" s="1">
        <v>1000000</v>
      </c>
      <c r="AK614" s="1">
        <v>0.5</v>
      </c>
      <c r="AL614" s="1">
        <v>55</v>
      </c>
      <c r="AM614" s="2">
        <v>50</v>
      </c>
      <c r="AN614" s="2">
        <f t="shared" si="9"/>
        <v>50</v>
      </c>
      <c r="AO614" s="3">
        <v>613</v>
      </c>
      <c r="AP614" s="3">
        <v>60</v>
      </c>
      <c r="AQ614" s="3">
        <v>40</v>
      </c>
      <c r="AR614" s="3">
        <v>40</v>
      </c>
      <c r="AS614" s="1">
        <v>8.5</v>
      </c>
      <c r="AT614" s="3">
        <v>5</v>
      </c>
      <c r="AU614" s="3" t="s">
        <v>3051</v>
      </c>
    </row>
    <row r="615" spans="1:47" x14ac:dyDescent="0.3">
      <c r="A615" s="1" t="s">
        <v>1731</v>
      </c>
      <c r="B615" s="1" t="s">
        <v>1730</v>
      </c>
      <c r="C615" s="1" t="s">
        <v>121</v>
      </c>
      <c r="D615" s="1" t="s">
        <v>52</v>
      </c>
      <c r="E615" s="1" t="s">
        <v>1729</v>
      </c>
      <c r="F615" t="s">
        <v>3175</v>
      </c>
      <c r="G615" t="s">
        <v>3230</v>
      </c>
      <c r="H615" t="s">
        <v>3143</v>
      </c>
      <c r="I615" t="s">
        <v>52</v>
      </c>
      <c r="J615" t="s">
        <v>52</v>
      </c>
      <c r="K615" t="s">
        <v>52</v>
      </c>
      <c r="L615" s="2">
        <v>1</v>
      </c>
      <c r="M615" s="2">
        <v>1</v>
      </c>
      <c r="N615" s="2">
        <v>1</v>
      </c>
      <c r="O615" s="2">
        <v>1</v>
      </c>
      <c r="P615" s="2">
        <v>1</v>
      </c>
      <c r="Q615" s="2">
        <v>2</v>
      </c>
      <c r="R615" s="2">
        <v>2</v>
      </c>
      <c r="S615" s="2">
        <v>1</v>
      </c>
      <c r="T615" s="2">
        <v>1</v>
      </c>
      <c r="U615" s="2">
        <v>1</v>
      </c>
      <c r="V615" s="2">
        <v>1</v>
      </c>
      <c r="W615" s="2">
        <v>0.5</v>
      </c>
      <c r="X615" s="2">
        <v>1</v>
      </c>
      <c r="Y615" s="2">
        <v>1</v>
      </c>
      <c r="Z615" s="2">
        <v>1</v>
      </c>
      <c r="AA615" s="2">
        <v>2</v>
      </c>
      <c r="AB615" s="2">
        <v>2</v>
      </c>
      <c r="AC615" s="2">
        <v>1</v>
      </c>
      <c r="AD615" s="2">
        <v>130</v>
      </c>
      <c r="AE615" s="2">
        <v>5120</v>
      </c>
      <c r="AF615" s="2">
        <v>70</v>
      </c>
      <c r="AG615" s="2">
        <v>505</v>
      </c>
      <c r="AH615" s="2">
        <v>60</v>
      </c>
      <c r="AI615" s="2">
        <v>80</v>
      </c>
      <c r="AJ615" s="1">
        <v>1000000</v>
      </c>
      <c r="AK615" s="1">
        <v>2.6</v>
      </c>
      <c r="AL615" s="1">
        <v>95</v>
      </c>
      <c r="AM615" s="2">
        <v>50</v>
      </c>
      <c r="AN615" s="2">
        <f t="shared" si="9"/>
        <v>50</v>
      </c>
      <c r="AO615" s="3">
        <v>614</v>
      </c>
      <c r="AP615" s="3">
        <v>70</v>
      </c>
      <c r="AQ615" s="3">
        <v>80</v>
      </c>
      <c r="AR615" s="3">
        <v>50</v>
      </c>
      <c r="AS615" s="1">
        <v>260</v>
      </c>
      <c r="AT615" s="3">
        <v>5</v>
      </c>
      <c r="AU615" s="3" t="s">
        <v>3051</v>
      </c>
    </row>
    <row r="616" spans="1:47" x14ac:dyDescent="0.3">
      <c r="A616" s="1" t="s">
        <v>1734</v>
      </c>
      <c r="B616" s="1" t="s">
        <v>1733</v>
      </c>
      <c r="C616" s="1" t="s">
        <v>121</v>
      </c>
      <c r="D616" s="1" t="s">
        <v>52</v>
      </c>
      <c r="E616" s="1" t="s">
        <v>1732</v>
      </c>
      <c r="F616" t="s">
        <v>3055</v>
      </c>
      <c r="G616" t="s">
        <v>52</v>
      </c>
      <c r="H616" t="s">
        <v>52</v>
      </c>
      <c r="I616" t="s">
        <v>52</v>
      </c>
      <c r="J616" t="s">
        <v>52</v>
      </c>
      <c r="K616" t="s">
        <v>52</v>
      </c>
      <c r="L616" s="2">
        <v>1</v>
      </c>
      <c r="M616" s="2">
        <v>1</v>
      </c>
      <c r="N616" s="2">
        <v>1</v>
      </c>
      <c r="O616" s="2">
        <v>1</v>
      </c>
      <c r="P616" s="2">
        <v>1</v>
      </c>
      <c r="Q616" s="2">
        <v>2</v>
      </c>
      <c r="R616" s="2">
        <v>2</v>
      </c>
      <c r="S616" s="2">
        <v>1</v>
      </c>
      <c r="T616" s="2">
        <v>1</v>
      </c>
      <c r="U616" s="2">
        <v>1</v>
      </c>
      <c r="V616" s="2">
        <v>1</v>
      </c>
      <c r="W616" s="2">
        <v>0.5</v>
      </c>
      <c r="X616" s="2">
        <v>1</v>
      </c>
      <c r="Y616" s="2">
        <v>1</v>
      </c>
      <c r="Z616" s="2">
        <v>1</v>
      </c>
      <c r="AA616" s="2">
        <v>2</v>
      </c>
      <c r="AB616" s="2">
        <v>2</v>
      </c>
      <c r="AC616" s="2">
        <v>1</v>
      </c>
      <c r="AD616" s="2">
        <v>50</v>
      </c>
      <c r="AE616" s="2">
        <v>6400</v>
      </c>
      <c r="AF616" s="2">
        <v>70</v>
      </c>
      <c r="AG616" s="2">
        <v>515</v>
      </c>
      <c r="AH616" s="2">
        <v>25</v>
      </c>
      <c r="AI616" s="2">
        <v>50</v>
      </c>
      <c r="AJ616" s="1">
        <v>1000000</v>
      </c>
      <c r="AK616" s="1">
        <v>1.1000000000000001</v>
      </c>
      <c r="AL616" s="1">
        <v>80</v>
      </c>
      <c r="AM616" s="2" t="s">
        <v>52</v>
      </c>
      <c r="AN616" s="2" t="str">
        <f t="shared" si="9"/>
        <v/>
      </c>
      <c r="AO616" s="3">
        <v>615</v>
      </c>
      <c r="AP616" s="3">
        <v>95</v>
      </c>
      <c r="AQ616" s="3">
        <v>135</v>
      </c>
      <c r="AR616" s="3">
        <v>105</v>
      </c>
      <c r="AS616" s="1">
        <v>148</v>
      </c>
      <c r="AT616" s="3">
        <v>5</v>
      </c>
      <c r="AU616" s="3" t="s">
        <v>3051</v>
      </c>
    </row>
    <row r="617" spans="1:47" x14ac:dyDescent="0.3">
      <c r="A617" s="1" t="s">
        <v>1737</v>
      </c>
      <c r="B617" s="1" t="s">
        <v>1736</v>
      </c>
      <c r="C617" s="1" t="s">
        <v>72</v>
      </c>
      <c r="D617" s="1" t="s">
        <v>52</v>
      </c>
      <c r="E617" s="1" t="s">
        <v>1735</v>
      </c>
      <c r="F617" t="s">
        <v>3071</v>
      </c>
      <c r="G617" t="s">
        <v>3103</v>
      </c>
      <c r="H617" t="s">
        <v>3187</v>
      </c>
      <c r="I617" t="s">
        <v>52</v>
      </c>
      <c r="J617" t="s">
        <v>52</v>
      </c>
      <c r="K617" t="s">
        <v>52</v>
      </c>
      <c r="L617" s="2">
        <v>1</v>
      </c>
      <c r="M617" s="2">
        <v>1</v>
      </c>
      <c r="N617" s="2">
        <v>1</v>
      </c>
      <c r="O617" s="2">
        <v>1</v>
      </c>
      <c r="P617" s="2">
        <v>1</v>
      </c>
      <c r="Q617" s="2">
        <v>0.5</v>
      </c>
      <c r="R617" s="2">
        <v>2</v>
      </c>
      <c r="S617" s="2">
        <v>2</v>
      </c>
      <c r="T617" s="2">
        <v>1</v>
      </c>
      <c r="U617" s="2">
        <v>0.5</v>
      </c>
      <c r="V617" s="2">
        <v>0.5</v>
      </c>
      <c r="W617" s="2">
        <v>1</v>
      </c>
      <c r="X617" s="2">
        <v>1</v>
      </c>
      <c r="Y617" s="2">
        <v>1</v>
      </c>
      <c r="Z617" s="2">
        <v>1</v>
      </c>
      <c r="AA617" s="2">
        <v>2</v>
      </c>
      <c r="AB617" s="2">
        <v>1</v>
      </c>
      <c r="AC617" s="2">
        <v>1</v>
      </c>
      <c r="AD617" s="2">
        <v>40</v>
      </c>
      <c r="AE617" s="2">
        <v>3840</v>
      </c>
      <c r="AF617" s="2">
        <v>70</v>
      </c>
      <c r="AG617" s="2">
        <v>305</v>
      </c>
      <c r="AH617" s="2">
        <v>200</v>
      </c>
      <c r="AI617" s="2">
        <v>85</v>
      </c>
      <c r="AJ617" s="1">
        <v>1000000</v>
      </c>
      <c r="AK617" s="1">
        <v>0.4</v>
      </c>
      <c r="AL617" s="1">
        <v>50</v>
      </c>
      <c r="AM617" s="2">
        <v>50</v>
      </c>
      <c r="AN617" s="2">
        <f t="shared" si="9"/>
        <v>50</v>
      </c>
      <c r="AO617" s="3">
        <v>616</v>
      </c>
      <c r="AP617" s="3">
        <v>40</v>
      </c>
      <c r="AQ617" s="3">
        <v>65</v>
      </c>
      <c r="AR617" s="3">
        <v>25</v>
      </c>
      <c r="AS617" s="1">
        <v>7.7</v>
      </c>
      <c r="AT617" s="3">
        <v>5</v>
      </c>
      <c r="AU617" s="3" t="s">
        <v>3051</v>
      </c>
    </row>
    <row r="618" spans="1:47" x14ac:dyDescent="0.3">
      <c r="A618" s="1" t="s">
        <v>1740</v>
      </c>
      <c r="B618" s="1" t="s">
        <v>1739</v>
      </c>
      <c r="C618" s="1" t="s">
        <v>72</v>
      </c>
      <c r="D618" s="1" t="s">
        <v>52</v>
      </c>
      <c r="E618" s="1" t="s">
        <v>1738</v>
      </c>
      <c r="F618" t="s">
        <v>3071</v>
      </c>
      <c r="G618" t="s">
        <v>3168</v>
      </c>
      <c r="H618" t="s">
        <v>3249</v>
      </c>
      <c r="I618" t="s">
        <v>52</v>
      </c>
      <c r="J618" t="s">
        <v>52</v>
      </c>
      <c r="K618" t="s">
        <v>52</v>
      </c>
      <c r="L618" s="2">
        <v>1</v>
      </c>
      <c r="M618" s="2">
        <v>1</v>
      </c>
      <c r="N618" s="2">
        <v>1</v>
      </c>
      <c r="O618" s="2">
        <v>1</v>
      </c>
      <c r="P618" s="2">
        <v>1</v>
      </c>
      <c r="Q618" s="2">
        <v>0.5</v>
      </c>
      <c r="R618" s="2">
        <v>2</v>
      </c>
      <c r="S618" s="2">
        <v>2</v>
      </c>
      <c r="T618" s="2">
        <v>1</v>
      </c>
      <c r="U618" s="2">
        <v>0.5</v>
      </c>
      <c r="V618" s="2">
        <v>0.5</v>
      </c>
      <c r="W618" s="2">
        <v>1</v>
      </c>
      <c r="X618" s="2">
        <v>1</v>
      </c>
      <c r="Y618" s="2">
        <v>1</v>
      </c>
      <c r="Z618" s="2">
        <v>1</v>
      </c>
      <c r="AA618" s="2">
        <v>2</v>
      </c>
      <c r="AB618" s="2">
        <v>1</v>
      </c>
      <c r="AC618" s="2">
        <v>1</v>
      </c>
      <c r="AD618" s="2">
        <v>70</v>
      </c>
      <c r="AE618" s="2">
        <v>3840</v>
      </c>
      <c r="AF618" s="2">
        <v>70</v>
      </c>
      <c r="AG618" s="2">
        <v>495</v>
      </c>
      <c r="AH618" s="2">
        <v>75</v>
      </c>
      <c r="AI618" s="2">
        <v>40</v>
      </c>
      <c r="AJ618" s="1">
        <v>1000000</v>
      </c>
      <c r="AK618" s="1">
        <v>0.8</v>
      </c>
      <c r="AL618" s="1">
        <v>80</v>
      </c>
      <c r="AM618" s="2">
        <v>50</v>
      </c>
      <c r="AN618" s="2">
        <f t="shared" si="9"/>
        <v>50</v>
      </c>
      <c r="AO618" s="3">
        <v>617</v>
      </c>
      <c r="AP618" s="3">
        <v>100</v>
      </c>
      <c r="AQ618" s="3">
        <v>60</v>
      </c>
      <c r="AR618" s="3">
        <v>145</v>
      </c>
      <c r="AS618" s="1">
        <v>25.3</v>
      </c>
      <c r="AT618" s="3">
        <v>5</v>
      </c>
      <c r="AU618" s="3" t="s">
        <v>3051</v>
      </c>
    </row>
    <row r="619" spans="1:47" x14ac:dyDescent="0.3">
      <c r="A619" s="1" t="s">
        <v>1743</v>
      </c>
      <c r="B619" s="1" t="s">
        <v>1742</v>
      </c>
      <c r="C619" s="1" t="s">
        <v>120</v>
      </c>
      <c r="D619" s="1" t="s">
        <v>115</v>
      </c>
      <c r="E619" s="1" t="s">
        <v>1741</v>
      </c>
      <c r="F619" t="s">
        <v>3121</v>
      </c>
      <c r="G619" t="s">
        <v>3129</v>
      </c>
      <c r="H619" t="s">
        <v>3122</v>
      </c>
      <c r="I619" t="s">
        <v>52</v>
      </c>
      <c r="J619" t="s">
        <v>52</v>
      </c>
      <c r="K619" t="s">
        <v>52</v>
      </c>
      <c r="L619" s="2">
        <v>1</v>
      </c>
      <c r="M619" s="2">
        <v>1</v>
      </c>
      <c r="N619" s="2">
        <v>1</v>
      </c>
      <c r="O619" s="2">
        <v>0</v>
      </c>
      <c r="P619" s="2">
        <v>1</v>
      </c>
      <c r="Q619" s="2">
        <v>1</v>
      </c>
      <c r="R619" s="2">
        <v>1</v>
      </c>
      <c r="S619" s="2">
        <v>0.5</v>
      </c>
      <c r="T619" s="2">
        <v>1</v>
      </c>
      <c r="U619" s="2">
        <v>2</v>
      </c>
      <c r="V619" s="2">
        <v>2</v>
      </c>
      <c r="W619" s="2">
        <v>2</v>
      </c>
      <c r="X619" s="2">
        <v>1</v>
      </c>
      <c r="Y619" s="2">
        <v>0.5</v>
      </c>
      <c r="Z619" s="2">
        <v>1</v>
      </c>
      <c r="AA619" s="2">
        <v>0.5</v>
      </c>
      <c r="AB619" s="2">
        <v>0.5</v>
      </c>
      <c r="AC619" s="2">
        <v>2</v>
      </c>
      <c r="AD619" s="2">
        <v>66</v>
      </c>
      <c r="AE619" s="2">
        <v>5120</v>
      </c>
      <c r="AF619" s="2">
        <v>70</v>
      </c>
      <c r="AG619" s="2">
        <v>471</v>
      </c>
      <c r="AH619" s="2">
        <v>75</v>
      </c>
      <c r="AI619" s="2">
        <v>84</v>
      </c>
      <c r="AJ619" s="1">
        <v>1000000</v>
      </c>
      <c r="AK619" s="1">
        <v>0.7</v>
      </c>
      <c r="AL619" s="1">
        <v>109</v>
      </c>
      <c r="AM619" s="2">
        <v>50</v>
      </c>
      <c r="AN619" s="2">
        <f t="shared" si="9"/>
        <v>50</v>
      </c>
      <c r="AO619" s="3">
        <v>618</v>
      </c>
      <c r="AP619" s="3">
        <v>81</v>
      </c>
      <c r="AQ619" s="3">
        <v>99</v>
      </c>
      <c r="AR619" s="3">
        <v>32</v>
      </c>
      <c r="AS619" s="1">
        <v>11</v>
      </c>
      <c r="AT619" s="3">
        <v>5</v>
      </c>
      <c r="AU619" s="3" t="s">
        <v>3051</v>
      </c>
    </row>
    <row r="620" spans="1:47" x14ac:dyDescent="0.3">
      <c r="A620" s="1" t="s">
        <v>1746</v>
      </c>
      <c r="B620" s="1" t="s">
        <v>1745</v>
      </c>
      <c r="C620" s="1" t="s">
        <v>197</v>
      </c>
      <c r="D620" s="1" t="s">
        <v>52</v>
      </c>
      <c r="E620" s="1" t="s">
        <v>1744</v>
      </c>
      <c r="F620" t="s">
        <v>3126</v>
      </c>
      <c r="G620" t="s">
        <v>3242</v>
      </c>
      <c r="H620" t="s">
        <v>3183</v>
      </c>
      <c r="I620" t="s">
        <v>52</v>
      </c>
      <c r="J620" t="s">
        <v>52</v>
      </c>
      <c r="K620" t="s">
        <v>52</v>
      </c>
      <c r="L620" s="2">
        <v>0.5</v>
      </c>
      <c r="M620" s="2">
        <v>0.5</v>
      </c>
      <c r="N620" s="2">
        <v>1</v>
      </c>
      <c r="O620" s="2">
        <v>1</v>
      </c>
      <c r="P620" s="2">
        <v>2</v>
      </c>
      <c r="Q620" s="2">
        <v>1</v>
      </c>
      <c r="R620" s="2">
        <v>1</v>
      </c>
      <c r="S620" s="2">
        <v>2</v>
      </c>
      <c r="T620" s="2">
        <v>1</v>
      </c>
      <c r="U620" s="2">
        <v>1</v>
      </c>
      <c r="V620" s="2">
        <v>1</v>
      </c>
      <c r="W620" s="2">
        <v>1</v>
      </c>
      <c r="X620" s="2">
        <v>1</v>
      </c>
      <c r="Y620" s="2">
        <v>1</v>
      </c>
      <c r="Z620" s="2">
        <v>2</v>
      </c>
      <c r="AA620" s="2">
        <v>0.5</v>
      </c>
      <c r="AB620" s="2">
        <v>1</v>
      </c>
      <c r="AC620" s="2">
        <v>1</v>
      </c>
      <c r="AD620" s="2">
        <v>85</v>
      </c>
      <c r="AE620" s="2">
        <v>6400</v>
      </c>
      <c r="AF620" s="2">
        <v>70</v>
      </c>
      <c r="AG620" s="2">
        <v>350</v>
      </c>
      <c r="AH620" s="2">
        <v>180</v>
      </c>
      <c r="AI620" s="2">
        <v>50</v>
      </c>
      <c r="AJ620" s="1">
        <v>1059860</v>
      </c>
      <c r="AK620" s="1">
        <v>0.9</v>
      </c>
      <c r="AL620" s="1">
        <v>45</v>
      </c>
      <c r="AM620" s="2">
        <v>50</v>
      </c>
      <c r="AN620" s="2">
        <f t="shared" si="9"/>
        <v>50</v>
      </c>
      <c r="AO620" s="3">
        <v>619</v>
      </c>
      <c r="AP620" s="3">
        <v>55</v>
      </c>
      <c r="AQ620" s="3">
        <v>50</v>
      </c>
      <c r="AR620" s="3">
        <v>65</v>
      </c>
      <c r="AS620" s="1">
        <v>20</v>
      </c>
      <c r="AT620" s="3">
        <v>5</v>
      </c>
      <c r="AU620" s="3" t="s">
        <v>3051</v>
      </c>
    </row>
    <row r="621" spans="1:47" x14ac:dyDescent="0.3">
      <c r="A621" s="1" t="s">
        <v>1748</v>
      </c>
      <c r="B621" s="1" t="s">
        <v>1747</v>
      </c>
      <c r="C621" s="1" t="s">
        <v>197</v>
      </c>
      <c r="D621" s="1" t="s">
        <v>52</v>
      </c>
      <c r="E621" s="1" t="s">
        <v>1744</v>
      </c>
      <c r="F621" t="s">
        <v>3126</v>
      </c>
      <c r="G621" t="s">
        <v>3242</v>
      </c>
      <c r="H621" t="s">
        <v>3183</v>
      </c>
      <c r="I621" t="s">
        <v>52</v>
      </c>
      <c r="J621" t="s">
        <v>52</v>
      </c>
      <c r="K621" t="s">
        <v>52</v>
      </c>
      <c r="L621" s="2">
        <v>0.5</v>
      </c>
      <c r="M621" s="2">
        <v>0.5</v>
      </c>
      <c r="N621" s="2">
        <v>1</v>
      </c>
      <c r="O621" s="2">
        <v>1</v>
      </c>
      <c r="P621" s="2">
        <v>2</v>
      </c>
      <c r="Q621" s="2">
        <v>1</v>
      </c>
      <c r="R621" s="2">
        <v>1</v>
      </c>
      <c r="S621" s="2">
        <v>2</v>
      </c>
      <c r="T621" s="2">
        <v>1</v>
      </c>
      <c r="U621" s="2">
        <v>1</v>
      </c>
      <c r="V621" s="2">
        <v>1</v>
      </c>
      <c r="W621" s="2">
        <v>1</v>
      </c>
      <c r="X621" s="2">
        <v>1</v>
      </c>
      <c r="Y621" s="2">
        <v>1</v>
      </c>
      <c r="Z621" s="2">
        <v>2</v>
      </c>
      <c r="AA621" s="2">
        <v>0.5</v>
      </c>
      <c r="AB621" s="2">
        <v>1</v>
      </c>
      <c r="AC621" s="2">
        <v>1</v>
      </c>
      <c r="AD621" s="2">
        <v>125</v>
      </c>
      <c r="AE621" s="2">
        <v>6400</v>
      </c>
      <c r="AF621" s="2">
        <v>70</v>
      </c>
      <c r="AG621" s="2">
        <v>510</v>
      </c>
      <c r="AH621" s="2">
        <v>45</v>
      </c>
      <c r="AI621" s="2">
        <v>60</v>
      </c>
      <c r="AJ621" s="1">
        <v>1059860</v>
      </c>
      <c r="AK621" s="1">
        <v>1.4</v>
      </c>
      <c r="AL621" s="1">
        <v>65</v>
      </c>
      <c r="AM621" s="2">
        <v>50</v>
      </c>
      <c r="AN621" s="2">
        <f t="shared" si="9"/>
        <v>50</v>
      </c>
      <c r="AO621" s="3">
        <v>620</v>
      </c>
      <c r="AP621" s="3">
        <v>95</v>
      </c>
      <c r="AQ621" s="3">
        <v>60</v>
      </c>
      <c r="AR621" s="3">
        <v>105</v>
      </c>
      <c r="AS621" s="1">
        <v>35.5</v>
      </c>
      <c r="AT621" s="3">
        <v>5</v>
      </c>
      <c r="AU621" s="3" t="s">
        <v>3051</v>
      </c>
    </row>
    <row r="622" spans="1:47" x14ac:dyDescent="0.3">
      <c r="A622" s="1" t="s">
        <v>1750</v>
      </c>
      <c r="B622" s="1" t="s">
        <v>1749</v>
      </c>
      <c r="C622" s="1" t="s">
        <v>443</v>
      </c>
      <c r="D622" s="1" t="s">
        <v>52</v>
      </c>
      <c r="E622" s="1" t="s">
        <v>1258</v>
      </c>
      <c r="F622" t="s">
        <v>3158</v>
      </c>
      <c r="G622" t="s">
        <v>3184</v>
      </c>
      <c r="H622" t="s">
        <v>3165</v>
      </c>
      <c r="I622" t="s">
        <v>52</v>
      </c>
      <c r="J622" t="s">
        <v>52</v>
      </c>
      <c r="K622" t="s">
        <v>52</v>
      </c>
      <c r="L622" s="2">
        <v>1</v>
      </c>
      <c r="M622" s="2">
        <v>1</v>
      </c>
      <c r="N622" s="2">
        <v>2</v>
      </c>
      <c r="O622" s="2">
        <v>0.5</v>
      </c>
      <c r="P622" s="2">
        <v>2</v>
      </c>
      <c r="Q622" s="2">
        <v>1</v>
      </c>
      <c r="R622" s="2">
        <v>0.5</v>
      </c>
      <c r="S622" s="2">
        <v>1</v>
      </c>
      <c r="T622" s="2">
        <v>1</v>
      </c>
      <c r="U622" s="2">
        <v>0.5</v>
      </c>
      <c r="V622" s="2">
        <v>1</v>
      </c>
      <c r="W622" s="2">
        <v>2</v>
      </c>
      <c r="X622" s="2">
        <v>1</v>
      </c>
      <c r="Y622" s="2">
        <v>1</v>
      </c>
      <c r="Z622" s="2">
        <v>1</v>
      </c>
      <c r="AA622" s="2">
        <v>1</v>
      </c>
      <c r="AB622" s="2">
        <v>1</v>
      </c>
      <c r="AC622" s="2">
        <v>0.5</v>
      </c>
      <c r="AD622" s="2">
        <v>120</v>
      </c>
      <c r="AE622" s="2">
        <v>7680</v>
      </c>
      <c r="AF622" s="2">
        <v>70</v>
      </c>
      <c r="AG622" s="2">
        <v>485</v>
      </c>
      <c r="AH622" s="2">
        <v>45</v>
      </c>
      <c r="AI622" s="2">
        <v>90</v>
      </c>
      <c r="AJ622" s="1">
        <v>1000000</v>
      </c>
      <c r="AK622" s="1">
        <v>1.6</v>
      </c>
      <c r="AL622" s="1">
        <v>77</v>
      </c>
      <c r="AM622" s="2">
        <v>50</v>
      </c>
      <c r="AN622" s="2">
        <f t="shared" si="9"/>
        <v>50</v>
      </c>
      <c r="AO622" s="3">
        <v>621</v>
      </c>
      <c r="AP622" s="3">
        <v>60</v>
      </c>
      <c r="AQ622" s="3">
        <v>90</v>
      </c>
      <c r="AR622" s="3">
        <v>48</v>
      </c>
      <c r="AS622" s="1">
        <v>139</v>
      </c>
      <c r="AT622" s="3">
        <v>5</v>
      </c>
      <c r="AU622" s="3" t="s">
        <v>3051</v>
      </c>
    </row>
    <row r="623" spans="1:47" x14ac:dyDescent="0.3">
      <c r="A623" s="1" t="s">
        <v>1753</v>
      </c>
      <c r="B623" s="1" t="s">
        <v>1752</v>
      </c>
      <c r="C623" s="1" t="s">
        <v>120</v>
      </c>
      <c r="D623" s="1" t="s">
        <v>293</v>
      </c>
      <c r="E623" s="1" t="s">
        <v>1751</v>
      </c>
      <c r="F623" t="s">
        <v>3190</v>
      </c>
      <c r="G623" t="s">
        <v>3270</v>
      </c>
      <c r="H623" t="s">
        <v>3085</v>
      </c>
      <c r="I623" t="s">
        <v>52</v>
      </c>
      <c r="J623" t="s">
        <v>52</v>
      </c>
      <c r="K623" t="s">
        <v>52</v>
      </c>
      <c r="L623" s="2">
        <v>0.5</v>
      </c>
      <c r="M623" s="2">
        <v>2</v>
      </c>
      <c r="N623" s="2">
        <v>1</v>
      </c>
      <c r="O623" s="2">
        <v>0</v>
      </c>
      <c r="P623" s="2">
        <v>1</v>
      </c>
      <c r="Q623" s="2">
        <v>0</v>
      </c>
      <c r="R623" s="2">
        <v>1</v>
      </c>
      <c r="S623" s="2">
        <v>1</v>
      </c>
      <c r="T623" s="2">
        <v>2</v>
      </c>
      <c r="U623" s="2">
        <v>2</v>
      </c>
      <c r="V623" s="2">
        <v>1</v>
      </c>
      <c r="W623" s="2">
        <v>2</v>
      </c>
      <c r="X623" s="2">
        <v>0</v>
      </c>
      <c r="Y623" s="2">
        <v>0.25</v>
      </c>
      <c r="Z623" s="2">
        <v>1</v>
      </c>
      <c r="AA623" s="2">
        <v>0.5</v>
      </c>
      <c r="AB623" s="2">
        <v>1</v>
      </c>
      <c r="AC623" s="2">
        <v>2</v>
      </c>
      <c r="AD623" s="2">
        <v>74</v>
      </c>
      <c r="AE623" s="2">
        <v>6400</v>
      </c>
      <c r="AF623" s="2">
        <v>70</v>
      </c>
      <c r="AG623" s="2">
        <v>303</v>
      </c>
      <c r="AH623" s="2">
        <v>190</v>
      </c>
      <c r="AI623" s="2">
        <v>50</v>
      </c>
      <c r="AJ623" s="1">
        <v>1000000</v>
      </c>
      <c r="AK623" s="1">
        <v>1</v>
      </c>
      <c r="AL623" s="1">
        <v>59</v>
      </c>
      <c r="AM623" s="2" t="s">
        <v>52</v>
      </c>
      <c r="AN623" s="2" t="str">
        <f t="shared" si="9"/>
        <v/>
      </c>
      <c r="AO623" s="3">
        <v>622</v>
      </c>
      <c r="AP623" s="3">
        <v>35</v>
      </c>
      <c r="AQ623" s="3">
        <v>50</v>
      </c>
      <c r="AR623" s="3">
        <v>35</v>
      </c>
      <c r="AS623" s="1">
        <v>92</v>
      </c>
      <c r="AT623" s="3">
        <v>5</v>
      </c>
      <c r="AU623" s="3" t="s">
        <v>3051</v>
      </c>
    </row>
    <row r="624" spans="1:47" x14ac:dyDescent="0.3">
      <c r="A624" s="1" t="s">
        <v>1755</v>
      </c>
      <c r="B624" s="1" t="s">
        <v>1754</v>
      </c>
      <c r="C624" s="1" t="s">
        <v>120</v>
      </c>
      <c r="D624" s="1" t="s">
        <v>293</v>
      </c>
      <c r="E624" s="1" t="s">
        <v>1751</v>
      </c>
      <c r="F624" t="s">
        <v>3190</v>
      </c>
      <c r="G624" t="s">
        <v>3270</v>
      </c>
      <c r="H624" t="s">
        <v>3085</v>
      </c>
      <c r="I624" t="s">
        <v>52</v>
      </c>
      <c r="J624" t="s">
        <v>52</v>
      </c>
      <c r="K624" t="s">
        <v>52</v>
      </c>
      <c r="L624" s="2">
        <v>0.5</v>
      </c>
      <c r="M624" s="2">
        <v>2</v>
      </c>
      <c r="N624" s="2">
        <v>1</v>
      </c>
      <c r="O624" s="2">
        <v>0</v>
      </c>
      <c r="P624" s="2">
        <v>1</v>
      </c>
      <c r="Q624" s="2">
        <v>0</v>
      </c>
      <c r="R624" s="2">
        <v>1</v>
      </c>
      <c r="S624" s="2">
        <v>1</v>
      </c>
      <c r="T624" s="2">
        <v>2</v>
      </c>
      <c r="U624" s="2">
        <v>2</v>
      </c>
      <c r="V624" s="2">
        <v>1</v>
      </c>
      <c r="W624" s="2">
        <v>2</v>
      </c>
      <c r="X624" s="2">
        <v>0</v>
      </c>
      <c r="Y624" s="2">
        <v>0.25</v>
      </c>
      <c r="Z624" s="2">
        <v>1</v>
      </c>
      <c r="AA624" s="2">
        <v>0.5</v>
      </c>
      <c r="AB624" s="2">
        <v>1</v>
      </c>
      <c r="AC624" s="2">
        <v>2</v>
      </c>
      <c r="AD624" s="2">
        <v>124</v>
      </c>
      <c r="AE624" s="2">
        <v>6400</v>
      </c>
      <c r="AF624" s="2">
        <v>70</v>
      </c>
      <c r="AG624" s="2">
        <v>483</v>
      </c>
      <c r="AH624" s="2">
        <v>90</v>
      </c>
      <c r="AI624" s="2">
        <v>80</v>
      </c>
      <c r="AJ624" s="1">
        <v>1000000</v>
      </c>
      <c r="AK624" s="1">
        <v>2.8</v>
      </c>
      <c r="AL624" s="1">
        <v>89</v>
      </c>
      <c r="AM624" s="2" t="s">
        <v>52</v>
      </c>
      <c r="AN624" s="2" t="str">
        <f t="shared" si="9"/>
        <v/>
      </c>
      <c r="AO624" s="3">
        <v>623</v>
      </c>
      <c r="AP624" s="3">
        <v>55</v>
      </c>
      <c r="AQ624" s="3">
        <v>80</v>
      </c>
      <c r="AR624" s="3">
        <v>55</v>
      </c>
      <c r="AS624" s="1">
        <v>330</v>
      </c>
      <c r="AT624" s="3">
        <v>5</v>
      </c>
      <c r="AU624" s="3" t="s">
        <v>3051</v>
      </c>
    </row>
    <row r="625" spans="1:47" x14ac:dyDescent="0.3">
      <c r="A625" s="1" t="s">
        <v>1758</v>
      </c>
      <c r="B625" s="1" t="s">
        <v>1757</v>
      </c>
      <c r="C625" s="1" t="s">
        <v>99</v>
      </c>
      <c r="D625" s="1" t="s">
        <v>263</v>
      </c>
      <c r="E625" s="1" t="s">
        <v>1756</v>
      </c>
      <c r="F625" t="s">
        <v>3191</v>
      </c>
      <c r="G625" t="s">
        <v>3126</v>
      </c>
      <c r="H625" t="s">
        <v>3067</v>
      </c>
      <c r="I625" t="s">
        <v>52</v>
      </c>
      <c r="J625" t="s">
        <v>52</v>
      </c>
      <c r="K625" t="s">
        <v>52</v>
      </c>
      <c r="L625" s="2">
        <v>1</v>
      </c>
      <c r="M625" s="2">
        <v>0.5</v>
      </c>
      <c r="N625" s="2">
        <v>0.5</v>
      </c>
      <c r="O625" s="2">
        <v>1</v>
      </c>
      <c r="P625" s="2">
        <v>1</v>
      </c>
      <c r="Q625" s="2">
        <v>4</v>
      </c>
      <c r="R625" s="2">
        <v>2</v>
      </c>
      <c r="S625" s="2">
        <v>0.5</v>
      </c>
      <c r="T625" s="2">
        <v>0.5</v>
      </c>
      <c r="U625" s="2">
        <v>0.5</v>
      </c>
      <c r="V625" s="2">
        <v>2</v>
      </c>
      <c r="W625" s="2">
        <v>0.5</v>
      </c>
      <c r="X625" s="2">
        <v>0.5</v>
      </c>
      <c r="Y625" s="2">
        <v>0</v>
      </c>
      <c r="Z625" s="2">
        <v>0</v>
      </c>
      <c r="AA625" s="2">
        <v>0.5</v>
      </c>
      <c r="AB625" s="2">
        <v>0.5</v>
      </c>
      <c r="AC625" s="2">
        <v>1</v>
      </c>
      <c r="AD625" s="2">
        <v>85</v>
      </c>
      <c r="AE625" s="2">
        <v>5120</v>
      </c>
      <c r="AF625" s="2">
        <v>35</v>
      </c>
      <c r="AG625" s="2">
        <v>340</v>
      </c>
      <c r="AH625" s="2">
        <v>120</v>
      </c>
      <c r="AI625" s="2">
        <v>70</v>
      </c>
      <c r="AJ625" s="1">
        <v>1000000</v>
      </c>
      <c r="AK625" s="1">
        <v>0.5</v>
      </c>
      <c r="AL625" s="1">
        <v>45</v>
      </c>
      <c r="AM625" s="2">
        <v>50</v>
      </c>
      <c r="AN625" s="2">
        <f t="shared" si="9"/>
        <v>50</v>
      </c>
      <c r="AO625" s="3">
        <v>624</v>
      </c>
      <c r="AP625" s="3">
        <v>40</v>
      </c>
      <c r="AQ625" s="3">
        <v>40</v>
      </c>
      <c r="AR625" s="3">
        <v>60</v>
      </c>
      <c r="AS625" s="1">
        <v>10.199999999999999</v>
      </c>
      <c r="AT625" s="3">
        <v>5</v>
      </c>
      <c r="AU625" s="3" t="s">
        <v>3051</v>
      </c>
    </row>
    <row r="626" spans="1:47" x14ac:dyDescent="0.3">
      <c r="A626" s="1" t="s">
        <v>1761</v>
      </c>
      <c r="B626" s="1" t="s">
        <v>1760</v>
      </c>
      <c r="C626" s="1" t="s">
        <v>99</v>
      </c>
      <c r="D626" s="1" t="s">
        <v>263</v>
      </c>
      <c r="E626" s="1" t="s">
        <v>1759</v>
      </c>
      <c r="F626" t="s">
        <v>3191</v>
      </c>
      <c r="G626" t="s">
        <v>3126</v>
      </c>
      <c r="H626" t="s">
        <v>3067</v>
      </c>
      <c r="I626" t="s">
        <v>52</v>
      </c>
      <c r="J626" t="s">
        <v>52</v>
      </c>
      <c r="K626" t="s">
        <v>52</v>
      </c>
      <c r="L626" s="2">
        <v>1</v>
      </c>
      <c r="M626" s="2">
        <v>0.5</v>
      </c>
      <c r="N626" s="2">
        <v>0.5</v>
      </c>
      <c r="O626" s="2">
        <v>1</v>
      </c>
      <c r="P626" s="2">
        <v>1</v>
      </c>
      <c r="Q626" s="2">
        <v>4</v>
      </c>
      <c r="R626" s="2">
        <v>2</v>
      </c>
      <c r="S626" s="2">
        <v>0.5</v>
      </c>
      <c r="T626" s="2">
        <v>0.5</v>
      </c>
      <c r="U626" s="2">
        <v>0.5</v>
      </c>
      <c r="V626" s="2">
        <v>2</v>
      </c>
      <c r="W626" s="2">
        <v>0.5</v>
      </c>
      <c r="X626" s="2">
        <v>0.5</v>
      </c>
      <c r="Y626" s="2">
        <v>0</v>
      </c>
      <c r="Z626" s="2">
        <v>0</v>
      </c>
      <c r="AA626" s="2">
        <v>0.5</v>
      </c>
      <c r="AB626" s="2">
        <v>0.5</v>
      </c>
      <c r="AC626" s="2">
        <v>1</v>
      </c>
      <c r="AD626" s="2">
        <v>125</v>
      </c>
      <c r="AE626" s="2">
        <v>5120</v>
      </c>
      <c r="AF626" s="2">
        <v>35</v>
      </c>
      <c r="AG626" s="2">
        <v>490</v>
      </c>
      <c r="AH626" s="2">
        <v>45</v>
      </c>
      <c r="AI626" s="2">
        <v>100</v>
      </c>
      <c r="AJ626" s="1">
        <v>1000000</v>
      </c>
      <c r="AK626" s="1">
        <v>1.6</v>
      </c>
      <c r="AL626" s="1">
        <v>65</v>
      </c>
      <c r="AM626" s="2">
        <v>50</v>
      </c>
      <c r="AN626" s="2">
        <f t="shared" si="9"/>
        <v>50</v>
      </c>
      <c r="AO626" s="3">
        <v>625</v>
      </c>
      <c r="AP626" s="3">
        <v>60</v>
      </c>
      <c r="AQ626" s="3">
        <v>70</v>
      </c>
      <c r="AR626" s="3">
        <v>70</v>
      </c>
      <c r="AS626" s="1">
        <v>70</v>
      </c>
      <c r="AT626" s="3">
        <v>5</v>
      </c>
      <c r="AU626" s="3" t="s">
        <v>3051</v>
      </c>
    </row>
    <row r="627" spans="1:47" x14ac:dyDescent="0.3">
      <c r="A627" s="1" t="s">
        <v>1764</v>
      </c>
      <c r="B627" s="1" t="s">
        <v>1763</v>
      </c>
      <c r="C627" s="1" t="s">
        <v>90</v>
      </c>
      <c r="D627" s="1" t="s">
        <v>52</v>
      </c>
      <c r="E627" s="1" t="s">
        <v>1762</v>
      </c>
      <c r="F627" t="s">
        <v>3183</v>
      </c>
      <c r="G627" t="s">
        <v>3194</v>
      </c>
      <c r="H627" t="s">
        <v>3139</v>
      </c>
      <c r="I627" t="s">
        <v>52</v>
      </c>
      <c r="J627" t="s">
        <v>52</v>
      </c>
      <c r="K627" t="s">
        <v>52</v>
      </c>
      <c r="L627" s="2">
        <v>1</v>
      </c>
      <c r="M627" s="2">
        <v>1</v>
      </c>
      <c r="N627" s="2">
        <v>1</v>
      </c>
      <c r="O627" s="2">
        <v>1</v>
      </c>
      <c r="P627" s="2">
        <v>1</v>
      </c>
      <c r="Q627" s="2">
        <v>2</v>
      </c>
      <c r="R627" s="2">
        <v>1</v>
      </c>
      <c r="S627" s="2">
        <v>1</v>
      </c>
      <c r="T627" s="2">
        <v>0</v>
      </c>
      <c r="U627" s="2">
        <v>1</v>
      </c>
      <c r="V627" s="2">
        <v>1</v>
      </c>
      <c r="W627" s="2">
        <v>1</v>
      </c>
      <c r="X627" s="2">
        <v>1</v>
      </c>
      <c r="Y627" s="2">
        <v>1</v>
      </c>
      <c r="Z627" s="2">
        <v>1</v>
      </c>
      <c r="AA627" s="2">
        <v>1</v>
      </c>
      <c r="AB627" s="2">
        <v>1</v>
      </c>
      <c r="AC627" s="2">
        <v>1</v>
      </c>
      <c r="AD627" s="2">
        <v>110</v>
      </c>
      <c r="AE627" s="2">
        <v>5120</v>
      </c>
      <c r="AF627" s="2">
        <v>70</v>
      </c>
      <c r="AG627" s="2">
        <v>490</v>
      </c>
      <c r="AH627" s="2">
        <v>45</v>
      </c>
      <c r="AI627" s="2">
        <v>95</v>
      </c>
      <c r="AJ627" s="1">
        <v>1000000</v>
      </c>
      <c r="AK627" s="1">
        <v>1.6</v>
      </c>
      <c r="AL627" s="1">
        <v>95</v>
      </c>
      <c r="AM627" s="2">
        <v>50</v>
      </c>
      <c r="AN627" s="2">
        <f t="shared" si="9"/>
        <v>50</v>
      </c>
      <c r="AO627" s="3">
        <v>626</v>
      </c>
      <c r="AP627" s="3">
        <v>40</v>
      </c>
      <c r="AQ627" s="3">
        <v>95</v>
      </c>
      <c r="AR627" s="3">
        <v>55</v>
      </c>
      <c r="AS627" s="1">
        <v>94.6</v>
      </c>
      <c r="AT627" s="3">
        <v>5</v>
      </c>
      <c r="AU627" s="3" t="s">
        <v>3051</v>
      </c>
    </row>
    <row r="628" spans="1:47" x14ac:dyDescent="0.3">
      <c r="A628" s="1" t="s">
        <v>1767</v>
      </c>
      <c r="B628" s="1" t="s">
        <v>1766</v>
      </c>
      <c r="C628" s="1" t="s">
        <v>90</v>
      </c>
      <c r="D628" s="1" t="s">
        <v>58</v>
      </c>
      <c r="E628" s="1" t="s">
        <v>1765</v>
      </c>
      <c r="F628" t="s">
        <v>3118</v>
      </c>
      <c r="G628" t="s">
        <v>3184</v>
      </c>
      <c r="H628" t="s">
        <v>3079</v>
      </c>
      <c r="I628" t="s">
        <v>52</v>
      </c>
      <c r="J628" t="s">
        <v>52</v>
      </c>
      <c r="K628" t="s">
        <v>52</v>
      </c>
      <c r="L628" s="2">
        <v>0.5</v>
      </c>
      <c r="M628" s="2">
        <v>1</v>
      </c>
      <c r="N628" s="2">
        <v>1</v>
      </c>
      <c r="O628" s="2">
        <v>2</v>
      </c>
      <c r="P628" s="2">
        <v>1</v>
      </c>
      <c r="Q628" s="2">
        <v>1</v>
      </c>
      <c r="R628" s="2">
        <v>1</v>
      </c>
      <c r="S628" s="2">
        <v>1</v>
      </c>
      <c r="T628" s="2">
        <v>0</v>
      </c>
      <c r="U628" s="2">
        <v>0.5</v>
      </c>
      <c r="V628" s="2">
        <v>0</v>
      </c>
      <c r="W628" s="2">
        <v>2</v>
      </c>
      <c r="X628" s="2">
        <v>1</v>
      </c>
      <c r="Y628" s="2">
        <v>1</v>
      </c>
      <c r="Z628" s="2">
        <v>1</v>
      </c>
      <c r="AA628" s="2">
        <v>2</v>
      </c>
      <c r="AB628" s="2">
        <v>1</v>
      </c>
      <c r="AC628" s="2">
        <v>1</v>
      </c>
      <c r="AD628" s="2">
        <v>83</v>
      </c>
      <c r="AE628" s="2">
        <v>5120</v>
      </c>
      <c r="AF628" s="2">
        <v>70</v>
      </c>
      <c r="AG628" s="2">
        <v>350</v>
      </c>
      <c r="AH628" s="2">
        <v>190</v>
      </c>
      <c r="AI628" s="2">
        <v>50</v>
      </c>
      <c r="AJ628" s="1">
        <v>1250000</v>
      </c>
      <c r="AK628" s="1">
        <v>0.5</v>
      </c>
      <c r="AL628" s="1">
        <v>70</v>
      </c>
      <c r="AM628" s="2">
        <v>100</v>
      </c>
      <c r="AN628" s="2">
        <f t="shared" si="9"/>
        <v>0</v>
      </c>
      <c r="AO628" s="3">
        <v>627</v>
      </c>
      <c r="AP628" s="3">
        <v>37</v>
      </c>
      <c r="AQ628" s="3">
        <v>50</v>
      </c>
      <c r="AR628" s="3">
        <v>60</v>
      </c>
      <c r="AS628" s="1">
        <v>10.5</v>
      </c>
      <c r="AT628" s="3">
        <v>5</v>
      </c>
      <c r="AU628" s="3" t="s">
        <v>3051</v>
      </c>
    </row>
    <row r="629" spans="1:47" x14ac:dyDescent="0.3">
      <c r="A629" s="1" t="s">
        <v>1770</v>
      </c>
      <c r="B629" s="1" t="s">
        <v>1769</v>
      </c>
      <c r="C629" s="1" t="s">
        <v>90</v>
      </c>
      <c r="D629" s="1" t="s">
        <v>58</v>
      </c>
      <c r="E629" s="1" t="s">
        <v>1768</v>
      </c>
      <c r="F629" t="s">
        <v>3118</v>
      </c>
      <c r="G629" t="s">
        <v>3184</v>
      </c>
      <c r="H629" t="s">
        <v>3191</v>
      </c>
      <c r="I629" t="s">
        <v>52</v>
      </c>
      <c r="J629" t="s">
        <v>52</v>
      </c>
      <c r="K629" t="s">
        <v>52</v>
      </c>
      <c r="L629" s="2">
        <v>0.5</v>
      </c>
      <c r="M629" s="2">
        <v>1</v>
      </c>
      <c r="N629" s="2">
        <v>1</v>
      </c>
      <c r="O629" s="2">
        <v>2</v>
      </c>
      <c r="P629" s="2">
        <v>1</v>
      </c>
      <c r="Q629" s="2">
        <v>1</v>
      </c>
      <c r="R629" s="2">
        <v>1</v>
      </c>
      <c r="S629" s="2">
        <v>1</v>
      </c>
      <c r="T629" s="2">
        <v>0</v>
      </c>
      <c r="U629" s="2">
        <v>0.5</v>
      </c>
      <c r="V629" s="2">
        <v>0</v>
      </c>
      <c r="W629" s="2">
        <v>2</v>
      </c>
      <c r="X629" s="2">
        <v>1</v>
      </c>
      <c r="Y629" s="2">
        <v>1</v>
      </c>
      <c r="Z629" s="2">
        <v>1</v>
      </c>
      <c r="AA629" s="2">
        <v>2</v>
      </c>
      <c r="AB629" s="2">
        <v>1</v>
      </c>
      <c r="AC629" s="2">
        <v>1</v>
      </c>
      <c r="AD629" s="2">
        <v>123</v>
      </c>
      <c r="AE629" s="2">
        <v>5120</v>
      </c>
      <c r="AF629" s="2">
        <v>70</v>
      </c>
      <c r="AG629" s="2">
        <v>510</v>
      </c>
      <c r="AH629" s="2">
        <v>60</v>
      </c>
      <c r="AI629" s="2">
        <v>75</v>
      </c>
      <c r="AJ629" s="1">
        <v>1250000</v>
      </c>
      <c r="AK629" s="1">
        <v>1.5</v>
      </c>
      <c r="AL629" s="1">
        <v>100</v>
      </c>
      <c r="AM629" s="2">
        <v>100</v>
      </c>
      <c r="AN629" s="2">
        <f t="shared" si="9"/>
        <v>0</v>
      </c>
      <c r="AO629" s="3">
        <v>628</v>
      </c>
      <c r="AP629" s="3">
        <v>57</v>
      </c>
      <c r="AQ629" s="3">
        <v>75</v>
      </c>
      <c r="AR629" s="3">
        <v>80</v>
      </c>
      <c r="AS629" s="1">
        <v>41</v>
      </c>
      <c r="AT629" s="3">
        <v>5</v>
      </c>
      <c r="AU629" s="3" t="s">
        <v>3051</v>
      </c>
    </row>
    <row r="630" spans="1:47" x14ac:dyDescent="0.3">
      <c r="A630" s="1" t="s">
        <v>1773</v>
      </c>
      <c r="B630" s="1" t="s">
        <v>1772</v>
      </c>
      <c r="C630" s="1" t="s">
        <v>99</v>
      </c>
      <c r="D630" s="1" t="s">
        <v>58</v>
      </c>
      <c r="E630" s="1" t="s">
        <v>1771</v>
      </c>
      <c r="F630" t="s">
        <v>3179</v>
      </c>
      <c r="G630" t="s">
        <v>3187</v>
      </c>
      <c r="H630" t="s">
        <v>3247</v>
      </c>
      <c r="I630" t="s">
        <v>52</v>
      </c>
      <c r="J630" t="s">
        <v>52</v>
      </c>
      <c r="K630" t="s">
        <v>52</v>
      </c>
      <c r="L630" s="2">
        <v>1</v>
      </c>
      <c r="M630" s="2">
        <v>0.5</v>
      </c>
      <c r="N630" s="2">
        <v>1</v>
      </c>
      <c r="O630" s="2">
        <v>2</v>
      </c>
      <c r="P630" s="2">
        <v>2</v>
      </c>
      <c r="Q630" s="2">
        <v>1</v>
      </c>
      <c r="R630" s="2">
        <v>1</v>
      </c>
      <c r="S630" s="2">
        <v>1</v>
      </c>
      <c r="T630" s="2">
        <v>0.5</v>
      </c>
      <c r="U630" s="2">
        <v>0.5</v>
      </c>
      <c r="V630" s="2">
        <v>0</v>
      </c>
      <c r="W630" s="2">
        <v>2</v>
      </c>
      <c r="X630" s="2">
        <v>1</v>
      </c>
      <c r="Y630" s="2">
        <v>1</v>
      </c>
      <c r="Z630" s="2">
        <v>0</v>
      </c>
      <c r="AA630" s="2">
        <v>2</v>
      </c>
      <c r="AB630" s="2">
        <v>1</v>
      </c>
      <c r="AC630" s="2">
        <v>1</v>
      </c>
      <c r="AD630" s="2">
        <v>55</v>
      </c>
      <c r="AE630" s="2">
        <v>5120</v>
      </c>
      <c r="AF630" s="2">
        <v>35</v>
      </c>
      <c r="AG630" s="2">
        <v>370</v>
      </c>
      <c r="AH630" s="2">
        <v>190</v>
      </c>
      <c r="AI630" s="2">
        <v>75</v>
      </c>
      <c r="AJ630" s="1">
        <v>1250000</v>
      </c>
      <c r="AK630" s="1">
        <v>0.5</v>
      </c>
      <c r="AL630" s="1">
        <v>70</v>
      </c>
      <c r="AM630" s="2">
        <v>0</v>
      </c>
      <c r="AN630" s="2">
        <f t="shared" si="9"/>
        <v>100</v>
      </c>
      <c r="AO630" s="3">
        <v>629</v>
      </c>
      <c r="AP630" s="3">
        <v>45</v>
      </c>
      <c r="AQ630" s="3">
        <v>65</v>
      </c>
      <c r="AR630" s="3">
        <v>60</v>
      </c>
      <c r="AS630" s="1">
        <v>9</v>
      </c>
      <c r="AT630" s="3">
        <v>5</v>
      </c>
      <c r="AU630" s="3" t="s">
        <v>3051</v>
      </c>
    </row>
    <row r="631" spans="1:47" x14ac:dyDescent="0.3">
      <c r="A631" s="1" t="s">
        <v>1776</v>
      </c>
      <c r="B631" s="1" t="s">
        <v>1775</v>
      </c>
      <c r="C631" s="1" t="s">
        <v>99</v>
      </c>
      <c r="D631" s="1" t="s">
        <v>58</v>
      </c>
      <c r="E631" s="1" t="s">
        <v>1774</v>
      </c>
      <c r="F631" t="s">
        <v>3179</v>
      </c>
      <c r="G631" t="s">
        <v>3187</v>
      </c>
      <c r="H631" t="s">
        <v>3247</v>
      </c>
      <c r="I631" t="s">
        <v>52</v>
      </c>
      <c r="J631" t="s">
        <v>52</v>
      </c>
      <c r="K631" t="s">
        <v>52</v>
      </c>
      <c r="L631" s="2">
        <v>1</v>
      </c>
      <c r="M631" s="2">
        <v>0.5</v>
      </c>
      <c r="N631" s="2">
        <v>1</v>
      </c>
      <c r="O631" s="2">
        <v>2</v>
      </c>
      <c r="P631" s="2">
        <v>2</v>
      </c>
      <c r="Q631" s="2">
        <v>1</v>
      </c>
      <c r="R631" s="2">
        <v>1</v>
      </c>
      <c r="S631" s="2">
        <v>1</v>
      </c>
      <c r="T631" s="2">
        <v>0.5</v>
      </c>
      <c r="U631" s="2">
        <v>0.5</v>
      </c>
      <c r="V631" s="2">
        <v>0</v>
      </c>
      <c r="W631" s="2">
        <v>2</v>
      </c>
      <c r="X631" s="2">
        <v>1</v>
      </c>
      <c r="Y631" s="2">
        <v>1</v>
      </c>
      <c r="Z631" s="2">
        <v>0</v>
      </c>
      <c r="AA631" s="2">
        <v>2</v>
      </c>
      <c r="AB631" s="2">
        <v>1</v>
      </c>
      <c r="AC631" s="2">
        <v>1</v>
      </c>
      <c r="AD631" s="2">
        <v>65</v>
      </c>
      <c r="AE631" s="2">
        <v>5120</v>
      </c>
      <c r="AF631" s="2">
        <v>35</v>
      </c>
      <c r="AG631" s="2">
        <v>510</v>
      </c>
      <c r="AH631" s="2">
        <v>60</v>
      </c>
      <c r="AI631" s="2">
        <v>105</v>
      </c>
      <c r="AJ631" s="1">
        <v>1250000</v>
      </c>
      <c r="AK631" s="1">
        <v>1.2</v>
      </c>
      <c r="AL631" s="1">
        <v>110</v>
      </c>
      <c r="AM631" s="2">
        <v>0</v>
      </c>
      <c r="AN631" s="2">
        <f t="shared" si="9"/>
        <v>100</v>
      </c>
      <c r="AO631" s="3">
        <v>630</v>
      </c>
      <c r="AP631" s="3">
        <v>55</v>
      </c>
      <c r="AQ631" s="3">
        <v>95</v>
      </c>
      <c r="AR631" s="3">
        <v>80</v>
      </c>
      <c r="AS631" s="1">
        <v>39.5</v>
      </c>
      <c r="AT631" s="3">
        <v>5</v>
      </c>
      <c r="AU631" s="3" t="s">
        <v>3051</v>
      </c>
    </row>
    <row r="632" spans="1:47" x14ac:dyDescent="0.3">
      <c r="A632" s="1" t="s">
        <v>1779</v>
      </c>
      <c r="B632" s="1" t="s">
        <v>1778</v>
      </c>
      <c r="C632" s="1" t="s">
        <v>51</v>
      </c>
      <c r="D632" s="1" t="s">
        <v>52</v>
      </c>
      <c r="E632" s="1" t="s">
        <v>1777</v>
      </c>
      <c r="F632" t="s">
        <v>3177</v>
      </c>
      <c r="G632" t="s">
        <v>3125</v>
      </c>
      <c r="H632" t="s">
        <v>3160</v>
      </c>
      <c r="I632" t="s">
        <v>52</v>
      </c>
      <c r="J632" t="s">
        <v>52</v>
      </c>
      <c r="K632" t="s">
        <v>52</v>
      </c>
      <c r="L632" s="2">
        <v>0.5</v>
      </c>
      <c r="M632" s="2">
        <v>1</v>
      </c>
      <c r="N632" s="2">
        <v>1</v>
      </c>
      <c r="O632" s="2">
        <v>1</v>
      </c>
      <c r="P632" s="2">
        <v>0.5</v>
      </c>
      <c r="Q632" s="2">
        <v>1</v>
      </c>
      <c r="R632" s="2">
        <v>0.5</v>
      </c>
      <c r="S632" s="2">
        <v>1</v>
      </c>
      <c r="T632" s="2">
        <v>1</v>
      </c>
      <c r="U632" s="2">
        <v>0.5</v>
      </c>
      <c r="V632" s="2">
        <v>2</v>
      </c>
      <c r="W632" s="2">
        <v>0.5</v>
      </c>
      <c r="X632" s="2">
        <v>1</v>
      </c>
      <c r="Y632" s="2">
        <v>1</v>
      </c>
      <c r="Z632" s="2">
        <v>1</v>
      </c>
      <c r="AA632" s="2">
        <v>2</v>
      </c>
      <c r="AB632" s="2">
        <v>0.5</v>
      </c>
      <c r="AC632" s="2">
        <v>2</v>
      </c>
      <c r="AD632" s="2">
        <v>97</v>
      </c>
      <c r="AE632" s="2">
        <v>5120</v>
      </c>
      <c r="AF632" s="2">
        <v>70</v>
      </c>
      <c r="AG632" s="2">
        <v>484</v>
      </c>
      <c r="AH632" s="2">
        <v>90</v>
      </c>
      <c r="AI632" s="2">
        <v>66</v>
      </c>
      <c r="AJ632" s="1">
        <v>1000000</v>
      </c>
      <c r="AK632" s="1">
        <v>1.4</v>
      </c>
      <c r="AL632" s="1">
        <v>85</v>
      </c>
      <c r="AM632" s="2">
        <v>50</v>
      </c>
      <c r="AN632" s="2">
        <f t="shared" si="9"/>
        <v>50</v>
      </c>
      <c r="AO632" s="3">
        <v>631</v>
      </c>
      <c r="AP632" s="3">
        <v>105</v>
      </c>
      <c r="AQ632" s="3">
        <v>66</v>
      </c>
      <c r="AR632" s="3">
        <v>65</v>
      </c>
      <c r="AS632" s="1">
        <v>58</v>
      </c>
      <c r="AT632" s="3">
        <v>5</v>
      </c>
      <c r="AU632" s="3" t="s">
        <v>3051</v>
      </c>
    </row>
    <row r="633" spans="1:47" x14ac:dyDescent="0.3">
      <c r="A633" s="1" t="s">
        <v>1782</v>
      </c>
      <c r="B633" s="1" t="s">
        <v>1781</v>
      </c>
      <c r="C633" s="1" t="s">
        <v>72</v>
      </c>
      <c r="D633" s="1" t="s">
        <v>263</v>
      </c>
      <c r="E633" s="1" t="s">
        <v>1780</v>
      </c>
      <c r="F633" t="s">
        <v>3093</v>
      </c>
      <c r="G633" t="s">
        <v>3079</v>
      </c>
      <c r="H633" t="s">
        <v>3059</v>
      </c>
      <c r="I633" t="s">
        <v>52</v>
      </c>
      <c r="J633" t="s">
        <v>52</v>
      </c>
      <c r="K633" t="s">
        <v>52</v>
      </c>
      <c r="L633" s="2">
        <v>0.5</v>
      </c>
      <c r="M633" s="2">
        <v>1</v>
      </c>
      <c r="N633" s="2">
        <v>0.5</v>
      </c>
      <c r="O633" s="2">
        <v>1</v>
      </c>
      <c r="P633" s="2">
        <v>0.5</v>
      </c>
      <c r="Q633" s="2">
        <v>1</v>
      </c>
      <c r="R633" s="2">
        <v>4</v>
      </c>
      <c r="S633" s="2">
        <v>1</v>
      </c>
      <c r="T633" s="2">
        <v>1</v>
      </c>
      <c r="U633" s="2">
        <v>0.25</v>
      </c>
      <c r="V633" s="2">
        <v>1</v>
      </c>
      <c r="W633" s="2">
        <v>0.5</v>
      </c>
      <c r="X633" s="2">
        <v>0.5</v>
      </c>
      <c r="Y633" s="2">
        <v>0</v>
      </c>
      <c r="Z633" s="2">
        <v>0.5</v>
      </c>
      <c r="AA633" s="2">
        <v>1</v>
      </c>
      <c r="AB633" s="2">
        <v>0.5</v>
      </c>
      <c r="AC633" s="2">
        <v>1</v>
      </c>
      <c r="AD633" s="2">
        <v>109</v>
      </c>
      <c r="AE633" s="2">
        <v>5120</v>
      </c>
      <c r="AF633" s="2">
        <v>70</v>
      </c>
      <c r="AG633" s="2">
        <v>484</v>
      </c>
      <c r="AH633" s="2">
        <v>90</v>
      </c>
      <c r="AI633" s="2">
        <v>112</v>
      </c>
      <c r="AJ633" s="1">
        <v>1000000</v>
      </c>
      <c r="AK633" s="1">
        <v>0.3</v>
      </c>
      <c r="AL633" s="1">
        <v>58</v>
      </c>
      <c r="AM633" s="2">
        <v>50</v>
      </c>
      <c r="AN633" s="2">
        <f t="shared" si="9"/>
        <v>50</v>
      </c>
      <c r="AO633" s="3">
        <v>632</v>
      </c>
      <c r="AP633" s="3">
        <v>48</v>
      </c>
      <c r="AQ633" s="3">
        <v>48</v>
      </c>
      <c r="AR633" s="3">
        <v>109</v>
      </c>
      <c r="AS633" s="1">
        <v>33</v>
      </c>
      <c r="AT633" s="3">
        <v>5</v>
      </c>
      <c r="AU633" s="3" t="s">
        <v>3051</v>
      </c>
    </row>
    <row r="634" spans="1:47" x14ac:dyDescent="0.3">
      <c r="A634" s="1" t="s">
        <v>1785</v>
      </c>
      <c r="B634" s="1" t="s">
        <v>1784</v>
      </c>
      <c r="C634" s="1" t="s">
        <v>99</v>
      </c>
      <c r="D634" s="1" t="s">
        <v>443</v>
      </c>
      <c r="E634" s="1" t="s">
        <v>1783</v>
      </c>
      <c r="F634" t="s">
        <v>3079</v>
      </c>
      <c r="G634" t="s">
        <v>52</v>
      </c>
      <c r="H634" t="s">
        <v>52</v>
      </c>
      <c r="I634" t="s">
        <v>52</v>
      </c>
      <c r="J634" t="s">
        <v>52</v>
      </c>
      <c r="K634" t="s">
        <v>52</v>
      </c>
      <c r="L634" s="2">
        <v>2</v>
      </c>
      <c r="M634" s="2">
        <v>0.5</v>
      </c>
      <c r="N634" s="2">
        <v>2</v>
      </c>
      <c r="O634" s="2">
        <v>0.5</v>
      </c>
      <c r="P634" s="2">
        <v>4</v>
      </c>
      <c r="Q634" s="2">
        <v>2</v>
      </c>
      <c r="R634" s="2">
        <v>0.5</v>
      </c>
      <c r="S634" s="2">
        <v>1</v>
      </c>
      <c r="T634" s="2">
        <v>0.5</v>
      </c>
      <c r="U634" s="2">
        <v>0.5</v>
      </c>
      <c r="V634" s="2">
        <v>1</v>
      </c>
      <c r="W634" s="2">
        <v>2</v>
      </c>
      <c r="X634" s="2">
        <v>1</v>
      </c>
      <c r="Y634" s="2">
        <v>1</v>
      </c>
      <c r="Z634" s="2">
        <v>0</v>
      </c>
      <c r="AA634" s="2">
        <v>1</v>
      </c>
      <c r="AB634" s="2">
        <v>1</v>
      </c>
      <c r="AC634" s="2">
        <v>0.5</v>
      </c>
      <c r="AD634" s="2">
        <v>65</v>
      </c>
      <c r="AE634" s="2">
        <v>10240</v>
      </c>
      <c r="AF634" s="2">
        <v>35</v>
      </c>
      <c r="AG634" s="2">
        <v>300</v>
      </c>
      <c r="AH634" s="2">
        <v>45</v>
      </c>
      <c r="AI634" s="2">
        <v>50</v>
      </c>
      <c r="AJ634" s="1">
        <v>1250000</v>
      </c>
      <c r="AK634" s="1">
        <v>0.8</v>
      </c>
      <c r="AL634" s="1">
        <v>52</v>
      </c>
      <c r="AM634" s="2">
        <v>50</v>
      </c>
      <c r="AN634" s="2">
        <f t="shared" si="9"/>
        <v>50</v>
      </c>
      <c r="AO634" s="3">
        <v>633</v>
      </c>
      <c r="AP634" s="3">
        <v>45</v>
      </c>
      <c r="AQ634" s="3">
        <v>50</v>
      </c>
      <c r="AR634" s="3">
        <v>38</v>
      </c>
      <c r="AS634" s="1">
        <v>17.3</v>
      </c>
      <c r="AT634" s="3">
        <v>5</v>
      </c>
      <c r="AU634" s="3" t="s">
        <v>3051</v>
      </c>
    </row>
    <row r="635" spans="1:47" x14ac:dyDescent="0.3">
      <c r="A635" s="1" t="s">
        <v>1787</v>
      </c>
      <c r="B635" s="1" t="s">
        <v>1786</v>
      </c>
      <c r="C635" s="1" t="s">
        <v>99</v>
      </c>
      <c r="D635" s="1" t="s">
        <v>443</v>
      </c>
      <c r="E635" s="1" t="s">
        <v>1554</v>
      </c>
      <c r="F635" t="s">
        <v>3079</v>
      </c>
      <c r="G635" t="s">
        <v>52</v>
      </c>
      <c r="H635" t="s">
        <v>52</v>
      </c>
      <c r="I635" t="s">
        <v>52</v>
      </c>
      <c r="J635" t="s">
        <v>52</v>
      </c>
      <c r="K635" t="s">
        <v>52</v>
      </c>
      <c r="L635" s="2">
        <v>2</v>
      </c>
      <c r="M635" s="2">
        <v>0.5</v>
      </c>
      <c r="N635" s="2">
        <v>2</v>
      </c>
      <c r="O635" s="2">
        <v>0.5</v>
      </c>
      <c r="P635" s="2">
        <v>4</v>
      </c>
      <c r="Q635" s="2">
        <v>2</v>
      </c>
      <c r="R635" s="2">
        <v>0.5</v>
      </c>
      <c r="S635" s="2">
        <v>1</v>
      </c>
      <c r="T635" s="2">
        <v>0.5</v>
      </c>
      <c r="U635" s="2">
        <v>0.5</v>
      </c>
      <c r="V635" s="2">
        <v>1</v>
      </c>
      <c r="W635" s="2">
        <v>2</v>
      </c>
      <c r="X635" s="2">
        <v>1</v>
      </c>
      <c r="Y635" s="2">
        <v>1</v>
      </c>
      <c r="Z635" s="2">
        <v>0</v>
      </c>
      <c r="AA635" s="2">
        <v>1</v>
      </c>
      <c r="AB635" s="2">
        <v>1</v>
      </c>
      <c r="AC635" s="2">
        <v>0.5</v>
      </c>
      <c r="AD635" s="2">
        <v>85</v>
      </c>
      <c r="AE635" s="2">
        <v>10240</v>
      </c>
      <c r="AF635" s="2">
        <v>35</v>
      </c>
      <c r="AG635" s="2">
        <v>420</v>
      </c>
      <c r="AH635" s="2">
        <v>45</v>
      </c>
      <c r="AI635" s="2">
        <v>70</v>
      </c>
      <c r="AJ635" s="1">
        <v>1250000</v>
      </c>
      <c r="AK635" s="1">
        <v>1.4</v>
      </c>
      <c r="AL635" s="1">
        <v>72</v>
      </c>
      <c r="AM635" s="2">
        <v>50</v>
      </c>
      <c r="AN635" s="2">
        <f t="shared" si="9"/>
        <v>50</v>
      </c>
      <c r="AO635" s="3">
        <v>634</v>
      </c>
      <c r="AP635" s="3">
        <v>65</v>
      </c>
      <c r="AQ635" s="3">
        <v>70</v>
      </c>
      <c r="AR635" s="3">
        <v>58</v>
      </c>
      <c r="AS635" s="1">
        <v>50</v>
      </c>
      <c r="AT635" s="3">
        <v>5</v>
      </c>
      <c r="AU635" s="3" t="s">
        <v>3051</v>
      </c>
    </row>
    <row r="636" spans="1:47" x14ac:dyDescent="0.3">
      <c r="A636" s="1" t="s">
        <v>1789</v>
      </c>
      <c r="B636" s="1" t="s">
        <v>1788</v>
      </c>
      <c r="C636" s="1" t="s">
        <v>99</v>
      </c>
      <c r="D636" s="1" t="s">
        <v>443</v>
      </c>
      <c r="E636" s="1" t="s">
        <v>907</v>
      </c>
      <c r="F636" t="s">
        <v>3055</v>
      </c>
      <c r="G636" t="s">
        <v>52</v>
      </c>
      <c r="H636" t="s">
        <v>52</v>
      </c>
      <c r="I636" t="s">
        <v>52</v>
      </c>
      <c r="J636" t="s">
        <v>52</v>
      </c>
      <c r="K636" t="s">
        <v>52</v>
      </c>
      <c r="L636" s="2">
        <v>2</v>
      </c>
      <c r="M636" s="2">
        <v>0.5</v>
      </c>
      <c r="N636" s="2">
        <v>2</v>
      </c>
      <c r="O636" s="2">
        <v>0.5</v>
      </c>
      <c r="P636" s="2">
        <v>4</v>
      </c>
      <c r="Q636" s="2">
        <v>2</v>
      </c>
      <c r="R636" s="2">
        <v>0.5</v>
      </c>
      <c r="S636" s="2">
        <v>1</v>
      </c>
      <c r="T636" s="2">
        <v>0.5</v>
      </c>
      <c r="U636" s="2">
        <v>0.5</v>
      </c>
      <c r="V636" s="2">
        <v>1</v>
      </c>
      <c r="W636" s="2">
        <v>2</v>
      </c>
      <c r="X636" s="2">
        <v>1</v>
      </c>
      <c r="Y636" s="2">
        <v>1</v>
      </c>
      <c r="Z636" s="2">
        <v>0</v>
      </c>
      <c r="AA636" s="2">
        <v>1</v>
      </c>
      <c r="AB636" s="2">
        <v>1</v>
      </c>
      <c r="AC636" s="2">
        <v>0.5</v>
      </c>
      <c r="AD636" s="2">
        <v>105</v>
      </c>
      <c r="AE636" s="2">
        <v>10240</v>
      </c>
      <c r="AF636" s="2">
        <v>35</v>
      </c>
      <c r="AG636" s="2">
        <v>600</v>
      </c>
      <c r="AH636" s="2">
        <v>45</v>
      </c>
      <c r="AI636" s="2">
        <v>90</v>
      </c>
      <c r="AJ636" s="1">
        <v>1250000</v>
      </c>
      <c r="AK636" s="1">
        <v>1.8</v>
      </c>
      <c r="AL636" s="1">
        <v>92</v>
      </c>
      <c r="AM636" s="2">
        <v>50</v>
      </c>
      <c r="AN636" s="2">
        <f t="shared" si="9"/>
        <v>50</v>
      </c>
      <c r="AO636" s="3">
        <v>635</v>
      </c>
      <c r="AP636" s="3">
        <v>125</v>
      </c>
      <c r="AQ636" s="3">
        <v>90</v>
      </c>
      <c r="AR636" s="3">
        <v>98</v>
      </c>
      <c r="AS636" s="1">
        <v>160</v>
      </c>
      <c r="AT636" s="3">
        <v>5</v>
      </c>
      <c r="AU636" s="3" t="s">
        <v>3051</v>
      </c>
    </row>
    <row r="637" spans="1:47" x14ac:dyDescent="0.3">
      <c r="A637" s="1" t="s">
        <v>1792</v>
      </c>
      <c r="B637" s="1" t="s">
        <v>1791</v>
      </c>
      <c r="C637" s="1" t="s">
        <v>72</v>
      </c>
      <c r="D637" s="1" t="s">
        <v>51</v>
      </c>
      <c r="E637" s="1" t="s">
        <v>1790</v>
      </c>
      <c r="F637" t="s">
        <v>3145</v>
      </c>
      <c r="G637" t="s">
        <v>3093</v>
      </c>
      <c r="H637" t="s">
        <v>52</v>
      </c>
      <c r="I637" t="s">
        <v>52</v>
      </c>
      <c r="J637" t="s">
        <v>52</v>
      </c>
      <c r="K637" t="s">
        <v>52</v>
      </c>
      <c r="L637" s="2">
        <v>0.5</v>
      </c>
      <c r="M637" s="2">
        <v>1</v>
      </c>
      <c r="N637" s="2">
        <v>1</v>
      </c>
      <c r="O637" s="2">
        <v>1</v>
      </c>
      <c r="P637" s="2">
        <v>0.5</v>
      </c>
      <c r="Q637" s="2">
        <v>0.5</v>
      </c>
      <c r="R637" s="2">
        <v>1</v>
      </c>
      <c r="S637" s="2">
        <v>2</v>
      </c>
      <c r="T637" s="2">
        <v>1</v>
      </c>
      <c r="U637" s="2">
        <v>0.25</v>
      </c>
      <c r="V637" s="2">
        <v>1</v>
      </c>
      <c r="W637" s="2">
        <v>0.5</v>
      </c>
      <c r="X637" s="2">
        <v>1</v>
      </c>
      <c r="Y637" s="2">
        <v>1</v>
      </c>
      <c r="Z637" s="2">
        <v>1</v>
      </c>
      <c r="AA637" s="2">
        <v>4</v>
      </c>
      <c r="AB637" s="2">
        <v>0.5</v>
      </c>
      <c r="AC637" s="2">
        <v>2</v>
      </c>
      <c r="AD637" s="2">
        <v>85</v>
      </c>
      <c r="AE637" s="2">
        <v>10240</v>
      </c>
      <c r="AF637" s="2">
        <v>70</v>
      </c>
      <c r="AG637" s="2">
        <v>360</v>
      </c>
      <c r="AH637" s="2">
        <v>45</v>
      </c>
      <c r="AI637" s="2">
        <v>55</v>
      </c>
      <c r="AJ637" s="1">
        <v>1250000</v>
      </c>
      <c r="AK637" s="1">
        <v>1.1000000000000001</v>
      </c>
      <c r="AL637" s="1">
        <v>55</v>
      </c>
      <c r="AM637" s="2">
        <v>50</v>
      </c>
      <c r="AN637" s="2">
        <f t="shared" si="9"/>
        <v>50</v>
      </c>
      <c r="AO637" s="3">
        <v>636</v>
      </c>
      <c r="AP637" s="3">
        <v>50</v>
      </c>
      <c r="AQ637" s="3">
        <v>55</v>
      </c>
      <c r="AR637" s="3">
        <v>60</v>
      </c>
      <c r="AS637" s="1">
        <v>28.8</v>
      </c>
      <c r="AT637" s="3">
        <v>5</v>
      </c>
      <c r="AU637" s="3" t="s">
        <v>3051</v>
      </c>
    </row>
    <row r="638" spans="1:47" x14ac:dyDescent="0.3">
      <c r="A638" s="1" t="s">
        <v>1794</v>
      </c>
      <c r="B638" s="1" t="s">
        <v>1793</v>
      </c>
      <c r="C638" s="1" t="s">
        <v>72</v>
      </c>
      <c r="D638" s="1" t="s">
        <v>51</v>
      </c>
      <c r="E638" s="1" t="s">
        <v>560</v>
      </c>
      <c r="F638" t="s">
        <v>3145</v>
      </c>
      <c r="G638" t="s">
        <v>3093</v>
      </c>
      <c r="H638" t="s">
        <v>52</v>
      </c>
      <c r="I638" t="s">
        <v>52</v>
      </c>
      <c r="J638" t="s">
        <v>52</v>
      </c>
      <c r="K638" t="s">
        <v>52</v>
      </c>
      <c r="L638" s="2">
        <v>0.5</v>
      </c>
      <c r="M638" s="2">
        <v>1</v>
      </c>
      <c r="N638" s="2">
        <v>1</v>
      </c>
      <c r="O638" s="2">
        <v>1</v>
      </c>
      <c r="P638" s="2">
        <v>0.5</v>
      </c>
      <c r="Q638" s="2">
        <v>0.5</v>
      </c>
      <c r="R638" s="2">
        <v>1</v>
      </c>
      <c r="S638" s="2">
        <v>2</v>
      </c>
      <c r="T638" s="2">
        <v>1</v>
      </c>
      <c r="U638" s="2">
        <v>0.25</v>
      </c>
      <c r="V638" s="2">
        <v>1</v>
      </c>
      <c r="W638" s="2">
        <v>0.5</v>
      </c>
      <c r="X638" s="2">
        <v>1</v>
      </c>
      <c r="Y638" s="2">
        <v>1</v>
      </c>
      <c r="Z638" s="2">
        <v>1</v>
      </c>
      <c r="AA638" s="2">
        <v>4</v>
      </c>
      <c r="AB638" s="2">
        <v>0.5</v>
      </c>
      <c r="AC638" s="2">
        <v>2</v>
      </c>
      <c r="AD638" s="2">
        <v>60</v>
      </c>
      <c r="AE638" s="2">
        <v>10240</v>
      </c>
      <c r="AF638" s="2">
        <v>70</v>
      </c>
      <c r="AG638" s="2">
        <v>550</v>
      </c>
      <c r="AH638" s="2">
        <v>15</v>
      </c>
      <c r="AI638" s="2">
        <v>65</v>
      </c>
      <c r="AJ638" s="1">
        <v>1250000</v>
      </c>
      <c r="AK638" s="1">
        <v>1.6</v>
      </c>
      <c r="AL638" s="1">
        <v>85</v>
      </c>
      <c r="AM638" s="2">
        <v>50</v>
      </c>
      <c r="AN638" s="2">
        <f t="shared" si="9"/>
        <v>50</v>
      </c>
      <c r="AO638" s="3">
        <v>637</v>
      </c>
      <c r="AP638" s="3">
        <v>135</v>
      </c>
      <c r="AQ638" s="3">
        <v>105</v>
      </c>
      <c r="AR638" s="3">
        <v>100</v>
      </c>
      <c r="AS638" s="1">
        <v>46</v>
      </c>
      <c r="AT638" s="3">
        <v>5</v>
      </c>
      <c r="AU638" s="3" t="s">
        <v>3051</v>
      </c>
    </row>
    <row r="639" spans="1:47" x14ac:dyDescent="0.3">
      <c r="A639" s="1" t="s">
        <v>1797</v>
      </c>
      <c r="B639" s="1" t="s">
        <v>1796</v>
      </c>
      <c r="C639" s="1" t="s">
        <v>263</v>
      </c>
      <c r="D639" s="1" t="s">
        <v>197</v>
      </c>
      <c r="E639" s="1" t="s">
        <v>1795</v>
      </c>
      <c r="F639" t="s">
        <v>3080</v>
      </c>
      <c r="G639" t="s">
        <v>52</v>
      </c>
      <c r="H639" t="s">
        <v>52</v>
      </c>
      <c r="I639" t="s">
        <v>52</v>
      </c>
      <c r="J639" t="s">
        <v>52</v>
      </c>
      <c r="K639" t="s">
        <v>52</v>
      </c>
      <c r="L639" s="2">
        <v>0.25</v>
      </c>
      <c r="M639" s="2">
        <v>0.5</v>
      </c>
      <c r="N639" s="2">
        <v>0.5</v>
      </c>
      <c r="O639" s="2">
        <v>1</v>
      </c>
      <c r="P639" s="2">
        <v>1</v>
      </c>
      <c r="Q639" s="2">
        <v>2</v>
      </c>
      <c r="R639" s="2">
        <v>2</v>
      </c>
      <c r="S639" s="2">
        <v>1</v>
      </c>
      <c r="T639" s="2">
        <v>1</v>
      </c>
      <c r="U639" s="2">
        <v>0.5</v>
      </c>
      <c r="V639" s="2">
        <v>2</v>
      </c>
      <c r="W639" s="2">
        <v>0.5</v>
      </c>
      <c r="X639" s="2">
        <v>0.5</v>
      </c>
      <c r="Y639" s="2">
        <v>0</v>
      </c>
      <c r="Z639" s="2">
        <v>1</v>
      </c>
      <c r="AA639" s="2">
        <v>0.25</v>
      </c>
      <c r="AB639" s="2">
        <v>0.5</v>
      </c>
      <c r="AC639" s="2">
        <v>1</v>
      </c>
      <c r="AD639" s="2">
        <v>90</v>
      </c>
      <c r="AE639" s="2">
        <v>20480</v>
      </c>
      <c r="AF639" s="2">
        <v>35</v>
      </c>
      <c r="AG639" s="2">
        <v>580</v>
      </c>
      <c r="AH639" s="2">
        <v>3</v>
      </c>
      <c r="AI639" s="2">
        <v>129</v>
      </c>
      <c r="AJ639" s="1">
        <v>1250000</v>
      </c>
      <c r="AK639" s="1">
        <v>2.1</v>
      </c>
      <c r="AL639" s="1">
        <v>91</v>
      </c>
      <c r="AM639" s="2" t="s">
        <v>52</v>
      </c>
      <c r="AN639" s="2" t="str">
        <f t="shared" si="9"/>
        <v/>
      </c>
      <c r="AO639" s="3">
        <v>638</v>
      </c>
      <c r="AP639" s="3">
        <v>90</v>
      </c>
      <c r="AQ639" s="3">
        <v>72</v>
      </c>
      <c r="AR639" s="3">
        <v>108</v>
      </c>
      <c r="AS639" s="1">
        <v>250</v>
      </c>
      <c r="AT639" s="3">
        <v>5</v>
      </c>
      <c r="AU639" s="3" t="s">
        <v>3052</v>
      </c>
    </row>
    <row r="640" spans="1:47" x14ac:dyDescent="0.3">
      <c r="A640" s="1" t="s">
        <v>1800</v>
      </c>
      <c r="B640" s="1" t="s">
        <v>1799</v>
      </c>
      <c r="C640" s="1" t="s">
        <v>243</v>
      </c>
      <c r="D640" s="1" t="s">
        <v>197</v>
      </c>
      <c r="E640" s="1" t="s">
        <v>1798</v>
      </c>
      <c r="F640" t="s">
        <v>3080</v>
      </c>
      <c r="G640" t="s">
        <v>52</v>
      </c>
      <c r="H640" t="s">
        <v>52</v>
      </c>
      <c r="I640" t="s">
        <v>52</v>
      </c>
      <c r="J640" t="s">
        <v>52</v>
      </c>
      <c r="K640" t="s">
        <v>52</v>
      </c>
      <c r="L640" s="2">
        <v>0.5</v>
      </c>
      <c r="M640" s="2">
        <v>0.5</v>
      </c>
      <c r="N640" s="2">
        <v>1</v>
      </c>
      <c r="O640" s="2">
        <v>1</v>
      </c>
      <c r="P640" s="2">
        <v>2</v>
      </c>
      <c r="Q640" s="2">
        <v>2</v>
      </c>
      <c r="R640" s="2">
        <v>0.5</v>
      </c>
      <c r="S640" s="2">
        <v>1</v>
      </c>
      <c r="T640" s="2">
        <v>1</v>
      </c>
      <c r="U640" s="2">
        <v>2</v>
      </c>
      <c r="V640" s="2">
        <v>2</v>
      </c>
      <c r="W640" s="2">
        <v>1</v>
      </c>
      <c r="X640" s="2">
        <v>0.5</v>
      </c>
      <c r="Y640" s="2">
        <v>0.5</v>
      </c>
      <c r="Z640" s="2">
        <v>2</v>
      </c>
      <c r="AA640" s="2">
        <v>0.5</v>
      </c>
      <c r="AB640" s="2">
        <v>2</v>
      </c>
      <c r="AC640" s="2">
        <v>2</v>
      </c>
      <c r="AD640" s="2">
        <v>129</v>
      </c>
      <c r="AE640" s="2">
        <v>20480</v>
      </c>
      <c r="AF640" s="2">
        <v>35</v>
      </c>
      <c r="AG640" s="2">
        <v>580</v>
      </c>
      <c r="AH640" s="2">
        <v>3</v>
      </c>
      <c r="AI640" s="2">
        <v>90</v>
      </c>
      <c r="AJ640" s="1">
        <v>1250000</v>
      </c>
      <c r="AK640" s="1">
        <v>1.9</v>
      </c>
      <c r="AL640" s="1">
        <v>91</v>
      </c>
      <c r="AM640" s="2" t="s">
        <v>52</v>
      </c>
      <c r="AN640" s="2" t="str">
        <f t="shared" si="9"/>
        <v/>
      </c>
      <c r="AO640" s="3">
        <v>639</v>
      </c>
      <c r="AP640" s="3">
        <v>72</v>
      </c>
      <c r="AQ640" s="3">
        <v>90</v>
      </c>
      <c r="AR640" s="3">
        <v>108</v>
      </c>
      <c r="AS640" s="1">
        <v>260</v>
      </c>
      <c r="AT640" s="3">
        <v>5</v>
      </c>
      <c r="AU640" s="3" t="s">
        <v>3052</v>
      </c>
    </row>
    <row r="641" spans="1:47" x14ac:dyDescent="0.3">
      <c r="A641" s="1" t="s">
        <v>1803</v>
      </c>
      <c r="B641" s="1" t="s">
        <v>1802</v>
      </c>
      <c r="C641" s="1" t="s">
        <v>42</v>
      </c>
      <c r="D641" s="1" t="s">
        <v>197</v>
      </c>
      <c r="E641" s="1" t="s">
        <v>1801</v>
      </c>
      <c r="F641" t="s">
        <v>3080</v>
      </c>
      <c r="G641" t="s">
        <v>52</v>
      </c>
      <c r="H641" t="s">
        <v>52</v>
      </c>
      <c r="I641" t="s">
        <v>52</v>
      </c>
      <c r="J641" t="s">
        <v>52</v>
      </c>
      <c r="K641" t="s">
        <v>52</v>
      </c>
      <c r="L641" s="2">
        <v>1</v>
      </c>
      <c r="M641" s="2">
        <v>0.5</v>
      </c>
      <c r="N641" s="2">
        <v>1</v>
      </c>
      <c r="O641" s="2">
        <v>0.5</v>
      </c>
      <c r="P641" s="2">
        <v>2</v>
      </c>
      <c r="Q641" s="2">
        <v>1</v>
      </c>
      <c r="R641" s="2">
        <v>2</v>
      </c>
      <c r="S641" s="2">
        <v>4</v>
      </c>
      <c r="T641" s="2">
        <v>1</v>
      </c>
      <c r="U641" s="2">
        <v>0.5</v>
      </c>
      <c r="V641" s="2">
        <v>0.5</v>
      </c>
      <c r="W641" s="2">
        <v>2</v>
      </c>
      <c r="X641" s="2">
        <v>1</v>
      </c>
      <c r="Y641" s="2">
        <v>2</v>
      </c>
      <c r="Z641" s="2">
        <v>2</v>
      </c>
      <c r="AA641" s="2">
        <v>0.5</v>
      </c>
      <c r="AB641" s="2">
        <v>1</v>
      </c>
      <c r="AC641" s="2">
        <v>0.5</v>
      </c>
      <c r="AD641" s="2">
        <v>90</v>
      </c>
      <c r="AE641" s="2">
        <v>20480</v>
      </c>
      <c r="AF641" s="2">
        <v>35</v>
      </c>
      <c r="AG641" s="2">
        <v>580</v>
      </c>
      <c r="AH641" s="2">
        <v>3</v>
      </c>
      <c r="AI641" s="2">
        <v>72</v>
      </c>
      <c r="AJ641" s="1">
        <v>1250000</v>
      </c>
      <c r="AK641" s="1">
        <v>2</v>
      </c>
      <c r="AL641" s="1">
        <v>91</v>
      </c>
      <c r="AM641" s="2" t="s">
        <v>52</v>
      </c>
      <c r="AN641" s="2" t="str">
        <f t="shared" si="9"/>
        <v/>
      </c>
      <c r="AO641" s="3">
        <v>640</v>
      </c>
      <c r="AP641" s="3">
        <v>90</v>
      </c>
      <c r="AQ641" s="3">
        <v>129</v>
      </c>
      <c r="AR641" s="3">
        <v>108</v>
      </c>
      <c r="AS641" s="1">
        <v>200</v>
      </c>
      <c r="AT641" s="3">
        <v>5</v>
      </c>
      <c r="AU641" s="3" t="s">
        <v>3052</v>
      </c>
    </row>
    <row r="642" spans="1:47" x14ac:dyDescent="0.3">
      <c r="A642" s="1" t="s">
        <v>1806</v>
      </c>
      <c r="B642" s="1" t="s">
        <v>1805</v>
      </c>
      <c r="C642" s="1" t="s">
        <v>58</v>
      </c>
      <c r="D642" s="1" t="s">
        <v>52</v>
      </c>
      <c r="E642" s="1" t="s">
        <v>1804</v>
      </c>
      <c r="F642" t="s">
        <v>3182</v>
      </c>
      <c r="G642" t="s">
        <v>3191</v>
      </c>
      <c r="H642" t="s">
        <v>3242</v>
      </c>
      <c r="I642" t="s">
        <v>52</v>
      </c>
      <c r="J642" t="s">
        <v>52</v>
      </c>
      <c r="K642" t="s">
        <v>52</v>
      </c>
      <c r="L642" s="2">
        <v>0.5</v>
      </c>
      <c r="M642" s="2">
        <v>1</v>
      </c>
      <c r="N642" s="2">
        <v>1</v>
      </c>
      <c r="O642" s="2">
        <v>2</v>
      </c>
      <c r="P642" s="2">
        <v>1</v>
      </c>
      <c r="Q642" s="2">
        <v>0.5</v>
      </c>
      <c r="R642" s="2">
        <v>1</v>
      </c>
      <c r="S642" s="2">
        <v>1</v>
      </c>
      <c r="T642" s="2">
        <v>1</v>
      </c>
      <c r="U642" s="2">
        <v>0.5</v>
      </c>
      <c r="V642" s="2">
        <v>0</v>
      </c>
      <c r="W642" s="2">
        <v>2</v>
      </c>
      <c r="X642" s="2">
        <v>1</v>
      </c>
      <c r="Y642" s="2">
        <v>1</v>
      </c>
      <c r="Z642" s="2">
        <v>1</v>
      </c>
      <c r="AA642" s="2">
        <v>2</v>
      </c>
      <c r="AB642" s="2">
        <v>1</v>
      </c>
      <c r="AC642" s="2">
        <v>1</v>
      </c>
      <c r="AD642" s="2">
        <v>100</v>
      </c>
      <c r="AE642" s="2">
        <v>30720</v>
      </c>
      <c r="AF642" s="2">
        <v>90</v>
      </c>
      <c r="AG642" s="2">
        <v>580</v>
      </c>
      <c r="AH642" s="2">
        <v>3</v>
      </c>
      <c r="AI642" s="2">
        <v>80</v>
      </c>
      <c r="AJ642" s="1">
        <v>1250000</v>
      </c>
      <c r="AK642" s="1">
        <v>1.5</v>
      </c>
      <c r="AL642" s="1">
        <v>79</v>
      </c>
      <c r="AM642" s="2">
        <v>100</v>
      </c>
      <c r="AN642" s="2">
        <f t="shared" si="9"/>
        <v>0</v>
      </c>
      <c r="AO642" s="3">
        <v>641</v>
      </c>
      <c r="AP642" s="3">
        <v>110</v>
      </c>
      <c r="AQ642" s="3">
        <v>90</v>
      </c>
      <c r="AR642" s="3">
        <v>121</v>
      </c>
      <c r="AS642" s="1">
        <v>63</v>
      </c>
      <c r="AT642" s="3">
        <v>5</v>
      </c>
      <c r="AU642" s="3" t="s">
        <v>3052</v>
      </c>
    </row>
    <row r="643" spans="1:47" x14ac:dyDescent="0.3">
      <c r="A643" s="1" t="s">
        <v>1809</v>
      </c>
      <c r="B643" s="1" t="s">
        <v>1808</v>
      </c>
      <c r="C643" s="1" t="s">
        <v>115</v>
      </c>
      <c r="D643" s="1" t="s">
        <v>58</v>
      </c>
      <c r="E643" s="1" t="s">
        <v>1807</v>
      </c>
      <c r="F643" t="s">
        <v>3182</v>
      </c>
      <c r="G643" t="s">
        <v>3191</v>
      </c>
      <c r="H643" t="s">
        <v>3146</v>
      </c>
      <c r="I643" t="s">
        <v>52</v>
      </c>
      <c r="J643" t="s">
        <v>52</v>
      </c>
      <c r="K643" t="s">
        <v>52</v>
      </c>
      <c r="L643" s="2">
        <v>0.5</v>
      </c>
      <c r="M643" s="2">
        <v>1</v>
      </c>
      <c r="N643" s="2">
        <v>1</v>
      </c>
      <c r="O643" s="2">
        <v>1</v>
      </c>
      <c r="P643" s="2">
        <v>1</v>
      </c>
      <c r="Q643" s="2">
        <v>0.5</v>
      </c>
      <c r="R643" s="2">
        <v>1</v>
      </c>
      <c r="S643" s="2">
        <v>0.5</v>
      </c>
      <c r="T643" s="2">
        <v>1</v>
      </c>
      <c r="U643" s="2">
        <v>0.5</v>
      </c>
      <c r="V643" s="2">
        <v>0</v>
      </c>
      <c r="W643" s="2">
        <v>2</v>
      </c>
      <c r="X643" s="2">
        <v>1</v>
      </c>
      <c r="Y643" s="2">
        <v>1</v>
      </c>
      <c r="Z643" s="2">
        <v>1</v>
      </c>
      <c r="AA643" s="2">
        <v>2</v>
      </c>
      <c r="AB643" s="2">
        <v>0.5</v>
      </c>
      <c r="AC643" s="2">
        <v>1</v>
      </c>
      <c r="AD643" s="2">
        <v>105</v>
      </c>
      <c r="AE643" s="2">
        <v>30720</v>
      </c>
      <c r="AF643" s="2">
        <v>90</v>
      </c>
      <c r="AG643" s="2">
        <v>580</v>
      </c>
      <c r="AH643" s="2">
        <v>3</v>
      </c>
      <c r="AI643" s="2">
        <v>70</v>
      </c>
      <c r="AJ643" s="1">
        <v>1250000</v>
      </c>
      <c r="AK643" s="1">
        <v>1.5</v>
      </c>
      <c r="AL643" s="1">
        <v>79</v>
      </c>
      <c r="AM643" s="2">
        <v>100</v>
      </c>
      <c r="AN643" s="2">
        <f t="shared" ref="AN643:AN706" si="10">IF(AM643="","",100-AM643)</f>
        <v>0</v>
      </c>
      <c r="AO643" s="3">
        <v>642</v>
      </c>
      <c r="AP643" s="3">
        <v>145</v>
      </c>
      <c r="AQ643" s="3">
        <v>80</v>
      </c>
      <c r="AR643" s="3">
        <v>101</v>
      </c>
      <c r="AS643" s="1">
        <v>61</v>
      </c>
      <c r="AT643" s="3">
        <v>5</v>
      </c>
      <c r="AU643" s="3" t="s">
        <v>3052</v>
      </c>
    </row>
    <row r="644" spans="1:47" x14ac:dyDescent="0.3">
      <c r="A644" s="1" t="s">
        <v>1812</v>
      </c>
      <c r="B644" s="1" t="s">
        <v>1811</v>
      </c>
      <c r="C644" s="1" t="s">
        <v>443</v>
      </c>
      <c r="D644" s="1" t="s">
        <v>51</v>
      </c>
      <c r="E644" s="1" t="s">
        <v>1810</v>
      </c>
      <c r="F644" t="s">
        <v>3081</v>
      </c>
      <c r="G644" t="s">
        <v>52</v>
      </c>
      <c r="H644" t="s">
        <v>52</v>
      </c>
      <c r="I644" t="s">
        <v>52</v>
      </c>
      <c r="J644" t="s">
        <v>52</v>
      </c>
      <c r="K644" t="s">
        <v>52</v>
      </c>
      <c r="L644" s="2">
        <v>0.5</v>
      </c>
      <c r="M644" s="2">
        <v>1</v>
      </c>
      <c r="N644" s="2">
        <v>2</v>
      </c>
      <c r="O644" s="2">
        <v>0.5</v>
      </c>
      <c r="P644" s="2">
        <v>1</v>
      </c>
      <c r="Q644" s="2">
        <v>1</v>
      </c>
      <c r="R644" s="2">
        <v>0.25</v>
      </c>
      <c r="S644" s="2">
        <v>1</v>
      </c>
      <c r="T644" s="2">
        <v>1</v>
      </c>
      <c r="U644" s="2">
        <v>0.25</v>
      </c>
      <c r="V644" s="2">
        <v>2</v>
      </c>
      <c r="W644" s="2">
        <v>1</v>
      </c>
      <c r="X644" s="2">
        <v>1</v>
      </c>
      <c r="Y644" s="2">
        <v>1</v>
      </c>
      <c r="Z644" s="2">
        <v>1</v>
      </c>
      <c r="AA644" s="2">
        <v>2</v>
      </c>
      <c r="AB644" s="2">
        <v>0.5</v>
      </c>
      <c r="AC644" s="2">
        <v>1</v>
      </c>
      <c r="AD644" s="2">
        <v>120</v>
      </c>
      <c r="AE644" s="2">
        <v>30720</v>
      </c>
      <c r="AF644" s="2">
        <v>0</v>
      </c>
      <c r="AG644" s="2">
        <v>680</v>
      </c>
      <c r="AH644" s="2">
        <v>3</v>
      </c>
      <c r="AI644" s="2">
        <v>100</v>
      </c>
      <c r="AJ644" s="1">
        <v>1250000</v>
      </c>
      <c r="AK644" s="1">
        <v>3.2</v>
      </c>
      <c r="AL644" s="1">
        <v>100</v>
      </c>
      <c r="AM644" s="2" t="s">
        <v>52</v>
      </c>
      <c r="AN644" s="2" t="str">
        <f t="shared" si="10"/>
        <v/>
      </c>
      <c r="AO644" s="3">
        <v>643</v>
      </c>
      <c r="AP644" s="3">
        <v>150</v>
      </c>
      <c r="AQ644" s="3">
        <v>120</v>
      </c>
      <c r="AR644" s="3">
        <v>90</v>
      </c>
      <c r="AS644" s="1">
        <v>330</v>
      </c>
      <c r="AT644" s="3">
        <v>5</v>
      </c>
      <c r="AU644" s="3" t="s">
        <v>3052</v>
      </c>
    </row>
    <row r="645" spans="1:47" x14ac:dyDescent="0.3">
      <c r="A645" s="1" t="s">
        <v>1815</v>
      </c>
      <c r="B645" s="1" t="s">
        <v>1814</v>
      </c>
      <c r="C645" s="1" t="s">
        <v>443</v>
      </c>
      <c r="D645" s="1" t="s">
        <v>115</v>
      </c>
      <c r="E645" s="1" t="s">
        <v>1813</v>
      </c>
      <c r="F645" t="s">
        <v>3082</v>
      </c>
      <c r="G645" t="s">
        <v>52</v>
      </c>
      <c r="H645" t="s">
        <v>52</v>
      </c>
      <c r="I645" t="s">
        <v>52</v>
      </c>
      <c r="J645" t="s">
        <v>52</v>
      </c>
      <c r="K645" t="s">
        <v>52</v>
      </c>
      <c r="L645" s="2">
        <v>1</v>
      </c>
      <c r="M645" s="2">
        <v>1</v>
      </c>
      <c r="N645" s="2">
        <v>2</v>
      </c>
      <c r="O645" s="2">
        <v>0.25</v>
      </c>
      <c r="P645" s="2">
        <v>2</v>
      </c>
      <c r="Q645" s="2">
        <v>1</v>
      </c>
      <c r="R645" s="2">
        <v>0.5</v>
      </c>
      <c r="S645" s="2">
        <v>0.5</v>
      </c>
      <c r="T645" s="2">
        <v>1</v>
      </c>
      <c r="U645" s="2">
        <v>0.5</v>
      </c>
      <c r="V645" s="2">
        <v>2</v>
      </c>
      <c r="W645" s="2">
        <v>2</v>
      </c>
      <c r="X645" s="2">
        <v>1</v>
      </c>
      <c r="Y645" s="2">
        <v>1</v>
      </c>
      <c r="Z645" s="2">
        <v>1</v>
      </c>
      <c r="AA645" s="2">
        <v>1</v>
      </c>
      <c r="AB645" s="2">
        <v>0.5</v>
      </c>
      <c r="AC645" s="2">
        <v>0.5</v>
      </c>
      <c r="AD645" s="2">
        <v>150</v>
      </c>
      <c r="AE645" s="2">
        <v>30720</v>
      </c>
      <c r="AF645" s="2">
        <v>0</v>
      </c>
      <c r="AG645" s="2">
        <v>680</v>
      </c>
      <c r="AH645" s="2">
        <v>3</v>
      </c>
      <c r="AI645" s="2">
        <v>120</v>
      </c>
      <c r="AJ645" s="1">
        <v>1250000</v>
      </c>
      <c r="AK645" s="1">
        <v>2.9</v>
      </c>
      <c r="AL645" s="1">
        <v>100</v>
      </c>
      <c r="AM645" s="2" t="s">
        <v>52</v>
      </c>
      <c r="AN645" s="2" t="str">
        <f t="shared" si="10"/>
        <v/>
      </c>
      <c r="AO645" s="3">
        <v>644</v>
      </c>
      <c r="AP645" s="3">
        <v>120</v>
      </c>
      <c r="AQ645" s="3">
        <v>100</v>
      </c>
      <c r="AR645" s="3">
        <v>90</v>
      </c>
      <c r="AS645" s="1">
        <v>345</v>
      </c>
      <c r="AT645" s="3">
        <v>5</v>
      </c>
      <c r="AU645" s="3" t="s">
        <v>3052</v>
      </c>
    </row>
    <row r="646" spans="1:47" x14ac:dyDescent="0.3">
      <c r="A646" s="1" t="s">
        <v>1818</v>
      </c>
      <c r="B646" s="1" t="s">
        <v>1817</v>
      </c>
      <c r="C646" s="1" t="s">
        <v>120</v>
      </c>
      <c r="D646" s="1" t="s">
        <v>58</v>
      </c>
      <c r="E646" s="1" t="s">
        <v>1816</v>
      </c>
      <c r="F646" t="s">
        <v>3192</v>
      </c>
      <c r="G646" t="s">
        <v>3184</v>
      </c>
      <c r="H646" t="s">
        <v>3120</v>
      </c>
      <c r="I646" t="s">
        <v>52</v>
      </c>
      <c r="J646" t="s">
        <v>52</v>
      </c>
      <c r="K646" t="s">
        <v>52</v>
      </c>
      <c r="L646" s="2">
        <v>0.5</v>
      </c>
      <c r="M646" s="2">
        <v>1</v>
      </c>
      <c r="N646" s="2">
        <v>1</v>
      </c>
      <c r="O646" s="2">
        <v>0</v>
      </c>
      <c r="P646" s="2">
        <v>1</v>
      </c>
      <c r="Q646" s="2">
        <v>0.5</v>
      </c>
      <c r="R646" s="2">
        <v>1</v>
      </c>
      <c r="S646" s="2">
        <v>1</v>
      </c>
      <c r="T646" s="2">
        <v>1</v>
      </c>
      <c r="U646" s="2">
        <v>1</v>
      </c>
      <c r="V646" s="2">
        <v>0</v>
      </c>
      <c r="W646" s="2">
        <v>4</v>
      </c>
      <c r="X646" s="2">
        <v>1</v>
      </c>
      <c r="Y646" s="2">
        <v>0.5</v>
      </c>
      <c r="Z646" s="2">
        <v>1</v>
      </c>
      <c r="AA646" s="2">
        <v>1</v>
      </c>
      <c r="AB646" s="2">
        <v>1</v>
      </c>
      <c r="AC646" s="2">
        <v>2</v>
      </c>
      <c r="AD646" s="2">
        <v>145</v>
      </c>
      <c r="AE646" s="2">
        <v>30720</v>
      </c>
      <c r="AF646" s="2">
        <v>90</v>
      </c>
      <c r="AG646" s="2">
        <v>600</v>
      </c>
      <c r="AH646" s="2">
        <v>3</v>
      </c>
      <c r="AI646" s="2">
        <v>90</v>
      </c>
      <c r="AJ646" s="1">
        <v>1250000</v>
      </c>
      <c r="AK646" s="1">
        <v>1.5</v>
      </c>
      <c r="AL646" s="1">
        <v>89</v>
      </c>
      <c r="AM646" s="2">
        <v>100</v>
      </c>
      <c r="AN646" s="2">
        <f t="shared" si="10"/>
        <v>0</v>
      </c>
      <c r="AO646" s="3">
        <v>645</v>
      </c>
      <c r="AP646" s="3">
        <v>105</v>
      </c>
      <c r="AQ646" s="3">
        <v>80</v>
      </c>
      <c r="AR646" s="3">
        <v>91</v>
      </c>
      <c r="AS646" s="1">
        <v>68</v>
      </c>
      <c r="AT646" s="3">
        <v>5</v>
      </c>
      <c r="AU646" s="3" t="s">
        <v>3052</v>
      </c>
    </row>
    <row r="647" spans="1:47" x14ac:dyDescent="0.3">
      <c r="A647" s="1" t="s">
        <v>1821</v>
      </c>
      <c r="B647" s="1" t="s">
        <v>1820</v>
      </c>
      <c r="C647" s="1" t="s">
        <v>443</v>
      </c>
      <c r="D647" s="1" t="s">
        <v>121</v>
      </c>
      <c r="E647" s="1" t="s">
        <v>1819</v>
      </c>
      <c r="F647" t="s">
        <v>3067</v>
      </c>
      <c r="G647" t="s">
        <v>3082</v>
      </c>
      <c r="H647" t="s">
        <v>3081</v>
      </c>
      <c r="I647" t="s">
        <v>52</v>
      </c>
      <c r="J647" t="s">
        <v>52</v>
      </c>
      <c r="K647" t="s">
        <v>52</v>
      </c>
      <c r="L647" s="2">
        <v>1</v>
      </c>
      <c r="M647" s="2">
        <v>1</v>
      </c>
      <c r="N647" s="2">
        <v>2</v>
      </c>
      <c r="O647" s="2">
        <v>0.5</v>
      </c>
      <c r="P647" s="2">
        <v>2</v>
      </c>
      <c r="Q647" s="2">
        <v>2</v>
      </c>
      <c r="R647" s="2">
        <v>1</v>
      </c>
      <c r="S647" s="2">
        <v>1</v>
      </c>
      <c r="T647" s="2">
        <v>1</v>
      </c>
      <c r="U647" s="2">
        <v>0.5</v>
      </c>
      <c r="V647" s="2">
        <v>1</v>
      </c>
      <c r="W647" s="2">
        <v>1</v>
      </c>
      <c r="X647" s="2">
        <v>1</v>
      </c>
      <c r="Y647" s="2">
        <v>1</v>
      </c>
      <c r="Z647" s="2">
        <v>1</v>
      </c>
      <c r="AA647" s="2">
        <v>2</v>
      </c>
      <c r="AB647" s="2">
        <v>2</v>
      </c>
      <c r="AC647" s="2">
        <v>0.5</v>
      </c>
      <c r="AD647" s="2">
        <v>120</v>
      </c>
      <c r="AE647" s="2">
        <v>30720</v>
      </c>
      <c r="AF647" s="2">
        <v>0</v>
      </c>
      <c r="AG647" s="2">
        <v>700</v>
      </c>
      <c r="AH647" s="2">
        <v>3</v>
      </c>
      <c r="AI647" s="2">
        <v>90</v>
      </c>
      <c r="AJ647" s="1">
        <v>1250000</v>
      </c>
      <c r="AK647" s="1">
        <v>3</v>
      </c>
      <c r="AL647" s="1">
        <v>125</v>
      </c>
      <c r="AM647" s="2" t="s">
        <v>52</v>
      </c>
      <c r="AN647" s="2" t="str">
        <f t="shared" si="10"/>
        <v/>
      </c>
      <c r="AO647" s="3">
        <v>646</v>
      </c>
      <c r="AP647" s="3">
        <v>170</v>
      </c>
      <c r="AQ647" s="3">
        <v>100</v>
      </c>
      <c r="AR647" s="3">
        <v>95</v>
      </c>
      <c r="AS647" s="1">
        <v>325</v>
      </c>
      <c r="AT647" s="3">
        <v>5</v>
      </c>
      <c r="AU647" s="3" t="s">
        <v>3052</v>
      </c>
    </row>
    <row r="648" spans="1:47" x14ac:dyDescent="0.3">
      <c r="A648" s="1" t="s">
        <v>1824</v>
      </c>
      <c r="B648" s="1" t="s">
        <v>1823</v>
      </c>
      <c r="C648" s="1" t="s">
        <v>62</v>
      </c>
      <c r="D648" s="1" t="s">
        <v>197</v>
      </c>
      <c r="E648" s="1" t="s">
        <v>1822</v>
      </c>
      <c r="F648" t="s">
        <v>3080</v>
      </c>
      <c r="G648" t="s">
        <v>52</v>
      </c>
      <c r="H648" t="s">
        <v>52</v>
      </c>
      <c r="I648" t="s">
        <v>52</v>
      </c>
      <c r="J648" t="s">
        <v>52</v>
      </c>
      <c r="K648" t="s">
        <v>52</v>
      </c>
      <c r="L648" s="2">
        <v>0.5</v>
      </c>
      <c r="M648" s="2">
        <v>0.5</v>
      </c>
      <c r="N648" s="2">
        <v>1</v>
      </c>
      <c r="O648" s="2">
        <v>2</v>
      </c>
      <c r="P648" s="2">
        <v>2</v>
      </c>
      <c r="Q648" s="2">
        <v>1</v>
      </c>
      <c r="R648" s="2">
        <v>0.5</v>
      </c>
      <c r="S648" s="2">
        <v>2</v>
      </c>
      <c r="T648" s="2">
        <v>1</v>
      </c>
      <c r="U648" s="2">
        <v>2</v>
      </c>
      <c r="V648" s="2">
        <v>1</v>
      </c>
      <c r="W648" s="2">
        <v>0.5</v>
      </c>
      <c r="X648" s="2">
        <v>1</v>
      </c>
      <c r="Y648" s="2">
        <v>1</v>
      </c>
      <c r="Z648" s="2">
        <v>2</v>
      </c>
      <c r="AA648" s="2">
        <v>0.5</v>
      </c>
      <c r="AB648" s="2">
        <v>0.5</v>
      </c>
      <c r="AC648" s="2">
        <v>0.5</v>
      </c>
      <c r="AD648" s="2">
        <v>72</v>
      </c>
      <c r="AE648" s="2">
        <v>20480</v>
      </c>
      <c r="AF648" s="2">
        <v>35</v>
      </c>
      <c r="AG648" s="2">
        <v>580</v>
      </c>
      <c r="AH648" s="2">
        <v>3</v>
      </c>
      <c r="AI648" s="2">
        <v>90</v>
      </c>
      <c r="AJ648" s="1">
        <v>1250000</v>
      </c>
      <c r="AK648" s="1">
        <v>1.4</v>
      </c>
      <c r="AL648" s="1">
        <v>91</v>
      </c>
      <c r="AM648" s="2" t="s">
        <v>52</v>
      </c>
      <c r="AN648" s="2" t="str">
        <f t="shared" si="10"/>
        <v/>
      </c>
      <c r="AO648" s="3">
        <v>647</v>
      </c>
      <c r="AP648" s="3">
        <v>129</v>
      </c>
      <c r="AQ648" s="3">
        <v>90</v>
      </c>
      <c r="AR648" s="3">
        <v>108</v>
      </c>
      <c r="AS648" s="1">
        <v>48.5</v>
      </c>
      <c r="AT648" s="3">
        <v>5</v>
      </c>
      <c r="AU648" s="3" t="s">
        <v>3052</v>
      </c>
    </row>
    <row r="649" spans="1:47" x14ac:dyDescent="0.3">
      <c r="A649" s="1" t="s">
        <v>1827</v>
      </c>
      <c r="B649" s="1" t="s">
        <v>1826</v>
      </c>
      <c r="C649" s="1" t="s">
        <v>90</v>
      </c>
      <c r="D649" s="1" t="s">
        <v>216</v>
      </c>
      <c r="E649" s="1" t="s">
        <v>1825</v>
      </c>
      <c r="F649" t="s">
        <v>3066</v>
      </c>
      <c r="G649" t="s">
        <v>52</v>
      </c>
      <c r="H649" t="s">
        <v>52</v>
      </c>
      <c r="I649" t="s">
        <v>52</v>
      </c>
      <c r="J649" t="s">
        <v>52</v>
      </c>
      <c r="K649" t="s">
        <v>52</v>
      </c>
      <c r="L649" s="2">
        <v>2</v>
      </c>
      <c r="M649" s="2">
        <v>2</v>
      </c>
      <c r="N649" s="2">
        <v>1</v>
      </c>
      <c r="O649" s="2">
        <v>1</v>
      </c>
      <c r="P649" s="2">
        <v>1</v>
      </c>
      <c r="Q649" s="2">
        <v>1</v>
      </c>
      <c r="R649" s="2">
        <v>1</v>
      </c>
      <c r="S649" s="2">
        <v>1</v>
      </c>
      <c r="T649" s="2">
        <v>0</v>
      </c>
      <c r="U649" s="2">
        <v>1</v>
      </c>
      <c r="V649" s="2">
        <v>1</v>
      </c>
      <c r="W649" s="2">
        <v>1</v>
      </c>
      <c r="X649" s="2">
        <v>1</v>
      </c>
      <c r="Y649" s="2">
        <v>1</v>
      </c>
      <c r="Z649" s="2">
        <v>0.5</v>
      </c>
      <c r="AA649" s="2">
        <v>1</v>
      </c>
      <c r="AB649" s="2">
        <v>1</v>
      </c>
      <c r="AC649" s="2">
        <v>1</v>
      </c>
      <c r="AD649" s="2">
        <v>128</v>
      </c>
      <c r="AE649" s="2">
        <v>30720</v>
      </c>
      <c r="AF649" s="2">
        <v>100</v>
      </c>
      <c r="AG649" s="2">
        <v>600</v>
      </c>
      <c r="AH649" s="2">
        <v>3</v>
      </c>
      <c r="AI649" s="2">
        <v>90</v>
      </c>
      <c r="AJ649" s="1">
        <v>1250000</v>
      </c>
      <c r="AK649" s="1">
        <v>0.6</v>
      </c>
      <c r="AL649" s="1">
        <v>100</v>
      </c>
      <c r="AM649" s="2" t="s">
        <v>52</v>
      </c>
      <c r="AN649" s="2" t="str">
        <f t="shared" si="10"/>
        <v/>
      </c>
      <c r="AO649" s="3">
        <v>648</v>
      </c>
      <c r="AP649" s="3">
        <v>77</v>
      </c>
      <c r="AQ649" s="3">
        <v>77</v>
      </c>
      <c r="AR649" s="3">
        <v>128</v>
      </c>
      <c r="AS649" s="1">
        <v>6.5</v>
      </c>
      <c r="AT649" s="3">
        <v>5</v>
      </c>
      <c r="AU649" s="3" t="s">
        <v>3052</v>
      </c>
    </row>
    <row r="650" spans="1:47" x14ac:dyDescent="0.3">
      <c r="A650" s="1" t="s">
        <v>1830</v>
      </c>
      <c r="B650" s="1" t="s">
        <v>1829</v>
      </c>
      <c r="C650" s="1" t="s">
        <v>72</v>
      </c>
      <c r="D650" s="1" t="s">
        <v>263</v>
      </c>
      <c r="E650" s="1" t="s">
        <v>1828</v>
      </c>
      <c r="F650" t="s">
        <v>3083</v>
      </c>
      <c r="G650" t="s">
        <v>52</v>
      </c>
      <c r="H650" t="s">
        <v>52</v>
      </c>
      <c r="I650" t="s">
        <v>52</v>
      </c>
      <c r="J650" t="s">
        <v>52</v>
      </c>
      <c r="K650" t="s">
        <v>52</v>
      </c>
      <c r="L650" s="2">
        <v>0.5</v>
      </c>
      <c r="M650" s="2">
        <v>1</v>
      </c>
      <c r="N650" s="2">
        <v>0.5</v>
      </c>
      <c r="O650" s="2">
        <v>1</v>
      </c>
      <c r="P650" s="2">
        <v>0.5</v>
      </c>
      <c r="Q650" s="2">
        <v>1</v>
      </c>
      <c r="R650" s="2">
        <v>4</v>
      </c>
      <c r="S650" s="2">
        <v>1</v>
      </c>
      <c r="T650" s="2">
        <v>1</v>
      </c>
      <c r="U650" s="2">
        <v>0.25</v>
      </c>
      <c r="V650" s="2">
        <v>1</v>
      </c>
      <c r="W650" s="2">
        <v>0.5</v>
      </c>
      <c r="X650" s="2">
        <v>0.5</v>
      </c>
      <c r="Y650" s="2">
        <v>0</v>
      </c>
      <c r="Z650" s="2">
        <v>0.5</v>
      </c>
      <c r="AA650" s="2">
        <v>1</v>
      </c>
      <c r="AB650" s="2">
        <v>0.5</v>
      </c>
      <c r="AC650" s="2">
        <v>1</v>
      </c>
      <c r="AD650" s="2">
        <v>120</v>
      </c>
      <c r="AE650" s="2">
        <v>30720</v>
      </c>
      <c r="AF650" s="2">
        <v>0</v>
      </c>
      <c r="AG650" s="2">
        <v>600</v>
      </c>
      <c r="AH650" s="2">
        <v>3</v>
      </c>
      <c r="AI650" s="2">
        <v>95</v>
      </c>
      <c r="AJ650" s="1">
        <v>1250000</v>
      </c>
      <c r="AK650" s="1">
        <v>1.5</v>
      </c>
      <c r="AL650" s="1">
        <v>71</v>
      </c>
      <c r="AM650" s="2" t="s">
        <v>52</v>
      </c>
      <c r="AN650" s="2" t="str">
        <f t="shared" si="10"/>
        <v/>
      </c>
      <c r="AO650" s="3">
        <v>649</v>
      </c>
      <c r="AP650" s="3">
        <v>120</v>
      </c>
      <c r="AQ650" s="3">
        <v>95</v>
      </c>
      <c r="AR650" s="3">
        <v>99</v>
      </c>
      <c r="AS650" s="1">
        <v>82.5</v>
      </c>
      <c r="AT650" s="3">
        <v>5</v>
      </c>
      <c r="AU650" s="3" t="s">
        <v>3052</v>
      </c>
    </row>
    <row r="651" spans="1:47" x14ac:dyDescent="0.3">
      <c r="A651" s="1" t="s">
        <v>1833</v>
      </c>
      <c r="B651" s="1" t="s">
        <v>1832</v>
      </c>
      <c r="C651" s="1" t="s">
        <v>42</v>
      </c>
      <c r="D651" s="1" t="s">
        <v>52</v>
      </c>
      <c r="E651" s="1" t="s">
        <v>1831</v>
      </c>
      <c r="F651" t="s">
        <v>3113</v>
      </c>
      <c r="G651" t="s">
        <v>3213</v>
      </c>
      <c r="H651" t="s">
        <v>52</v>
      </c>
      <c r="I651" t="s">
        <v>52</v>
      </c>
      <c r="J651" t="s">
        <v>52</v>
      </c>
      <c r="K651" t="s">
        <v>52</v>
      </c>
      <c r="L651" s="2">
        <v>2</v>
      </c>
      <c r="M651" s="2">
        <v>1</v>
      </c>
      <c r="N651" s="2">
        <v>1</v>
      </c>
      <c r="O651" s="2">
        <v>0.5</v>
      </c>
      <c r="P651" s="2">
        <v>1</v>
      </c>
      <c r="Q651" s="2">
        <v>1</v>
      </c>
      <c r="R651" s="2">
        <v>2</v>
      </c>
      <c r="S651" s="2">
        <v>2</v>
      </c>
      <c r="T651" s="2">
        <v>1</v>
      </c>
      <c r="U651" s="2">
        <v>0.5</v>
      </c>
      <c r="V651" s="2">
        <v>0.5</v>
      </c>
      <c r="W651" s="2">
        <v>2</v>
      </c>
      <c r="X651" s="2">
        <v>1</v>
      </c>
      <c r="Y651" s="2">
        <v>2</v>
      </c>
      <c r="Z651" s="2">
        <v>1</v>
      </c>
      <c r="AA651" s="2">
        <v>1</v>
      </c>
      <c r="AB651" s="2">
        <v>1</v>
      </c>
      <c r="AC651" s="2">
        <v>0.5</v>
      </c>
      <c r="AD651" s="2">
        <v>61</v>
      </c>
      <c r="AE651" s="2">
        <v>5120</v>
      </c>
      <c r="AF651" s="2">
        <v>70</v>
      </c>
      <c r="AG651" s="2">
        <v>313</v>
      </c>
      <c r="AH651" s="2">
        <v>45</v>
      </c>
      <c r="AI651" s="2">
        <v>65</v>
      </c>
      <c r="AJ651" s="1">
        <v>1059860</v>
      </c>
      <c r="AK651" s="1">
        <v>0.4</v>
      </c>
      <c r="AL651" s="1">
        <v>56</v>
      </c>
      <c r="AM651" s="2">
        <v>88.1</v>
      </c>
      <c r="AN651" s="2">
        <f t="shared" si="10"/>
        <v>11.900000000000006</v>
      </c>
      <c r="AO651" s="3">
        <v>650</v>
      </c>
      <c r="AP651" s="3">
        <v>48</v>
      </c>
      <c r="AQ651" s="3">
        <v>45</v>
      </c>
      <c r="AR651" s="3">
        <v>38</v>
      </c>
      <c r="AS651" s="1">
        <v>9</v>
      </c>
      <c r="AT651" s="3">
        <v>6</v>
      </c>
      <c r="AU651" s="3" t="s">
        <v>3051</v>
      </c>
    </row>
    <row r="652" spans="1:47" x14ac:dyDescent="0.3">
      <c r="A652" s="1" t="s">
        <v>1836</v>
      </c>
      <c r="B652" s="1" t="s">
        <v>1835</v>
      </c>
      <c r="C652" s="1" t="s">
        <v>42</v>
      </c>
      <c r="D652" s="1" t="s">
        <v>52</v>
      </c>
      <c r="E652" s="1" t="s">
        <v>1834</v>
      </c>
      <c r="F652" t="s">
        <v>3113</v>
      </c>
      <c r="G652" t="s">
        <v>3213</v>
      </c>
      <c r="H652" t="s">
        <v>52</v>
      </c>
      <c r="I652" t="s">
        <v>52</v>
      </c>
      <c r="J652" t="s">
        <v>52</v>
      </c>
      <c r="K652" t="s">
        <v>52</v>
      </c>
      <c r="L652" s="2">
        <v>2</v>
      </c>
      <c r="M652" s="2">
        <v>1</v>
      </c>
      <c r="N652" s="2">
        <v>1</v>
      </c>
      <c r="O652" s="2">
        <v>0.5</v>
      </c>
      <c r="P652" s="2">
        <v>1</v>
      </c>
      <c r="Q652" s="2">
        <v>1</v>
      </c>
      <c r="R652" s="2">
        <v>2</v>
      </c>
      <c r="S652" s="2">
        <v>2</v>
      </c>
      <c r="T652" s="2">
        <v>1</v>
      </c>
      <c r="U652" s="2">
        <v>0.5</v>
      </c>
      <c r="V652" s="2">
        <v>0.5</v>
      </c>
      <c r="W652" s="2">
        <v>2</v>
      </c>
      <c r="X652" s="2">
        <v>1</v>
      </c>
      <c r="Y652" s="2">
        <v>2</v>
      </c>
      <c r="Z652" s="2">
        <v>1</v>
      </c>
      <c r="AA652" s="2">
        <v>1</v>
      </c>
      <c r="AB652" s="2">
        <v>1</v>
      </c>
      <c r="AC652" s="2">
        <v>0.5</v>
      </c>
      <c r="AD652" s="2">
        <v>78</v>
      </c>
      <c r="AE652" s="2">
        <v>5120</v>
      </c>
      <c r="AF652" s="2">
        <v>70</v>
      </c>
      <c r="AG652" s="2">
        <v>405</v>
      </c>
      <c r="AH652" s="2">
        <v>45</v>
      </c>
      <c r="AI652" s="2">
        <v>95</v>
      </c>
      <c r="AJ652" s="1">
        <v>1059860</v>
      </c>
      <c r="AK652" s="1">
        <v>0.7</v>
      </c>
      <c r="AL652" s="1">
        <v>61</v>
      </c>
      <c r="AM652" s="2">
        <v>88.1</v>
      </c>
      <c r="AN652" s="2">
        <f t="shared" si="10"/>
        <v>11.900000000000006</v>
      </c>
      <c r="AO652" s="3">
        <v>651</v>
      </c>
      <c r="AP652" s="3">
        <v>56</v>
      </c>
      <c r="AQ652" s="3">
        <v>58</v>
      </c>
      <c r="AR652" s="3">
        <v>57</v>
      </c>
      <c r="AS652" s="1">
        <v>29</v>
      </c>
      <c r="AT652" s="3">
        <v>6</v>
      </c>
      <c r="AU652" s="3" t="s">
        <v>3051</v>
      </c>
    </row>
    <row r="653" spans="1:47" x14ac:dyDescent="0.3">
      <c r="A653" s="1" t="s">
        <v>1838</v>
      </c>
      <c r="B653" s="1" t="s">
        <v>1837</v>
      </c>
      <c r="C653" s="1" t="s">
        <v>42</v>
      </c>
      <c r="D653" s="1" t="s">
        <v>197</v>
      </c>
      <c r="E653" s="1" t="s">
        <v>1834</v>
      </c>
      <c r="F653" t="s">
        <v>3113</v>
      </c>
      <c r="G653" t="s">
        <v>3213</v>
      </c>
      <c r="H653" t="s">
        <v>52</v>
      </c>
      <c r="I653" t="s">
        <v>52</v>
      </c>
      <c r="J653" t="s">
        <v>52</v>
      </c>
      <c r="K653" t="s">
        <v>52</v>
      </c>
      <c r="L653" s="2">
        <v>1</v>
      </c>
      <c r="M653" s="2">
        <v>0.5</v>
      </c>
      <c r="N653" s="2">
        <v>1</v>
      </c>
      <c r="O653" s="2">
        <v>0.5</v>
      </c>
      <c r="P653" s="2">
        <v>2</v>
      </c>
      <c r="Q653" s="2">
        <v>1</v>
      </c>
      <c r="R653" s="2">
        <v>2</v>
      </c>
      <c r="S653" s="2">
        <v>4</v>
      </c>
      <c r="T653" s="2">
        <v>1</v>
      </c>
      <c r="U653" s="2">
        <v>0.5</v>
      </c>
      <c r="V653" s="2">
        <v>0.5</v>
      </c>
      <c r="W653" s="2">
        <v>2</v>
      </c>
      <c r="X653" s="2">
        <v>1</v>
      </c>
      <c r="Y653" s="2">
        <v>2</v>
      </c>
      <c r="Z653" s="2">
        <v>2</v>
      </c>
      <c r="AA653" s="2">
        <v>0.5</v>
      </c>
      <c r="AB653" s="2">
        <v>1</v>
      </c>
      <c r="AC653" s="2">
        <v>0.5</v>
      </c>
      <c r="AD653" s="2">
        <v>107</v>
      </c>
      <c r="AE653" s="2">
        <v>5120</v>
      </c>
      <c r="AF653" s="2">
        <v>70</v>
      </c>
      <c r="AG653" s="2">
        <v>530</v>
      </c>
      <c r="AH653" s="2">
        <v>45</v>
      </c>
      <c r="AI653" s="2">
        <v>122</v>
      </c>
      <c r="AJ653" s="1">
        <v>1059860</v>
      </c>
      <c r="AK653" s="1">
        <v>1.6</v>
      </c>
      <c r="AL653" s="1">
        <v>88</v>
      </c>
      <c r="AM653" s="2">
        <v>88.1</v>
      </c>
      <c r="AN653" s="2">
        <f t="shared" si="10"/>
        <v>11.900000000000006</v>
      </c>
      <c r="AO653" s="3">
        <v>652</v>
      </c>
      <c r="AP653" s="3">
        <v>74</v>
      </c>
      <c r="AQ653" s="3">
        <v>75</v>
      </c>
      <c r="AR653" s="3">
        <v>64</v>
      </c>
      <c r="AS653" s="1">
        <v>90</v>
      </c>
      <c r="AT653" s="3">
        <v>6</v>
      </c>
      <c r="AU653" s="3" t="s">
        <v>3051</v>
      </c>
    </row>
    <row r="654" spans="1:47" x14ac:dyDescent="0.3">
      <c r="A654" s="1" t="s">
        <v>1840</v>
      </c>
      <c r="B654" s="1" t="s">
        <v>1839</v>
      </c>
      <c r="C654" s="1" t="s">
        <v>51</v>
      </c>
      <c r="D654" s="1" t="s">
        <v>52</v>
      </c>
      <c r="E654" s="1" t="s">
        <v>144</v>
      </c>
      <c r="F654" t="s">
        <v>3114</v>
      </c>
      <c r="G654" t="s">
        <v>3091</v>
      </c>
      <c r="H654" t="s">
        <v>52</v>
      </c>
      <c r="I654" t="s">
        <v>52</v>
      </c>
      <c r="J654" t="s">
        <v>52</v>
      </c>
      <c r="K654" t="s">
        <v>52</v>
      </c>
      <c r="L654" s="2">
        <v>0.5</v>
      </c>
      <c r="M654" s="2">
        <v>1</v>
      </c>
      <c r="N654" s="2">
        <v>1</v>
      </c>
      <c r="O654" s="2">
        <v>1</v>
      </c>
      <c r="P654" s="2">
        <v>0.5</v>
      </c>
      <c r="Q654" s="2">
        <v>1</v>
      </c>
      <c r="R654" s="2">
        <v>0.5</v>
      </c>
      <c r="S654" s="2">
        <v>1</v>
      </c>
      <c r="T654" s="2">
        <v>1</v>
      </c>
      <c r="U654" s="2">
        <v>0.5</v>
      </c>
      <c r="V654" s="2">
        <v>2</v>
      </c>
      <c r="W654" s="2">
        <v>0.5</v>
      </c>
      <c r="X654" s="2">
        <v>1</v>
      </c>
      <c r="Y654" s="2">
        <v>1</v>
      </c>
      <c r="Z654" s="2">
        <v>1</v>
      </c>
      <c r="AA654" s="2">
        <v>2</v>
      </c>
      <c r="AB654" s="2">
        <v>0.5</v>
      </c>
      <c r="AC654" s="2">
        <v>2</v>
      </c>
      <c r="AD654" s="2">
        <v>45</v>
      </c>
      <c r="AE654" s="2">
        <v>5120</v>
      </c>
      <c r="AF654" s="2">
        <v>70</v>
      </c>
      <c r="AG654" s="2">
        <v>307</v>
      </c>
      <c r="AH654" s="2">
        <v>45</v>
      </c>
      <c r="AI654" s="2">
        <v>40</v>
      </c>
      <c r="AJ654" s="1">
        <v>1059860</v>
      </c>
      <c r="AK654" s="1">
        <v>0.4</v>
      </c>
      <c r="AL654" s="1">
        <v>40</v>
      </c>
      <c r="AM654" s="2">
        <v>88.1</v>
      </c>
      <c r="AN654" s="2">
        <f t="shared" si="10"/>
        <v>11.900000000000006</v>
      </c>
      <c r="AO654" s="3">
        <v>653</v>
      </c>
      <c r="AP654" s="3">
        <v>62</v>
      </c>
      <c r="AQ654" s="3">
        <v>60</v>
      </c>
      <c r="AR654" s="3">
        <v>60</v>
      </c>
      <c r="AS654" s="1">
        <v>9.4</v>
      </c>
      <c r="AT654" s="3">
        <v>6</v>
      </c>
      <c r="AU654" s="3" t="s">
        <v>3051</v>
      </c>
    </row>
    <row r="655" spans="1:47" x14ac:dyDescent="0.3">
      <c r="A655" s="1" t="s">
        <v>1842</v>
      </c>
      <c r="B655" s="1" t="s">
        <v>1841</v>
      </c>
      <c r="C655" s="1" t="s">
        <v>51</v>
      </c>
      <c r="D655" s="1" t="s">
        <v>52</v>
      </c>
      <c r="E655" s="1" t="s">
        <v>144</v>
      </c>
      <c r="F655" t="s">
        <v>3114</v>
      </c>
      <c r="G655" t="s">
        <v>3091</v>
      </c>
      <c r="H655" t="s">
        <v>52</v>
      </c>
      <c r="I655" t="s">
        <v>52</v>
      </c>
      <c r="J655" t="s">
        <v>52</v>
      </c>
      <c r="K655" t="s">
        <v>52</v>
      </c>
      <c r="L655" s="2">
        <v>0.5</v>
      </c>
      <c r="M655" s="2">
        <v>1</v>
      </c>
      <c r="N655" s="2">
        <v>1</v>
      </c>
      <c r="O655" s="2">
        <v>1</v>
      </c>
      <c r="P655" s="2">
        <v>0.5</v>
      </c>
      <c r="Q655" s="2">
        <v>1</v>
      </c>
      <c r="R655" s="2">
        <v>0.5</v>
      </c>
      <c r="S655" s="2">
        <v>1</v>
      </c>
      <c r="T655" s="2">
        <v>1</v>
      </c>
      <c r="U655" s="2">
        <v>0.5</v>
      </c>
      <c r="V655" s="2">
        <v>2</v>
      </c>
      <c r="W655" s="2">
        <v>0.5</v>
      </c>
      <c r="X655" s="2">
        <v>1</v>
      </c>
      <c r="Y655" s="2">
        <v>1</v>
      </c>
      <c r="Z655" s="2">
        <v>1</v>
      </c>
      <c r="AA655" s="2">
        <v>2</v>
      </c>
      <c r="AB655" s="2">
        <v>0.5</v>
      </c>
      <c r="AC655" s="2">
        <v>2</v>
      </c>
      <c r="AD655" s="2">
        <v>59</v>
      </c>
      <c r="AE655" s="2">
        <v>5120</v>
      </c>
      <c r="AF655" s="2">
        <v>70</v>
      </c>
      <c r="AG655" s="2">
        <v>409</v>
      </c>
      <c r="AH655" s="2">
        <v>45</v>
      </c>
      <c r="AI655" s="2">
        <v>58</v>
      </c>
      <c r="AJ655" s="1">
        <v>1059860</v>
      </c>
      <c r="AK655" s="1">
        <v>1</v>
      </c>
      <c r="AL655" s="1">
        <v>59</v>
      </c>
      <c r="AM655" s="2">
        <v>88.1</v>
      </c>
      <c r="AN655" s="2">
        <f t="shared" si="10"/>
        <v>11.900000000000006</v>
      </c>
      <c r="AO655" s="3">
        <v>654</v>
      </c>
      <c r="AP655" s="3">
        <v>90</v>
      </c>
      <c r="AQ655" s="3">
        <v>70</v>
      </c>
      <c r="AR655" s="3">
        <v>73</v>
      </c>
      <c r="AS655" s="1">
        <v>14.5</v>
      </c>
      <c r="AT655" s="3">
        <v>6</v>
      </c>
      <c r="AU655" s="3" t="s">
        <v>3051</v>
      </c>
    </row>
    <row r="656" spans="1:47" x14ac:dyDescent="0.3">
      <c r="A656" s="1" t="s">
        <v>1844</v>
      </c>
      <c r="B656" s="1" t="s">
        <v>1843</v>
      </c>
      <c r="C656" s="1" t="s">
        <v>51</v>
      </c>
      <c r="D656" s="1" t="s">
        <v>216</v>
      </c>
      <c r="E656" s="1" t="s">
        <v>144</v>
      </c>
      <c r="F656" t="s">
        <v>3114</v>
      </c>
      <c r="G656" t="s">
        <v>3091</v>
      </c>
      <c r="H656" t="s">
        <v>52</v>
      </c>
      <c r="I656" t="s">
        <v>52</v>
      </c>
      <c r="J656" t="s">
        <v>52</v>
      </c>
      <c r="K656" t="s">
        <v>52</v>
      </c>
      <c r="L656" s="2">
        <v>1</v>
      </c>
      <c r="M656" s="2">
        <v>2</v>
      </c>
      <c r="N656" s="2">
        <v>1</v>
      </c>
      <c r="O656" s="2">
        <v>1</v>
      </c>
      <c r="P656" s="2">
        <v>0.5</v>
      </c>
      <c r="Q656" s="2">
        <v>0.5</v>
      </c>
      <c r="R656" s="2">
        <v>0.5</v>
      </c>
      <c r="S656" s="2">
        <v>1</v>
      </c>
      <c r="T656" s="2">
        <v>2</v>
      </c>
      <c r="U656" s="2">
        <v>0.5</v>
      </c>
      <c r="V656" s="2">
        <v>2</v>
      </c>
      <c r="W656" s="2">
        <v>0.5</v>
      </c>
      <c r="X656" s="2">
        <v>1</v>
      </c>
      <c r="Y656" s="2">
        <v>1</v>
      </c>
      <c r="Z656" s="2">
        <v>0.5</v>
      </c>
      <c r="AA656" s="2">
        <v>2</v>
      </c>
      <c r="AB656" s="2">
        <v>0.5</v>
      </c>
      <c r="AC656" s="2">
        <v>2</v>
      </c>
      <c r="AD656" s="2">
        <v>69</v>
      </c>
      <c r="AE656" s="2">
        <v>5120</v>
      </c>
      <c r="AF656" s="2">
        <v>70</v>
      </c>
      <c r="AG656" s="2">
        <v>534</v>
      </c>
      <c r="AH656" s="2">
        <v>45</v>
      </c>
      <c r="AI656" s="2">
        <v>72</v>
      </c>
      <c r="AJ656" s="1">
        <v>1059860</v>
      </c>
      <c r="AK656" s="1">
        <v>1.5</v>
      </c>
      <c r="AL656" s="1">
        <v>75</v>
      </c>
      <c r="AM656" s="2">
        <v>88.1</v>
      </c>
      <c r="AN656" s="2">
        <f t="shared" si="10"/>
        <v>11.900000000000006</v>
      </c>
      <c r="AO656" s="3">
        <v>655</v>
      </c>
      <c r="AP656" s="3">
        <v>114</v>
      </c>
      <c r="AQ656" s="3">
        <v>100</v>
      </c>
      <c r="AR656" s="3">
        <v>104</v>
      </c>
      <c r="AS656" s="1">
        <v>39</v>
      </c>
      <c r="AT656" s="3">
        <v>6</v>
      </c>
      <c r="AU656" s="3" t="s">
        <v>3051</v>
      </c>
    </row>
    <row r="657" spans="1:47" x14ac:dyDescent="0.3">
      <c r="A657" s="1" t="s">
        <v>1847</v>
      </c>
      <c r="B657" s="1" t="s">
        <v>1846</v>
      </c>
      <c r="C657" s="1" t="s">
        <v>62</v>
      </c>
      <c r="D657" s="1" t="s">
        <v>52</v>
      </c>
      <c r="E657" s="1" t="s">
        <v>1845</v>
      </c>
      <c r="F657" t="s">
        <v>3115</v>
      </c>
      <c r="G657" t="s">
        <v>3268</v>
      </c>
      <c r="H657" t="s">
        <v>52</v>
      </c>
      <c r="I657" t="s">
        <v>52</v>
      </c>
      <c r="J657" t="s">
        <v>52</v>
      </c>
      <c r="K657" t="s">
        <v>52</v>
      </c>
      <c r="L657" s="2">
        <v>1</v>
      </c>
      <c r="M657" s="2">
        <v>1</v>
      </c>
      <c r="N657" s="2">
        <v>1</v>
      </c>
      <c r="O657" s="2">
        <v>2</v>
      </c>
      <c r="P657" s="2">
        <v>1</v>
      </c>
      <c r="Q657" s="2">
        <v>1</v>
      </c>
      <c r="R657" s="2">
        <v>0.5</v>
      </c>
      <c r="S657" s="2">
        <v>1</v>
      </c>
      <c r="T657" s="2">
        <v>1</v>
      </c>
      <c r="U657" s="2">
        <v>2</v>
      </c>
      <c r="V657" s="2">
        <v>1</v>
      </c>
      <c r="W657" s="2">
        <v>0.5</v>
      </c>
      <c r="X657" s="2">
        <v>1</v>
      </c>
      <c r="Y657" s="2">
        <v>1</v>
      </c>
      <c r="Z657" s="2">
        <v>1</v>
      </c>
      <c r="AA657" s="2">
        <v>1</v>
      </c>
      <c r="AB657" s="2">
        <v>0.5</v>
      </c>
      <c r="AC657" s="2">
        <v>0.5</v>
      </c>
      <c r="AD657" s="2">
        <v>56</v>
      </c>
      <c r="AE657" s="2">
        <v>5120</v>
      </c>
      <c r="AF657" s="2">
        <v>70</v>
      </c>
      <c r="AG657" s="2">
        <v>314</v>
      </c>
      <c r="AH657" s="2">
        <v>45</v>
      </c>
      <c r="AI657" s="2">
        <v>40</v>
      </c>
      <c r="AJ657" s="1">
        <v>1059860</v>
      </c>
      <c r="AK657" s="1">
        <v>0.3</v>
      </c>
      <c r="AL657" s="1">
        <v>41</v>
      </c>
      <c r="AM657" s="2">
        <v>88.1</v>
      </c>
      <c r="AN657" s="2">
        <f t="shared" si="10"/>
        <v>11.900000000000006</v>
      </c>
      <c r="AO657" s="3">
        <v>656</v>
      </c>
      <c r="AP657" s="3">
        <v>62</v>
      </c>
      <c r="AQ657" s="3">
        <v>44</v>
      </c>
      <c r="AR657" s="3">
        <v>71</v>
      </c>
      <c r="AS657" s="1">
        <v>7</v>
      </c>
      <c r="AT657" s="3">
        <v>6</v>
      </c>
      <c r="AU657" s="3" t="s">
        <v>3051</v>
      </c>
    </row>
    <row r="658" spans="1:47" x14ac:dyDescent="0.3">
      <c r="A658" s="1" t="s">
        <v>1849</v>
      </c>
      <c r="B658" s="1" t="s">
        <v>1848</v>
      </c>
      <c r="C658" s="1" t="s">
        <v>62</v>
      </c>
      <c r="D658" s="1" t="s">
        <v>52</v>
      </c>
      <c r="E658" s="1" t="s">
        <v>1845</v>
      </c>
      <c r="F658" t="s">
        <v>3115</v>
      </c>
      <c r="G658" t="s">
        <v>3268</v>
      </c>
      <c r="H658" t="s">
        <v>52</v>
      </c>
      <c r="I658" t="s">
        <v>52</v>
      </c>
      <c r="J658" t="s">
        <v>52</v>
      </c>
      <c r="K658" t="s">
        <v>52</v>
      </c>
      <c r="L658" s="2">
        <v>1</v>
      </c>
      <c r="M658" s="2">
        <v>1</v>
      </c>
      <c r="N658" s="2">
        <v>1</v>
      </c>
      <c r="O658" s="2">
        <v>2</v>
      </c>
      <c r="P658" s="2">
        <v>1</v>
      </c>
      <c r="Q658" s="2">
        <v>1</v>
      </c>
      <c r="R658" s="2">
        <v>0.5</v>
      </c>
      <c r="S658" s="2">
        <v>1</v>
      </c>
      <c r="T658" s="2">
        <v>1</v>
      </c>
      <c r="U658" s="2">
        <v>2</v>
      </c>
      <c r="V658" s="2">
        <v>1</v>
      </c>
      <c r="W658" s="2">
        <v>0.5</v>
      </c>
      <c r="X658" s="2">
        <v>1</v>
      </c>
      <c r="Y658" s="2">
        <v>1</v>
      </c>
      <c r="Z658" s="2">
        <v>1</v>
      </c>
      <c r="AA658" s="2">
        <v>1</v>
      </c>
      <c r="AB658" s="2">
        <v>0.5</v>
      </c>
      <c r="AC658" s="2">
        <v>0.5</v>
      </c>
      <c r="AD658" s="2">
        <v>63</v>
      </c>
      <c r="AE658" s="2">
        <v>5120</v>
      </c>
      <c r="AF658" s="2">
        <v>70</v>
      </c>
      <c r="AG658" s="2">
        <v>405</v>
      </c>
      <c r="AH658" s="2">
        <v>45</v>
      </c>
      <c r="AI658" s="2">
        <v>52</v>
      </c>
      <c r="AJ658" s="1">
        <v>1059860</v>
      </c>
      <c r="AK658" s="1">
        <v>0.6</v>
      </c>
      <c r="AL658" s="1">
        <v>54</v>
      </c>
      <c r="AM658" s="2">
        <v>88.1</v>
      </c>
      <c r="AN658" s="2">
        <f t="shared" si="10"/>
        <v>11.900000000000006</v>
      </c>
      <c r="AO658" s="3">
        <v>657</v>
      </c>
      <c r="AP658" s="3">
        <v>83</v>
      </c>
      <c r="AQ658" s="3">
        <v>56</v>
      </c>
      <c r="AR658" s="3">
        <v>97</v>
      </c>
      <c r="AS658" s="1">
        <v>10.9</v>
      </c>
      <c r="AT658" s="3">
        <v>6</v>
      </c>
      <c r="AU658" s="3" t="s">
        <v>3051</v>
      </c>
    </row>
    <row r="659" spans="1:47" x14ac:dyDescent="0.3">
      <c r="A659" s="1" t="s">
        <v>1851</v>
      </c>
      <c r="B659" s="1" t="s">
        <v>1850</v>
      </c>
      <c r="C659" s="1" t="s">
        <v>62</v>
      </c>
      <c r="D659" s="1" t="s">
        <v>99</v>
      </c>
      <c r="E659" s="1" t="s">
        <v>830</v>
      </c>
      <c r="F659" t="s">
        <v>3115</v>
      </c>
      <c r="G659" t="s">
        <v>3268</v>
      </c>
      <c r="H659" t="s">
        <v>3273</v>
      </c>
      <c r="I659" t="s">
        <v>52</v>
      </c>
      <c r="J659" t="s">
        <v>52</v>
      </c>
      <c r="K659" t="s">
        <v>52</v>
      </c>
      <c r="L659" s="2">
        <v>2</v>
      </c>
      <c r="M659" s="2">
        <v>0.5</v>
      </c>
      <c r="N659" s="2">
        <v>1</v>
      </c>
      <c r="O659" s="2">
        <v>2</v>
      </c>
      <c r="P659" s="2">
        <v>2</v>
      </c>
      <c r="Q659" s="2">
        <v>2</v>
      </c>
      <c r="R659" s="2">
        <v>0.5</v>
      </c>
      <c r="S659" s="2">
        <v>1</v>
      </c>
      <c r="T659" s="2">
        <v>0.5</v>
      </c>
      <c r="U659" s="2">
        <v>2</v>
      </c>
      <c r="V659" s="2">
        <v>1</v>
      </c>
      <c r="W659" s="2">
        <v>0.5</v>
      </c>
      <c r="X659" s="2">
        <v>1</v>
      </c>
      <c r="Y659" s="2">
        <v>1</v>
      </c>
      <c r="Z659" s="2">
        <v>0</v>
      </c>
      <c r="AA659" s="2">
        <v>1</v>
      </c>
      <c r="AB659" s="2">
        <v>0.5</v>
      </c>
      <c r="AC659" s="2">
        <v>0.5</v>
      </c>
      <c r="AD659" s="2">
        <v>145</v>
      </c>
      <c r="AE659" s="2">
        <v>5120</v>
      </c>
      <c r="AF659" s="2">
        <v>70</v>
      </c>
      <c r="AG659" s="2">
        <v>640</v>
      </c>
      <c r="AH659" s="2">
        <v>45</v>
      </c>
      <c r="AI659" s="2">
        <v>67</v>
      </c>
      <c r="AJ659" s="1">
        <v>1059860</v>
      </c>
      <c r="AK659" s="1">
        <v>1.5</v>
      </c>
      <c r="AL659" s="1">
        <v>72</v>
      </c>
      <c r="AM659" s="2">
        <v>88.1</v>
      </c>
      <c r="AN659" s="2">
        <f t="shared" si="10"/>
        <v>11.900000000000006</v>
      </c>
      <c r="AO659" s="3">
        <v>658</v>
      </c>
      <c r="AP659" s="3">
        <v>153</v>
      </c>
      <c r="AQ659" s="3">
        <v>71</v>
      </c>
      <c r="AR659" s="3">
        <v>132</v>
      </c>
      <c r="AS659" s="1">
        <v>40</v>
      </c>
      <c r="AT659" s="3">
        <v>6</v>
      </c>
      <c r="AU659" s="3" t="s">
        <v>3051</v>
      </c>
    </row>
    <row r="660" spans="1:47" x14ac:dyDescent="0.3">
      <c r="A660" s="1" t="s">
        <v>1854</v>
      </c>
      <c r="B660" s="1" t="s">
        <v>1853</v>
      </c>
      <c r="C660" s="1" t="s">
        <v>90</v>
      </c>
      <c r="D660" s="1" t="s">
        <v>52</v>
      </c>
      <c r="E660" s="1" t="s">
        <v>1852</v>
      </c>
      <c r="F660" t="s">
        <v>3128</v>
      </c>
      <c r="G660" t="s">
        <v>3201</v>
      </c>
      <c r="H660" t="s">
        <v>3258</v>
      </c>
      <c r="I660" t="s">
        <v>52</v>
      </c>
      <c r="J660" t="s">
        <v>52</v>
      </c>
      <c r="K660" t="s">
        <v>52</v>
      </c>
      <c r="L660" s="2">
        <v>1</v>
      </c>
      <c r="M660" s="2">
        <v>1</v>
      </c>
      <c r="N660" s="2">
        <v>1</v>
      </c>
      <c r="O660" s="2">
        <v>1</v>
      </c>
      <c r="P660" s="2">
        <v>1</v>
      </c>
      <c r="Q660" s="2">
        <v>2</v>
      </c>
      <c r="R660" s="2">
        <v>1</v>
      </c>
      <c r="S660" s="2">
        <v>1</v>
      </c>
      <c r="T660" s="2">
        <v>0</v>
      </c>
      <c r="U660" s="2">
        <v>1</v>
      </c>
      <c r="V660" s="2">
        <v>1</v>
      </c>
      <c r="W660" s="2">
        <v>1</v>
      </c>
      <c r="X660" s="2">
        <v>1</v>
      </c>
      <c r="Y660" s="2">
        <v>1</v>
      </c>
      <c r="Z660" s="2">
        <v>1</v>
      </c>
      <c r="AA660" s="2">
        <v>1</v>
      </c>
      <c r="AB660" s="2">
        <v>1</v>
      </c>
      <c r="AC660" s="2">
        <v>1</v>
      </c>
      <c r="AD660" s="2">
        <v>36</v>
      </c>
      <c r="AE660" s="2">
        <v>3840</v>
      </c>
      <c r="AF660" s="2">
        <v>70</v>
      </c>
      <c r="AG660" s="2">
        <v>237</v>
      </c>
      <c r="AH660" s="2">
        <v>255</v>
      </c>
      <c r="AI660" s="2">
        <v>38</v>
      </c>
      <c r="AJ660" s="1">
        <v>1000000</v>
      </c>
      <c r="AK660" s="1">
        <v>0.4</v>
      </c>
      <c r="AL660" s="1">
        <v>38</v>
      </c>
      <c r="AM660" s="2">
        <v>50</v>
      </c>
      <c r="AN660" s="2">
        <f t="shared" si="10"/>
        <v>50</v>
      </c>
      <c r="AO660" s="3">
        <v>659</v>
      </c>
      <c r="AP660" s="3">
        <v>32</v>
      </c>
      <c r="AQ660" s="3">
        <v>36</v>
      </c>
      <c r="AR660" s="3">
        <v>57</v>
      </c>
      <c r="AS660" s="1">
        <v>5</v>
      </c>
      <c r="AT660" s="3">
        <v>6</v>
      </c>
      <c r="AU660" s="3" t="s">
        <v>3051</v>
      </c>
    </row>
    <row r="661" spans="1:47" x14ac:dyDescent="0.3">
      <c r="A661" s="1" t="s">
        <v>1856</v>
      </c>
      <c r="B661" s="1" t="s">
        <v>1855</v>
      </c>
      <c r="C661" s="1" t="s">
        <v>90</v>
      </c>
      <c r="D661" s="1" t="s">
        <v>120</v>
      </c>
      <c r="E661" s="1" t="s">
        <v>1852</v>
      </c>
      <c r="F661" t="s">
        <v>3128</v>
      </c>
      <c r="G661" t="s">
        <v>3201</v>
      </c>
      <c r="H661" t="s">
        <v>3258</v>
      </c>
      <c r="I661" t="s">
        <v>52</v>
      </c>
      <c r="J661" t="s">
        <v>52</v>
      </c>
      <c r="K661" t="s">
        <v>52</v>
      </c>
      <c r="L661" s="2">
        <v>1</v>
      </c>
      <c r="M661" s="2">
        <v>1</v>
      </c>
      <c r="N661" s="2">
        <v>1</v>
      </c>
      <c r="O661" s="2">
        <v>0</v>
      </c>
      <c r="P661" s="2">
        <v>1</v>
      </c>
      <c r="Q661" s="2">
        <v>2</v>
      </c>
      <c r="R661" s="2">
        <v>1</v>
      </c>
      <c r="S661" s="2">
        <v>1</v>
      </c>
      <c r="T661" s="2">
        <v>0</v>
      </c>
      <c r="U661" s="2">
        <v>2</v>
      </c>
      <c r="V661" s="2">
        <v>1</v>
      </c>
      <c r="W661" s="2">
        <v>2</v>
      </c>
      <c r="X661" s="2">
        <v>1</v>
      </c>
      <c r="Y661" s="2">
        <v>0.5</v>
      </c>
      <c r="Z661" s="2">
        <v>1</v>
      </c>
      <c r="AA661" s="2">
        <v>0.5</v>
      </c>
      <c r="AB661" s="2">
        <v>1</v>
      </c>
      <c r="AC661" s="2">
        <v>2</v>
      </c>
      <c r="AD661" s="2">
        <v>56</v>
      </c>
      <c r="AE661" s="2">
        <v>3840</v>
      </c>
      <c r="AF661" s="2">
        <v>70</v>
      </c>
      <c r="AG661" s="2">
        <v>423</v>
      </c>
      <c r="AH661" s="2">
        <v>127</v>
      </c>
      <c r="AI661" s="2">
        <v>77</v>
      </c>
      <c r="AJ661" s="1">
        <v>1000000</v>
      </c>
      <c r="AK661" s="1">
        <v>1</v>
      </c>
      <c r="AL661" s="1">
        <v>85</v>
      </c>
      <c r="AM661" s="2">
        <v>50</v>
      </c>
      <c r="AN661" s="2">
        <f t="shared" si="10"/>
        <v>50</v>
      </c>
      <c r="AO661" s="3">
        <v>660</v>
      </c>
      <c r="AP661" s="3">
        <v>50</v>
      </c>
      <c r="AQ661" s="3">
        <v>77</v>
      </c>
      <c r="AR661" s="3">
        <v>78</v>
      </c>
      <c r="AS661" s="1">
        <v>42.4</v>
      </c>
      <c r="AT661" s="3">
        <v>6</v>
      </c>
      <c r="AU661" s="3" t="s">
        <v>3051</v>
      </c>
    </row>
    <row r="662" spans="1:47" x14ac:dyDescent="0.3">
      <c r="A662" s="1" t="s">
        <v>1859</v>
      </c>
      <c r="B662" s="1" t="s">
        <v>1858</v>
      </c>
      <c r="C662" s="1" t="s">
        <v>90</v>
      </c>
      <c r="D662" s="1" t="s">
        <v>58</v>
      </c>
      <c r="E662" s="1" t="s">
        <v>1857</v>
      </c>
      <c r="F662" t="s">
        <v>3179</v>
      </c>
      <c r="G662" t="s">
        <v>3274</v>
      </c>
      <c r="H662" t="s">
        <v>52</v>
      </c>
      <c r="I662" t="s">
        <v>52</v>
      </c>
      <c r="J662" t="s">
        <v>52</v>
      </c>
      <c r="K662" t="s">
        <v>52</v>
      </c>
      <c r="L662" s="2">
        <v>0.5</v>
      </c>
      <c r="M662" s="2">
        <v>1</v>
      </c>
      <c r="N662" s="2">
        <v>1</v>
      </c>
      <c r="O662" s="2">
        <v>2</v>
      </c>
      <c r="P662" s="2">
        <v>1</v>
      </c>
      <c r="Q662" s="2">
        <v>1</v>
      </c>
      <c r="R662" s="2">
        <v>1</v>
      </c>
      <c r="S662" s="2">
        <v>1</v>
      </c>
      <c r="T662" s="2">
        <v>0</v>
      </c>
      <c r="U662" s="2">
        <v>0.5</v>
      </c>
      <c r="V662" s="2">
        <v>0</v>
      </c>
      <c r="W662" s="2">
        <v>2</v>
      </c>
      <c r="X662" s="2">
        <v>1</v>
      </c>
      <c r="Y662" s="2">
        <v>1</v>
      </c>
      <c r="Z662" s="2">
        <v>1</v>
      </c>
      <c r="AA662" s="2">
        <v>2</v>
      </c>
      <c r="AB662" s="2">
        <v>1</v>
      </c>
      <c r="AC662" s="2">
        <v>1</v>
      </c>
      <c r="AD662" s="2">
        <v>50</v>
      </c>
      <c r="AE662" s="2">
        <v>3840</v>
      </c>
      <c r="AF662" s="2">
        <v>70</v>
      </c>
      <c r="AG662" s="2">
        <v>278</v>
      </c>
      <c r="AH662" s="2">
        <v>255</v>
      </c>
      <c r="AI662" s="2">
        <v>43</v>
      </c>
      <c r="AJ662" s="1">
        <v>1059860</v>
      </c>
      <c r="AK662" s="1">
        <v>0.3</v>
      </c>
      <c r="AL662" s="1">
        <v>45</v>
      </c>
      <c r="AM662" s="2">
        <v>50</v>
      </c>
      <c r="AN662" s="2">
        <f t="shared" si="10"/>
        <v>50</v>
      </c>
      <c r="AO662" s="3">
        <v>661</v>
      </c>
      <c r="AP662" s="3">
        <v>40</v>
      </c>
      <c r="AQ662" s="3">
        <v>38</v>
      </c>
      <c r="AR662" s="3">
        <v>62</v>
      </c>
      <c r="AS662" s="1">
        <v>1.7</v>
      </c>
      <c r="AT662" s="3">
        <v>6</v>
      </c>
      <c r="AU662" s="3" t="s">
        <v>3051</v>
      </c>
    </row>
    <row r="663" spans="1:47" x14ac:dyDescent="0.3">
      <c r="A663" s="1" t="s">
        <v>1861</v>
      </c>
      <c r="B663" s="1" t="s">
        <v>1860</v>
      </c>
      <c r="C663" s="1" t="s">
        <v>51</v>
      </c>
      <c r="D663" s="1" t="s">
        <v>58</v>
      </c>
      <c r="E663" s="1" t="s">
        <v>1454</v>
      </c>
      <c r="F663" t="s">
        <v>3145</v>
      </c>
      <c r="G663" t="s">
        <v>3274</v>
      </c>
      <c r="H663" t="s">
        <v>52</v>
      </c>
      <c r="I663" t="s">
        <v>52</v>
      </c>
      <c r="J663" t="s">
        <v>52</v>
      </c>
      <c r="K663" t="s">
        <v>52</v>
      </c>
      <c r="L663" s="2">
        <v>0.25</v>
      </c>
      <c r="M663" s="2">
        <v>1</v>
      </c>
      <c r="N663" s="2">
        <v>1</v>
      </c>
      <c r="O663" s="2">
        <v>2</v>
      </c>
      <c r="P663" s="2">
        <v>0.5</v>
      </c>
      <c r="Q663" s="2">
        <v>0.5</v>
      </c>
      <c r="R663" s="2">
        <v>0.5</v>
      </c>
      <c r="S663" s="2">
        <v>1</v>
      </c>
      <c r="T663" s="2">
        <v>1</v>
      </c>
      <c r="U663" s="2">
        <v>0.25</v>
      </c>
      <c r="V663" s="2">
        <v>0</v>
      </c>
      <c r="W663" s="2">
        <v>1</v>
      </c>
      <c r="X663" s="2">
        <v>1</v>
      </c>
      <c r="Y663" s="2">
        <v>1</v>
      </c>
      <c r="Z663" s="2">
        <v>1</v>
      </c>
      <c r="AA663" s="2">
        <v>4</v>
      </c>
      <c r="AB663" s="2">
        <v>0.5</v>
      </c>
      <c r="AC663" s="2">
        <v>2</v>
      </c>
      <c r="AD663" s="2">
        <v>73</v>
      </c>
      <c r="AE663" s="2">
        <v>3840</v>
      </c>
      <c r="AF663" s="2">
        <v>70</v>
      </c>
      <c r="AG663" s="2">
        <v>382</v>
      </c>
      <c r="AH663" s="2">
        <v>120</v>
      </c>
      <c r="AI663" s="2">
        <v>55</v>
      </c>
      <c r="AJ663" s="1">
        <v>1059860</v>
      </c>
      <c r="AK663" s="1">
        <v>0.7</v>
      </c>
      <c r="AL663" s="1">
        <v>62</v>
      </c>
      <c r="AM663" s="2">
        <v>50</v>
      </c>
      <c r="AN663" s="2">
        <f t="shared" si="10"/>
        <v>50</v>
      </c>
      <c r="AO663" s="3">
        <v>662</v>
      </c>
      <c r="AP663" s="3">
        <v>56</v>
      </c>
      <c r="AQ663" s="3">
        <v>52</v>
      </c>
      <c r="AR663" s="3">
        <v>84</v>
      </c>
      <c r="AS663" s="1">
        <v>16</v>
      </c>
      <c r="AT663" s="3">
        <v>6</v>
      </c>
      <c r="AU663" s="3" t="s">
        <v>3051</v>
      </c>
    </row>
    <row r="664" spans="1:47" x14ac:dyDescent="0.3">
      <c r="A664" s="1" t="s">
        <v>1864</v>
      </c>
      <c r="B664" s="1" t="s">
        <v>1863</v>
      </c>
      <c r="C664" s="1" t="s">
        <v>51</v>
      </c>
      <c r="D664" s="1" t="s">
        <v>58</v>
      </c>
      <c r="E664" s="1" t="s">
        <v>1862</v>
      </c>
      <c r="F664" t="s">
        <v>3145</v>
      </c>
      <c r="G664" t="s">
        <v>3274</v>
      </c>
      <c r="H664" t="s">
        <v>52</v>
      </c>
      <c r="I664" t="s">
        <v>52</v>
      </c>
      <c r="J664" t="s">
        <v>52</v>
      </c>
      <c r="K664" t="s">
        <v>52</v>
      </c>
      <c r="L664" s="2">
        <v>0.25</v>
      </c>
      <c r="M664" s="2">
        <v>1</v>
      </c>
      <c r="N664" s="2">
        <v>1</v>
      </c>
      <c r="O664" s="2">
        <v>2</v>
      </c>
      <c r="P664" s="2">
        <v>0.5</v>
      </c>
      <c r="Q664" s="2">
        <v>0.5</v>
      </c>
      <c r="R664" s="2">
        <v>0.5</v>
      </c>
      <c r="S664" s="2">
        <v>1</v>
      </c>
      <c r="T664" s="2">
        <v>1</v>
      </c>
      <c r="U664" s="2">
        <v>0.25</v>
      </c>
      <c r="V664" s="2">
        <v>0</v>
      </c>
      <c r="W664" s="2">
        <v>1</v>
      </c>
      <c r="X664" s="2">
        <v>1</v>
      </c>
      <c r="Y664" s="2">
        <v>1</v>
      </c>
      <c r="Z664" s="2">
        <v>1</v>
      </c>
      <c r="AA664" s="2">
        <v>4</v>
      </c>
      <c r="AB664" s="2">
        <v>0.5</v>
      </c>
      <c r="AC664" s="2">
        <v>2</v>
      </c>
      <c r="AD664" s="2">
        <v>81</v>
      </c>
      <c r="AE664" s="2">
        <v>3840</v>
      </c>
      <c r="AF664" s="2">
        <v>70</v>
      </c>
      <c r="AG664" s="2">
        <v>499</v>
      </c>
      <c r="AH664" s="2">
        <v>45</v>
      </c>
      <c r="AI664" s="2">
        <v>71</v>
      </c>
      <c r="AJ664" s="1">
        <v>1059860</v>
      </c>
      <c r="AK664" s="1">
        <v>1.2</v>
      </c>
      <c r="AL664" s="1">
        <v>78</v>
      </c>
      <c r="AM664" s="2">
        <v>50</v>
      </c>
      <c r="AN664" s="2">
        <f t="shared" si="10"/>
        <v>50</v>
      </c>
      <c r="AO664" s="3">
        <v>663</v>
      </c>
      <c r="AP664" s="3">
        <v>74</v>
      </c>
      <c r="AQ664" s="3">
        <v>69</v>
      </c>
      <c r="AR664" s="3">
        <v>126</v>
      </c>
      <c r="AS664" s="1">
        <v>24.5</v>
      </c>
      <c r="AT664" s="3">
        <v>6</v>
      </c>
      <c r="AU664" s="3" t="s">
        <v>3051</v>
      </c>
    </row>
    <row r="665" spans="1:47" x14ac:dyDescent="0.3">
      <c r="A665" s="1" t="s">
        <v>1867</v>
      </c>
      <c r="B665" s="1" t="s">
        <v>1866</v>
      </c>
      <c r="C665" s="1" t="s">
        <v>72</v>
      </c>
      <c r="D665" s="1" t="s">
        <v>52</v>
      </c>
      <c r="E665" s="1" t="s">
        <v>1865</v>
      </c>
      <c r="F665" t="s">
        <v>3116</v>
      </c>
      <c r="G665" t="s">
        <v>3117</v>
      </c>
      <c r="H665" t="s">
        <v>3232</v>
      </c>
      <c r="I665" t="s">
        <v>52</v>
      </c>
      <c r="J665" t="s">
        <v>52</v>
      </c>
      <c r="K665" t="s">
        <v>52</v>
      </c>
      <c r="L665" s="2">
        <v>1</v>
      </c>
      <c r="M665" s="2">
        <v>1</v>
      </c>
      <c r="N665" s="2">
        <v>1</v>
      </c>
      <c r="O665" s="2">
        <v>1</v>
      </c>
      <c r="P665" s="2">
        <v>1</v>
      </c>
      <c r="Q665" s="2">
        <v>0.5</v>
      </c>
      <c r="R665" s="2">
        <v>2</v>
      </c>
      <c r="S665" s="2">
        <v>2</v>
      </c>
      <c r="T665" s="2">
        <v>1</v>
      </c>
      <c r="U665" s="2">
        <v>0.5</v>
      </c>
      <c r="V665" s="2">
        <v>0.5</v>
      </c>
      <c r="W665" s="2">
        <v>1</v>
      </c>
      <c r="X665" s="2">
        <v>1</v>
      </c>
      <c r="Y665" s="2">
        <v>1</v>
      </c>
      <c r="Z665" s="2">
        <v>1</v>
      </c>
      <c r="AA665" s="2">
        <v>2</v>
      </c>
      <c r="AB665" s="2">
        <v>1</v>
      </c>
      <c r="AC665" s="2">
        <v>1</v>
      </c>
      <c r="AD665" s="2">
        <v>35</v>
      </c>
      <c r="AE665" s="2">
        <v>3840</v>
      </c>
      <c r="AF665" s="2">
        <v>70</v>
      </c>
      <c r="AG665" s="2">
        <v>200</v>
      </c>
      <c r="AH665" s="2">
        <v>255</v>
      </c>
      <c r="AI665" s="2">
        <v>40</v>
      </c>
      <c r="AJ665" s="1">
        <v>1000000</v>
      </c>
      <c r="AK665" s="1">
        <v>0.3</v>
      </c>
      <c r="AL665" s="1">
        <v>38</v>
      </c>
      <c r="AM665" s="2">
        <v>50</v>
      </c>
      <c r="AN665" s="2">
        <f t="shared" si="10"/>
        <v>50</v>
      </c>
      <c r="AO665" s="3">
        <v>664</v>
      </c>
      <c r="AP665" s="3">
        <v>27</v>
      </c>
      <c r="AQ665" s="3">
        <v>25</v>
      </c>
      <c r="AR665" s="3">
        <v>35</v>
      </c>
      <c r="AS665" s="1">
        <v>2.5</v>
      </c>
      <c r="AT665" s="3">
        <v>6</v>
      </c>
      <c r="AU665" s="3" t="s">
        <v>3051</v>
      </c>
    </row>
    <row r="666" spans="1:47" x14ac:dyDescent="0.3">
      <c r="A666" s="1" t="s">
        <v>1869</v>
      </c>
      <c r="B666" s="1" t="s">
        <v>1868</v>
      </c>
      <c r="C666" s="1" t="s">
        <v>72</v>
      </c>
      <c r="D666" s="1" t="s">
        <v>52</v>
      </c>
      <c r="E666" s="1" t="s">
        <v>1865</v>
      </c>
      <c r="F666" t="s">
        <v>3054</v>
      </c>
      <c r="G666" t="s">
        <v>3232</v>
      </c>
      <c r="H666" t="s">
        <v>52</v>
      </c>
      <c r="I666" t="s">
        <v>52</v>
      </c>
      <c r="J666" t="s">
        <v>52</v>
      </c>
      <c r="K666" t="s">
        <v>52</v>
      </c>
      <c r="L666" s="2">
        <v>1</v>
      </c>
      <c r="M666" s="2">
        <v>1</v>
      </c>
      <c r="N666" s="2">
        <v>1</v>
      </c>
      <c r="O666" s="2">
        <v>1</v>
      </c>
      <c r="P666" s="2">
        <v>1</v>
      </c>
      <c r="Q666" s="2">
        <v>0.5</v>
      </c>
      <c r="R666" s="2">
        <v>2</v>
      </c>
      <c r="S666" s="2">
        <v>2</v>
      </c>
      <c r="T666" s="2">
        <v>1</v>
      </c>
      <c r="U666" s="2">
        <v>0.5</v>
      </c>
      <c r="V666" s="2">
        <v>0.5</v>
      </c>
      <c r="W666" s="2">
        <v>1</v>
      </c>
      <c r="X666" s="2">
        <v>1</v>
      </c>
      <c r="Y666" s="2">
        <v>1</v>
      </c>
      <c r="Z666" s="2">
        <v>1</v>
      </c>
      <c r="AA666" s="2">
        <v>2</v>
      </c>
      <c r="AB666" s="2">
        <v>1</v>
      </c>
      <c r="AC666" s="2">
        <v>1</v>
      </c>
      <c r="AD666" s="2">
        <v>22</v>
      </c>
      <c r="AE666" s="2">
        <v>3840</v>
      </c>
      <c r="AF666" s="2">
        <v>70</v>
      </c>
      <c r="AG666" s="2">
        <v>213</v>
      </c>
      <c r="AH666" s="2">
        <v>120</v>
      </c>
      <c r="AI666" s="2">
        <v>60</v>
      </c>
      <c r="AJ666" s="1">
        <v>1000000</v>
      </c>
      <c r="AK666" s="1">
        <v>0.3</v>
      </c>
      <c r="AL666" s="1">
        <v>45</v>
      </c>
      <c r="AM666" s="2">
        <v>50</v>
      </c>
      <c r="AN666" s="2">
        <f t="shared" si="10"/>
        <v>50</v>
      </c>
      <c r="AO666" s="3">
        <v>665</v>
      </c>
      <c r="AP666" s="3">
        <v>27</v>
      </c>
      <c r="AQ666" s="3">
        <v>30</v>
      </c>
      <c r="AR666" s="3">
        <v>29</v>
      </c>
      <c r="AS666" s="1">
        <v>8.4</v>
      </c>
      <c r="AT666" s="3">
        <v>6</v>
      </c>
      <c r="AU666" s="3" t="s">
        <v>3051</v>
      </c>
    </row>
    <row r="667" spans="1:47" x14ac:dyDescent="0.3">
      <c r="A667" s="1" t="s">
        <v>1872</v>
      </c>
      <c r="B667" s="1" t="s">
        <v>1871</v>
      </c>
      <c r="C667" s="1" t="s">
        <v>72</v>
      </c>
      <c r="D667" s="1" t="s">
        <v>58</v>
      </c>
      <c r="E667" s="1" t="s">
        <v>1870</v>
      </c>
      <c r="F667" t="s">
        <v>3116</v>
      </c>
      <c r="G667" t="s">
        <v>3117</v>
      </c>
      <c r="H667" t="s">
        <v>3232</v>
      </c>
      <c r="I667" t="s">
        <v>52</v>
      </c>
      <c r="J667" t="s">
        <v>52</v>
      </c>
      <c r="K667" t="s">
        <v>52</v>
      </c>
      <c r="L667" s="2">
        <v>0.5</v>
      </c>
      <c r="M667" s="2">
        <v>1</v>
      </c>
      <c r="N667" s="2">
        <v>1</v>
      </c>
      <c r="O667" s="2">
        <v>2</v>
      </c>
      <c r="P667" s="2">
        <v>1</v>
      </c>
      <c r="Q667" s="2">
        <v>0.25</v>
      </c>
      <c r="R667" s="2">
        <v>2</v>
      </c>
      <c r="S667" s="2">
        <v>2</v>
      </c>
      <c r="T667" s="2">
        <v>1</v>
      </c>
      <c r="U667" s="2">
        <v>0.25</v>
      </c>
      <c r="V667" s="2">
        <v>0</v>
      </c>
      <c r="W667" s="2">
        <v>2</v>
      </c>
      <c r="X667" s="2">
        <v>1</v>
      </c>
      <c r="Y667" s="2">
        <v>1</v>
      </c>
      <c r="Z667" s="2">
        <v>1</v>
      </c>
      <c r="AA667" s="2">
        <v>4</v>
      </c>
      <c r="AB667" s="2">
        <v>1</v>
      </c>
      <c r="AC667" s="2">
        <v>1</v>
      </c>
      <c r="AD667" s="2">
        <v>52</v>
      </c>
      <c r="AE667" s="2">
        <v>3840</v>
      </c>
      <c r="AF667" s="2">
        <v>70</v>
      </c>
      <c r="AG667" s="2">
        <v>411</v>
      </c>
      <c r="AH667" s="2">
        <v>45</v>
      </c>
      <c r="AI667" s="2">
        <v>50</v>
      </c>
      <c r="AJ667" s="1">
        <v>1000000</v>
      </c>
      <c r="AK667" s="1">
        <v>1.2</v>
      </c>
      <c r="AL667" s="1">
        <v>80</v>
      </c>
      <c r="AM667" s="2">
        <v>50</v>
      </c>
      <c r="AN667" s="2">
        <f t="shared" si="10"/>
        <v>50</v>
      </c>
      <c r="AO667" s="3">
        <v>666</v>
      </c>
      <c r="AP667" s="3">
        <v>90</v>
      </c>
      <c r="AQ667" s="3">
        <v>50</v>
      </c>
      <c r="AR667" s="3">
        <v>89</v>
      </c>
      <c r="AS667" s="1">
        <v>17</v>
      </c>
      <c r="AT667" s="3">
        <v>6</v>
      </c>
      <c r="AU667" s="3" t="s">
        <v>3051</v>
      </c>
    </row>
    <row r="668" spans="1:47" x14ac:dyDescent="0.3">
      <c r="A668" s="1" t="s">
        <v>1875</v>
      </c>
      <c r="B668" s="1" t="s">
        <v>1874</v>
      </c>
      <c r="C668" s="1" t="s">
        <v>51</v>
      </c>
      <c r="D668" s="1" t="s">
        <v>90</v>
      </c>
      <c r="E668" s="1" t="s">
        <v>1873</v>
      </c>
      <c r="F668" t="s">
        <v>3164</v>
      </c>
      <c r="G668" t="s">
        <v>3228</v>
      </c>
      <c r="H668" t="s">
        <v>3252</v>
      </c>
      <c r="I668" t="s">
        <v>52</v>
      </c>
      <c r="J668" t="s">
        <v>52</v>
      </c>
      <c r="K668" t="s">
        <v>52</v>
      </c>
      <c r="L668" s="2">
        <v>0.5</v>
      </c>
      <c r="M668" s="2">
        <v>1</v>
      </c>
      <c r="N668" s="2">
        <v>1</v>
      </c>
      <c r="O668" s="2">
        <v>1</v>
      </c>
      <c r="P668" s="2">
        <v>0.5</v>
      </c>
      <c r="Q668" s="2">
        <v>2</v>
      </c>
      <c r="R668" s="2">
        <v>0.5</v>
      </c>
      <c r="S668" s="2">
        <v>1</v>
      </c>
      <c r="T668" s="2">
        <v>0</v>
      </c>
      <c r="U668" s="2">
        <v>0.5</v>
      </c>
      <c r="V668" s="2">
        <v>2</v>
      </c>
      <c r="W668" s="2">
        <v>0.5</v>
      </c>
      <c r="X668" s="2">
        <v>1</v>
      </c>
      <c r="Y668" s="2">
        <v>1</v>
      </c>
      <c r="Z668" s="2">
        <v>1</v>
      </c>
      <c r="AA668" s="2">
        <v>2</v>
      </c>
      <c r="AB668" s="2">
        <v>0.5</v>
      </c>
      <c r="AC668" s="2">
        <v>2</v>
      </c>
      <c r="AD668" s="2">
        <v>50</v>
      </c>
      <c r="AE668" s="2">
        <v>5120</v>
      </c>
      <c r="AF668" s="2">
        <v>70</v>
      </c>
      <c r="AG668" s="2">
        <v>369</v>
      </c>
      <c r="AH668" s="2">
        <v>220</v>
      </c>
      <c r="AI668" s="2">
        <v>58</v>
      </c>
      <c r="AJ668" s="1">
        <v>1059860</v>
      </c>
      <c r="AK668" s="1">
        <v>0.6</v>
      </c>
      <c r="AL668" s="1">
        <v>62</v>
      </c>
      <c r="AM668" s="2">
        <v>11.2</v>
      </c>
      <c r="AN668" s="2">
        <f t="shared" si="10"/>
        <v>88.8</v>
      </c>
      <c r="AO668" s="3">
        <v>667</v>
      </c>
      <c r="AP668" s="3">
        <v>73</v>
      </c>
      <c r="AQ668" s="3">
        <v>54</v>
      </c>
      <c r="AR668" s="3">
        <v>72</v>
      </c>
      <c r="AS668" s="1">
        <v>13.5</v>
      </c>
      <c r="AT668" s="3">
        <v>6</v>
      </c>
      <c r="AU668" s="3" t="s">
        <v>3051</v>
      </c>
    </row>
    <row r="669" spans="1:47" x14ac:dyDescent="0.3">
      <c r="A669" s="1" t="s">
        <v>1877</v>
      </c>
      <c r="B669" s="1" t="s">
        <v>1876</v>
      </c>
      <c r="C669" s="1" t="s">
        <v>51</v>
      </c>
      <c r="D669" s="1" t="s">
        <v>90</v>
      </c>
      <c r="E669" s="1" t="s">
        <v>579</v>
      </c>
      <c r="F669" t="s">
        <v>3164</v>
      </c>
      <c r="G669" t="s">
        <v>3228</v>
      </c>
      <c r="H669" t="s">
        <v>3252</v>
      </c>
      <c r="I669" t="s">
        <v>52</v>
      </c>
      <c r="J669" t="s">
        <v>52</v>
      </c>
      <c r="K669" t="s">
        <v>52</v>
      </c>
      <c r="L669" s="2">
        <v>0.5</v>
      </c>
      <c r="M669" s="2">
        <v>1</v>
      </c>
      <c r="N669" s="2">
        <v>1</v>
      </c>
      <c r="O669" s="2">
        <v>1</v>
      </c>
      <c r="P669" s="2">
        <v>0.5</v>
      </c>
      <c r="Q669" s="2">
        <v>2</v>
      </c>
      <c r="R669" s="2">
        <v>0.5</v>
      </c>
      <c r="S669" s="2">
        <v>1</v>
      </c>
      <c r="T669" s="2">
        <v>0</v>
      </c>
      <c r="U669" s="2">
        <v>0.5</v>
      </c>
      <c r="V669" s="2">
        <v>2</v>
      </c>
      <c r="W669" s="2">
        <v>0.5</v>
      </c>
      <c r="X669" s="2">
        <v>1</v>
      </c>
      <c r="Y669" s="2">
        <v>1</v>
      </c>
      <c r="Z669" s="2">
        <v>1</v>
      </c>
      <c r="AA669" s="2">
        <v>2</v>
      </c>
      <c r="AB669" s="2">
        <v>0.5</v>
      </c>
      <c r="AC669" s="2">
        <v>2</v>
      </c>
      <c r="AD669" s="2">
        <v>68</v>
      </c>
      <c r="AE669" s="2">
        <v>5120</v>
      </c>
      <c r="AF669" s="2">
        <v>70</v>
      </c>
      <c r="AG669" s="2">
        <v>507</v>
      </c>
      <c r="AH669" s="2">
        <v>65</v>
      </c>
      <c r="AI669" s="2">
        <v>72</v>
      </c>
      <c r="AJ669" s="1">
        <v>1059860</v>
      </c>
      <c r="AK669" s="1">
        <v>1.5</v>
      </c>
      <c r="AL669" s="1">
        <v>86</v>
      </c>
      <c r="AM669" s="2">
        <v>11.2</v>
      </c>
      <c r="AN669" s="2">
        <f t="shared" si="10"/>
        <v>88.8</v>
      </c>
      <c r="AO669" s="3">
        <v>668</v>
      </c>
      <c r="AP669" s="3">
        <v>109</v>
      </c>
      <c r="AQ669" s="3">
        <v>66</v>
      </c>
      <c r="AR669" s="3">
        <v>106</v>
      </c>
      <c r="AS669" s="1">
        <v>81.5</v>
      </c>
      <c r="AT669" s="3">
        <v>6</v>
      </c>
      <c r="AU669" s="3" t="s">
        <v>3051</v>
      </c>
    </row>
    <row r="670" spans="1:47" x14ac:dyDescent="0.3">
      <c r="A670" s="1" t="s">
        <v>1880</v>
      </c>
      <c r="B670" s="1" t="s">
        <v>1879</v>
      </c>
      <c r="C670" s="1" t="s">
        <v>141</v>
      </c>
      <c r="D670" s="1" t="s">
        <v>52</v>
      </c>
      <c r="E670" s="1" t="s">
        <v>1878</v>
      </c>
      <c r="F670" t="s">
        <v>3193</v>
      </c>
      <c r="G670" t="s">
        <v>3275</v>
      </c>
      <c r="H670" t="s">
        <v>52</v>
      </c>
      <c r="I670" t="s">
        <v>52</v>
      </c>
      <c r="J670" t="s">
        <v>52</v>
      </c>
      <c r="K670" t="s">
        <v>52</v>
      </c>
      <c r="L670" s="2">
        <v>0.5</v>
      </c>
      <c r="M670" s="2">
        <v>0.5</v>
      </c>
      <c r="N670" s="2">
        <v>0</v>
      </c>
      <c r="O670" s="2">
        <v>1</v>
      </c>
      <c r="P670" s="2">
        <v>1</v>
      </c>
      <c r="Q670" s="2">
        <v>0.5</v>
      </c>
      <c r="R670" s="2">
        <v>1</v>
      </c>
      <c r="S670" s="2">
        <v>1</v>
      </c>
      <c r="T670" s="2">
        <v>1</v>
      </c>
      <c r="U670" s="2">
        <v>1</v>
      </c>
      <c r="V670" s="2">
        <v>1</v>
      </c>
      <c r="W670" s="2">
        <v>1</v>
      </c>
      <c r="X670" s="2">
        <v>1</v>
      </c>
      <c r="Y670" s="2">
        <v>2</v>
      </c>
      <c r="Z670" s="2">
        <v>1</v>
      </c>
      <c r="AA670" s="2">
        <v>1</v>
      </c>
      <c r="AB670" s="2">
        <v>2</v>
      </c>
      <c r="AC670" s="2">
        <v>1</v>
      </c>
      <c r="AD670" s="2">
        <v>38</v>
      </c>
      <c r="AE670" s="2">
        <v>5120</v>
      </c>
      <c r="AF670" s="2">
        <v>70</v>
      </c>
      <c r="AG670" s="2">
        <v>303</v>
      </c>
      <c r="AH670" s="2">
        <v>225</v>
      </c>
      <c r="AI670" s="2">
        <v>39</v>
      </c>
      <c r="AJ670" s="1">
        <v>1000000</v>
      </c>
      <c r="AK670" s="1">
        <v>0.1</v>
      </c>
      <c r="AL670" s="1">
        <v>44</v>
      </c>
      <c r="AM670" s="2">
        <v>0</v>
      </c>
      <c r="AN670" s="2">
        <f t="shared" si="10"/>
        <v>100</v>
      </c>
      <c r="AO670" s="3">
        <v>669</v>
      </c>
      <c r="AP670" s="3">
        <v>61</v>
      </c>
      <c r="AQ670" s="3">
        <v>79</v>
      </c>
      <c r="AR670" s="3">
        <v>42</v>
      </c>
      <c r="AS670" s="1">
        <v>0.1</v>
      </c>
      <c r="AT670" s="3">
        <v>6</v>
      </c>
      <c r="AU670" s="3" t="s">
        <v>3051</v>
      </c>
    </row>
    <row r="671" spans="1:47" x14ac:dyDescent="0.3">
      <c r="A671" s="1" t="s">
        <v>1882</v>
      </c>
      <c r="B671" s="1" t="s">
        <v>1881</v>
      </c>
      <c r="C671" s="1" t="s">
        <v>141</v>
      </c>
      <c r="D671" s="1" t="s">
        <v>52</v>
      </c>
      <c r="E671" s="1" t="s">
        <v>138</v>
      </c>
      <c r="F671" t="s">
        <v>3193</v>
      </c>
      <c r="G671" t="s">
        <v>3275</v>
      </c>
      <c r="H671" t="s">
        <v>52</v>
      </c>
      <c r="I671" t="s">
        <v>52</v>
      </c>
      <c r="J671" t="s">
        <v>52</v>
      </c>
      <c r="K671" t="s">
        <v>52</v>
      </c>
      <c r="L671" s="2">
        <v>0.5</v>
      </c>
      <c r="M671" s="2">
        <v>0.5</v>
      </c>
      <c r="N671" s="2">
        <v>0</v>
      </c>
      <c r="O671" s="2">
        <v>1</v>
      </c>
      <c r="P671" s="2">
        <v>1</v>
      </c>
      <c r="Q671" s="2">
        <v>0.5</v>
      </c>
      <c r="R671" s="2">
        <v>1</v>
      </c>
      <c r="S671" s="2">
        <v>1</v>
      </c>
      <c r="T671" s="2">
        <v>1</v>
      </c>
      <c r="U671" s="2">
        <v>1</v>
      </c>
      <c r="V671" s="2">
        <v>1</v>
      </c>
      <c r="W671" s="2">
        <v>1</v>
      </c>
      <c r="X671" s="2">
        <v>1</v>
      </c>
      <c r="Y671" s="2">
        <v>2</v>
      </c>
      <c r="Z671" s="2">
        <v>1</v>
      </c>
      <c r="AA671" s="2">
        <v>1</v>
      </c>
      <c r="AB671" s="2">
        <v>2</v>
      </c>
      <c r="AC671" s="2">
        <v>1</v>
      </c>
      <c r="AD671" s="2">
        <v>65</v>
      </c>
      <c r="AE671" s="2">
        <v>5120</v>
      </c>
      <c r="AF671" s="2">
        <v>70</v>
      </c>
      <c r="AG671" s="2">
        <v>551</v>
      </c>
      <c r="AH671" s="2">
        <v>120</v>
      </c>
      <c r="AI671" s="2">
        <v>67</v>
      </c>
      <c r="AJ671" s="1">
        <v>1000000</v>
      </c>
      <c r="AK671" s="1">
        <v>0.2</v>
      </c>
      <c r="AL671" s="1">
        <v>74</v>
      </c>
      <c r="AM671" s="2">
        <v>0</v>
      </c>
      <c r="AN671" s="2">
        <f t="shared" si="10"/>
        <v>100</v>
      </c>
      <c r="AO671" s="3">
        <v>670</v>
      </c>
      <c r="AP671" s="3">
        <v>125</v>
      </c>
      <c r="AQ671" s="3">
        <v>128</v>
      </c>
      <c r="AR671" s="3">
        <v>92</v>
      </c>
      <c r="AS671" s="1">
        <v>0.9</v>
      </c>
      <c r="AT671" s="3">
        <v>6</v>
      </c>
      <c r="AU671" s="3" t="s">
        <v>3051</v>
      </c>
    </row>
    <row r="672" spans="1:47" x14ac:dyDescent="0.3">
      <c r="A672" s="1" t="s">
        <v>1885</v>
      </c>
      <c r="B672" s="1" t="s">
        <v>1884</v>
      </c>
      <c r="C672" s="1" t="s">
        <v>141</v>
      </c>
      <c r="D672" s="1" t="s">
        <v>52</v>
      </c>
      <c r="E672" s="1" t="s">
        <v>1883</v>
      </c>
      <c r="F672" t="s">
        <v>3193</v>
      </c>
      <c r="G672" t="s">
        <v>3275</v>
      </c>
      <c r="H672" t="s">
        <v>52</v>
      </c>
      <c r="I672" t="s">
        <v>52</v>
      </c>
      <c r="J672" t="s">
        <v>52</v>
      </c>
      <c r="K672" t="s">
        <v>52</v>
      </c>
      <c r="L672" s="2">
        <v>0.5</v>
      </c>
      <c r="M672" s="2">
        <v>0.5</v>
      </c>
      <c r="N672" s="2">
        <v>0</v>
      </c>
      <c r="O672" s="2">
        <v>1</v>
      </c>
      <c r="P672" s="2">
        <v>1</v>
      </c>
      <c r="Q672" s="2">
        <v>0.5</v>
      </c>
      <c r="R672" s="2">
        <v>1</v>
      </c>
      <c r="S672" s="2">
        <v>1</v>
      </c>
      <c r="T672" s="2">
        <v>1</v>
      </c>
      <c r="U672" s="2">
        <v>1</v>
      </c>
      <c r="V672" s="2">
        <v>1</v>
      </c>
      <c r="W672" s="2">
        <v>1</v>
      </c>
      <c r="X672" s="2">
        <v>1</v>
      </c>
      <c r="Y672" s="2">
        <v>2</v>
      </c>
      <c r="Z672" s="2">
        <v>1</v>
      </c>
      <c r="AA672" s="2">
        <v>1</v>
      </c>
      <c r="AB672" s="2">
        <v>2</v>
      </c>
      <c r="AC672" s="2">
        <v>1</v>
      </c>
      <c r="AD672" s="2">
        <v>65</v>
      </c>
      <c r="AE672" s="2">
        <v>5120</v>
      </c>
      <c r="AF672" s="2">
        <v>70</v>
      </c>
      <c r="AG672" s="2">
        <v>552</v>
      </c>
      <c r="AH672" s="2">
        <v>45</v>
      </c>
      <c r="AI672" s="2">
        <v>68</v>
      </c>
      <c r="AJ672" s="1">
        <v>1000000</v>
      </c>
      <c r="AK672" s="1">
        <v>1.1000000000000001</v>
      </c>
      <c r="AL672" s="1">
        <v>78</v>
      </c>
      <c r="AM672" s="2">
        <v>0</v>
      </c>
      <c r="AN672" s="2">
        <f t="shared" si="10"/>
        <v>100</v>
      </c>
      <c r="AO672" s="3">
        <v>671</v>
      </c>
      <c r="AP672" s="3">
        <v>112</v>
      </c>
      <c r="AQ672" s="3">
        <v>154</v>
      </c>
      <c r="AR672" s="3">
        <v>75</v>
      </c>
      <c r="AS672" s="1">
        <v>10</v>
      </c>
      <c r="AT672" s="3">
        <v>6</v>
      </c>
      <c r="AU672" s="3" t="s">
        <v>3051</v>
      </c>
    </row>
    <row r="673" spans="1:47" x14ac:dyDescent="0.3">
      <c r="A673" s="1" t="s">
        <v>1888</v>
      </c>
      <c r="B673" s="1" t="s">
        <v>1887</v>
      </c>
      <c r="C673" s="1" t="s">
        <v>42</v>
      </c>
      <c r="D673" s="1" t="s">
        <v>52</v>
      </c>
      <c r="E673" s="1" t="s">
        <v>1886</v>
      </c>
      <c r="F673" t="s">
        <v>3194</v>
      </c>
      <c r="G673" t="s">
        <v>3276</v>
      </c>
      <c r="H673" t="s">
        <v>52</v>
      </c>
      <c r="I673" t="s">
        <v>52</v>
      </c>
      <c r="J673" t="s">
        <v>52</v>
      </c>
      <c r="K673" t="s">
        <v>52</v>
      </c>
      <c r="L673" s="2">
        <v>2</v>
      </c>
      <c r="M673" s="2">
        <v>1</v>
      </c>
      <c r="N673" s="2">
        <v>1</v>
      </c>
      <c r="O673" s="2">
        <v>0.5</v>
      </c>
      <c r="P673" s="2">
        <v>1</v>
      </c>
      <c r="Q673" s="2">
        <v>1</v>
      </c>
      <c r="R673" s="2">
        <v>2</v>
      </c>
      <c r="S673" s="2">
        <v>2</v>
      </c>
      <c r="T673" s="2">
        <v>1</v>
      </c>
      <c r="U673" s="2">
        <v>0.5</v>
      </c>
      <c r="V673" s="2">
        <v>0.5</v>
      </c>
      <c r="W673" s="2">
        <v>2</v>
      </c>
      <c r="X673" s="2">
        <v>1</v>
      </c>
      <c r="Y673" s="2">
        <v>2</v>
      </c>
      <c r="Z673" s="2">
        <v>1</v>
      </c>
      <c r="AA673" s="2">
        <v>1</v>
      </c>
      <c r="AB673" s="2">
        <v>1</v>
      </c>
      <c r="AC673" s="2">
        <v>0.5</v>
      </c>
      <c r="AD673" s="2">
        <v>65</v>
      </c>
      <c r="AE673" s="2">
        <v>5120</v>
      </c>
      <c r="AF673" s="2">
        <v>70</v>
      </c>
      <c r="AG673" s="2">
        <v>350</v>
      </c>
      <c r="AH673" s="2">
        <v>200</v>
      </c>
      <c r="AI673" s="2">
        <v>48</v>
      </c>
      <c r="AJ673" s="1">
        <v>1000000</v>
      </c>
      <c r="AK673" s="1">
        <v>0.9</v>
      </c>
      <c r="AL673" s="1">
        <v>66</v>
      </c>
      <c r="AM673" s="2">
        <v>50</v>
      </c>
      <c r="AN673" s="2">
        <f t="shared" si="10"/>
        <v>50</v>
      </c>
      <c r="AO673" s="3">
        <v>672</v>
      </c>
      <c r="AP673" s="3">
        <v>62</v>
      </c>
      <c r="AQ673" s="3">
        <v>57</v>
      </c>
      <c r="AR673" s="3">
        <v>52</v>
      </c>
      <c r="AS673" s="1">
        <v>31</v>
      </c>
      <c r="AT673" s="3">
        <v>6</v>
      </c>
      <c r="AU673" s="3" t="s">
        <v>3051</v>
      </c>
    </row>
    <row r="674" spans="1:47" x14ac:dyDescent="0.3">
      <c r="A674" s="1" t="s">
        <v>1890</v>
      </c>
      <c r="B674" s="1" t="s">
        <v>1889</v>
      </c>
      <c r="C674" s="1" t="s">
        <v>42</v>
      </c>
      <c r="D674" s="1" t="s">
        <v>52</v>
      </c>
      <c r="E674" s="1" t="s">
        <v>1886</v>
      </c>
      <c r="F674" t="s">
        <v>3194</v>
      </c>
      <c r="G674" t="s">
        <v>3276</v>
      </c>
      <c r="H674" t="s">
        <v>52</v>
      </c>
      <c r="I674" t="s">
        <v>52</v>
      </c>
      <c r="J674" t="s">
        <v>52</v>
      </c>
      <c r="K674" t="s">
        <v>52</v>
      </c>
      <c r="L674" s="2">
        <v>2</v>
      </c>
      <c r="M674" s="2">
        <v>1</v>
      </c>
      <c r="N674" s="2">
        <v>1</v>
      </c>
      <c r="O674" s="2">
        <v>0.5</v>
      </c>
      <c r="P674" s="2">
        <v>1</v>
      </c>
      <c r="Q674" s="2">
        <v>1</v>
      </c>
      <c r="R674" s="2">
        <v>2</v>
      </c>
      <c r="S674" s="2">
        <v>2</v>
      </c>
      <c r="T674" s="2">
        <v>1</v>
      </c>
      <c r="U674" s="2">
        <v>0.5</v>
      </c>
      <c r="V674" s="2">
        <v>0.5</v>
      </c>
      <c r="W674" s="2">
        <v>2</v>
      </c>
      <c r="X674" s="2">
        <v>1</v>
      </c>
      <c r="Y674" s="2">
        <v>2</v>
      </c>
      <c r="Z674" s="2">
        <v>1</v>
      </c>
      <c r="AA674" s="2">
        <v>1</v>
      </c>
      <c r="AB674" s="2">
        <v>1</v>
      </c>
      <c r="AC674" s="2">
        <v>0.5</v>
      </c>
      <c r="AD674" s="2">
        <v>100</v>
      </c>
      <c r="AE674" s="2">
        <v>5120</v>
      </c>
      <c r="AF674" s="2">
        <v>70</v>
      </c>
      <c r="AG674" s="2">
        <v>531</v>
      </c>
      <c r="AH674" s="2">
        <v>45</v>
      </c>
      <c r="AI674" s="2">
        <v>62</v>
      </c>
      <c r="AJ674" s="1">
        <v>1000000</v>
      </c>
      <c r="AK674" s="1">
        <v>1.7</v>
      </c>
      <c r="AL674" s="1">
        <v>123</v>
      </c>
      <c r="AM674" s="2">
        <v>50</v>
      </c>
      <c r="AN674" s="2">
        <f t="shared" si="10"/>
        <v>50</v>
      </c>
      <c r="AO674" s="3">
        <v>673</v>
      </c>
      <c r="AP674" s="3">
        <v>97</v>
      </c>
      <c r="AQ674" s="3">
        <v>81</v>
      </c>
      <c r="AR674" s="3">
        <v>68</v>
      </c>
      <c r="AS674" s="1">
        <v>91</v>
      </c>
      <c r="AT674" s="3">
        <v>6</v>
      </c>
      <c r="AU674" s="3" t="s">
        <v>3051</v>
      </c>
    </row>
    <row r="675" spans="1:47" x14ac:dyDescent="0.3">
      <c r="A675" s="1" t="s">
        <v>1892</v>
      </c>
      <c r="B675" s="1" t="s">
        <v>1891</v>
      </c>
      <c r="C675" s="1" t="s">
        <v>197</v>
      </c>
      <c r="D675" s="1" t="s">
        <v>52</v>
      </c>
      <c r="E675" s="1" t="s">
        <v>1114</v>
      </c>
      <c r="F675" t="s">
        <v>3190</v>
      </c>
      <c r="G675" t="s">
        <v>3165</v>
      </c>
      <c r="H675" t="s">
        <v>3250</v>
      </c>
      <c r="I675" t="s">
        <v>52</v>
      </c>
      <c r="J675" t="s">
        <v>52</v>
      </c>
      <c r="K675" t="s">
        <v>52</v>
      </c>
      <c r="L675" s="2">
        <v>0.5</v>
      </c>
      <c r="M675" s="2">
        <v>0.5</v>
      </c>
      <c r="N675" s="2">
        <v>1</v>
      </c>
      <c r="O675" s="2">
        <v>1</v>
      </c>
      <c r="P675" s="2">
        <v>2</v>
      </c>
      <c r="Q675" s="2">
        <v>1</v>
      </c>
      <c r="R675" s="2">
        <v>1</v>
      </c>
      <c r="S675" s="2">
        <v>2</v>
      </c>
      <c r="T675" s="2">
        <v>1</v>
      </c>
      <c r="U675" s="2">
        <v>1</v>
      </c>
      <c r="V675" s="2">
        <v>1</v>
      </c>
      <c r="W675" s="2">
        <v>1</v>
      </c>
      <c r="X675" s="2">
        <v>1</v>
      </c>
      <c r="Y675" s="2">
        <v>1</v>
      </c>
      <c r="Z675" s="2">
        <v>2</v>
      </c>
      <c r="AA675" s="2">
        <v>0.5</v>
      </c>
      <c r="AB675" s="2">
        <v>1</v>
      </c>
      <c r="AC675" s="2">
        <v>1</v>
      </c>
      <c r="AD675" s="2">
        <v>82</v>
      </c>
      <c r="AE675" s="2">
        <v>6400</v>
      </c>
      <c r="AF675" s="2">
        <v>70</v>
      </c>
      <c r="AG675" s="2">
        <v>348</v>
      </c>
      <c r="AH675" s="2">
        <v>220</v>
      </c>
      <c r="AI675" s="2">
        <v>62</v>
      </c>
      <c r="AJ675" s="1">
        <v>1000000</v>
      </c>
      <c r="AK675" s="1">
        <v>0.6</v>
      </c>
      <c r="AL675" s="1">
        <v>67</v>
      </c>
      <c r="AM675" s="2">
        <v>50</v>
      </c>
      <c r="AN675" s="2">
        <f t="shared" si="10"/>
        <v>50</v>
      </c>
      <c r="AO675" s="3">
        <v>674</v>
      </c>
      <c r="AP675" s="3">
        <v>46</v>
      </c>
      <c r="AQ675" s="3">
        <v>48</v>
      </c>
      <c r="AR675" s="3">
        <v>43</v>
      </c>
      <c r="AS675" s="1">
        <v>8</v>
      </c>
      <c r="AT675" s="3">
        <v>6</v>
      </c>
      <c r="AU675" s="3" t="s">
        <v>3051</v>
      </c>
    </row>
    <row r="676" spans="1:47" x14ac:dyDescent="0.3">
      <c r="A676" s="1" t="s">
        <v>1895</v>
      </c>
      <c r="B676" s="1" t="s">
        <v>1894</v>
      </c>
      <c r="C676" s="1" t="s">
        <v>197</v>
      </c>
      <c r="D676" s="1" t="s">
        <v>99</v>
      </c>
      <c r="E676" s="1" t="s">
        <v>1893</v>
      </c>
      <c r="F676" t="s">
        <v>3190</v>
      </c>
      <c r="G676" t="s">
        <v>3165</v>
      </c>
      <c r="H676" t="s">
        <v>3250</v>
      </c>
      <c r="I676" t="s">
        <v>52</v>
      </c>
      <c r="J676" t="s">
        <v>52</v>
      </c>
      <c r="K676" t="s">
        <v>52</v>
      </c>
      <c r="L676" s="2">
        <v>1</v>
      </c>
      <c r="M676" s="2">
        <v>0.25</v>
      </c>
      <c r="N676" s="2">
        <v>1</v>
      </c>
      <c r="O676" s="2">
        <v>1</v>
      </c>
      <c r="P676" s="2">
        <v>4</v>
      </c>
      <c r="Q676" s="2">
        <v>2</v>
      </c>
      <c r="R676" s="2">
        <v>1</v>
      </c>
      <c r="S676" s="2">
        <v>2</v>
      </c>
      <c r="T676" s="2">
        <v>0.5</v>
      </c>
      <c r="U676" s="2">
        <v>1</v>
      </c>
      <c r="V676" s="2">
        <v>1</v>
      </c>
      <c r="W676" s="2">
        <v>1</v>
      </c>
      <c r="X676" s="2">
        <v>1</v>
      </c>
      <c r="Y676" s="2">
        <v>1</v>
      </c>
      <c r="Z676" s="2">
        <v>0</v>
      </c>
      <c r="AA676" s="2">
        <v>0.5</v>
      </c>
      <c r="AB676" s="2">
        <v>1</v>
      </c>
      <c r="AC676" s="2">
        <v>1</v>
      </c>
      <c r="AD676" s="2">
        <v>124</v>
      </c>
      <c r="AE676" s="2">
        <v>6400</v>
      </c>
      <c r="AF676" s="2">
        <v>70</v>
      </c>
      <c r="AG676" s="2">
        <v>495</v>
      </c>
      <c r="AH676" s="2">
        <v>65</v>
      </c>
      <c r="AI676" s="2">
        <v>78</v>
      </c>
      <c r="AJ676" s="1">
        <v>1000000</v>
      </c>
      <c r="AK676" s="1">
        <v>2.1</v>
      </c>
      <c r="AL676" s="1">
        <v>95</v>
      </c>
      <c r="AM676" s="2">
        <v>50</v>
      </c>
      <c r="AN676" s="2">
        <f t="shared" si="10"/>
        <v>50</v>
      </c>
      <c r="AO676" s="3">
        <v>675</v>
      </c>
      <c r="AP676" s="3">
        <v>69</v>
      </c>
      <c r="AQ676" s="3">
        <v>71</v>
      </c>
      <c r="AR676" s="3">
        <v>58</v>
      </c>
      <c r="AS676" s="1">
        <v>136</v>
      </c>
      <c r="AT676" s="3">
        <v>6</v>
      </c>
      <c r="AU676" s="3" t="s">
        <v>3051</v>
      </c>
    </row>
    <row r="677" spans="1:47" x14ac:dyDescent="0.3">
      <c r="A677" s="1" t="s">
        <v>1898</v>
      </c>
      <c r="B677" s="1" t="s">
        <v>1897</v>
      </c>
      <c r="C677" s="1" t="s">
        <v>90</v>
      </c>
      <c r="D677" s="1" t="s">
        <v>52</v>
      </c>
      <c r="E677" s="1" t="s">
        <v>1896</v>
      </c>
      <c r="F677" t="s">
        <v>3084</v>
      </c>
      <c r="G677" t="s">
        <v>52</v>
      </c>
      <c r="H677" t="s">
        <v>52</v>
      </c>
      <c r="I677" t="s">
        <v>52</v>
      </c>
      <c r="J677" t="s">
        <v>52</v>
      </c>
      <c r="K677" t="s">
        <v>52</v>
      </c>
      <c r="L677" s="2">
        <v>1</v>
      </c>
      <c r="M677" s="2">
        <v>1</v>
      </c>
      <c r="N677" s="2">
        <v>1</v>
      </c>
      <c r="O677" s="2">
        <v>1</v>
      </c>
      <c r="P677" s="2">
        <v>1</v>
      </c>
      <c r="Q677" s="2">
        <v>2</v>
      </c>
      <c r="R677" s="2">
        <v>1</v>
      </c>
      <c r="S677" s="2">
        <v>1</v>
      </c>
      <c r="T677" s="2">
        <v>0</v>
      </c>
      <c r="U677" s="2">
        <v>1</v>
      </c>
      <c r="V677" s="2">
        <v>1</v>
      </c>
      <c r="W677" s="2">
        <v>1</v>
      </c>
      <c r="X677" s="2">
        <v>1</v>
      </c>
      <c r="Y677" s="2">
        <v>1</v>
      </c>
      <c r="Z677" s="2">
        <v>1</v>
      </c>
      <c r="AA677" s="2">
        <v>1</v>
      </c>
      <c r="AB677" s="2">
        <v>1</v>
      </c>
      <c r="AC677" s="2">
        <v>1</v>
      </c>
      <c r="AD677" s="2">
        <v>80</v>
      </c>
      <c r="AE677" s="2">
        <v>5120</v>
      </c>
      <c r="AF677" s="2">
        <v>70</v>
      </c>
      <c r="AG677" s="2">
        <v>472</v>
      </c>
      <c r="AH677" s="2">
        <v>160</v>
      </c>
      <c r="AI677" s="2">
        <v>60</v>
      </c>
      <c r="AJ677" s="1">
        <v>1000000</v>
      </c>
      <c r="AK677" s="1">
        <v>1.2</v>
      </c>
      <c r="AL677" s="1">
        <v>75</v>
      </c>
      <c r="AM677" s="2">
        <v>50</v>
      </c>
      <c r="AN677" s="2">
        <f t="shared" si="10"/>
        <v>50</v>
      </c>
      <c r="AO677" s="3">
        <v>676</v>
      </c>
      <c r="AP677" s="3">
        <v>65</v>
      </c>
      <c r="AQ677" s="3">
        <v>90</v>
      </c>
      <c r="AR677" s="3">
        <v>102</v>
      </c>
      <c r="AS677" s="1">
        <v>28</v>
      </c>
      <c r="AT677" s="3">
        <v>6</v>
      </c>
      <c r="AU677" s="3" t="s">
        <v>3051</v>
      </c>
    </row>
    <row r="678" spans="1:47" x14ac:dyDescent="0.3">
      <c r="A678" s="1" t="s">
        <v>1901</v>
      </c>
      <c r="B678" s="1" t="s">
        <v>1900</v>
      </c>
      <c r="C678" s="1" t="s">
        <v>216</v>
      </c>
      <c r="D678" s="1" t="s">
        <v>52</v>
      </c>
      <c r="E678" s="1" t="s">
        <v>1899</v>
      </c>
      <c r="F678" t="s">
        <v>3118</v>
      </c>
      <c r="G678" t="s">
        <v>3234</v>
      </c>
      <c r="H678" t="s">
        <v>3140</v>
      </c>
      <c r="I678" t="s">
        <v>52</v>
      </c>
      <c r="J678" t="s">
        <v>52</v>
      </c>
      <c r="K678" t="s">
        <v>52</v>
      </c>
      <c r="L678" s="2">
        <v>2</v>
      </c>
      <c r="M678" s="2">
        <v>2</v>
      </c>
      <c r="N678" s="2">
        <v>1</v>
      </c>
      <c r="O678" s="2">
        <v>1</v>
      </c>
      <c r="P678" s="2">
        <v>1</v>
      </c>
      <c r="Q678" s="2">
        <v>0.5</v>
      </c>
      <c r="R678" s="2">
        <v>1</v>
      </c>
      <c r="S678" s="2">
        <v>1</v>
      </c>
      <c r="T678" s="2">
        <v>2</v>
      </c>
      <c r="U678" s="2">
        <v>1</v>
      </c>
      <c r="V678" s="2">
        <v>1</v>
      </c>
      <c r="W678" s="2">
        <v>1</v>
      </c>
      <c r="X678" s="2">
        <v>1</v>
      </c>
      <c r="Y678" s="2">
        <v>1</v>
      </c>
      <c r="Z678" s="2">
        <v>0.5</v>
      </c>
      <c r="AA678" s="2">
        <v>1</v>
      </c>
      <c r="AB678" s="2">
        <v>1</v>
      </c>
      <c r="AC678" s="2">
        <v>1</v>
      </c>
      <c r="AD678" s="2">
        <v>48</v>
      </c>
      <c r="AE678" s="2">
        <v>5120</v>
      </c>
      <c r="AF678" s="2">
        <v>70</v>
      </c>
      <c r="AG678" s="2">
        <v>355</v>
      </c>
      <c r="AH678" s="2">
        <v>190</v>
      </c>
      <c r="AI678" s="2">
        <v>54</v>
      </c>
      <c r="AJ678" s="1">
        <v>1000000</v>
      </c>
      <c r="AK678" s="1">
        <v>0.3</v>
      </c>
      <c r="AL678" s="1">
        <v>62</v>
      </c>
      <c r="AM678" s="2">
        <v>50</v>
      </c>
      <c r="AN678" s="2">
        <f t="shared" si="10"/>
        <v>50</v>
      </c>
      <c r="AO678" s="3">
        <v>677</v>
      </c>
      <c r="AP678" s="3">
        <v>63</v>
      </c>
      <c r="AQ678" s="3">
        <v>60</v>
      </c>
      <c r="AR678" s="3">
        <v>68</v>
      </c>
      <c r="AS678" s="1">
        <v>3.5</v>
      </c>
      <c r="AT678" s="3">
        <v>6</v>
      </c>
      <c r="AU678" s="3" t="s">
        <v>3051</v>
      </c>
    </row>
    <row r="679" spans="1:47" x14ac:dyDescent="0.3">
      <c r="A679" s="1" t="s">
        <v>1904</v>
      </c>
      <c r="B679" s="1" t="s">
        <v>1903</v>
      </c>
      <c r="C679" s="1" t="s">
        <v>216</v>
      </c>
      <c r="D679" s="1" t="s">
        <v>52</v>
      </c>
      <c r="E679" s="1" t="s">
        <v>1902</v>
      </c>
      <c r="F679" t="s">
        <v>3118</v>
      </c>
      <c r="G679" t="s">
        <v>3234</v>
      </c>
      <c r="H679" t="s">
        <v>3182</v>
      </c>
      <c r="I679" t="s">
        <v>3233</v>
      </c>
      <c r="J679" t="s">
        <v>52</v>
      </c>
      <c r="K679" t="s">
        <v>52</v>
      </c>
      <c r="L679" s="2">
        <v>2</v>
      </c>
      <c r="M679" s="2">
        <v>2</v>
      </c>
      <c r="N679" s="2">
        <v>1</v>
      </c>
      <c r="O679" s="2">
        <v>1</v>
      </c>
      <c r="P679" s="2">
        <v>1</v>
      </c>
      <c r="Q679" s="2">
        <v>0.5</v>
      </c>
      <c r="R679" s="2">
        <v>1</v>
      </c>
      <c r="S679" s="2">
        <v>1</v>
      </c>
      <c r="T679" s="2">
        <v>2</v>
      </c>
      <c r="U679" s="2">
        <v>1</v>
      </c>
      <c r="V679" s="2">
        <v>1</v>
      </c>
      <c r="W679" s="2">
        <v>1</v>
      </c>
      <c r="X679" s="2">
        <v>1</v>
      </c>
      <c r="Y679" s="2">
        <v>1</v>
      </c>
      <c r="Z679" s="2">
        <v>0.5</v>
      </c>
      <c r="AA679" s="2">
        <v>1</v>
      </c>
      <c r="AB679" s="2">
        <v>1</v>
      </c>
      <c r="AC679" s="2">
        <v>1</v>
      </c>
      <c r="AD679" s="2">
        <v>48</v>
      </c>
      <c r="AE679" s="2">
        <v>5120</v>
      </c>
      <c r="AF679" s="2">
        <v>70</v>
      </c>
      <c r="AG679" s="2">
        <v>466</v>
      </c>
      <c r="AH679" s="2">
        <v>75</v>
      </c>
      <c r="AI679" s="2">
        <v>76</v>
      </c>
      <c r="AJ679" s="1">
        <v>1000000</v>
      </c>
      <c r="AK679" s="1">
        <v>0.6</v>
      </c>
      <c r="AL679" s="1">
        <v>74</v>
      </c>
      <c r="AM679" s="2">
        <v>50</v>
      </c>
      <c r="AN679" s="2">
        <f t="shared" si="10"/>
        <v>50</v>
      </c>
      <c r="AO679" s="3">
        <v>678</v>
      </c>
      <c r="AP679" s="3">
        <v>83</v>
      </c>
      <c r="AQ679" s="3">
        <v>81</v>
      </c>
      <c r="AR679" s="3">
        <v>104</v>
      </c>
      <c r="AS679" s="1">
        <v>8.5</v>
      </c>
      <c r="AT679" s="3">
        <v>6</v>
      </c>
      <c r="AU679" s="3" t="s">
        <v>3051</v>
      </c>
    </row>
    <row r="680" spans="1:47" x14ac:dyDescent="0.3">
      <c r="A680" s="1" t="s">
        <v>1907</v>
      </c>
      <c r="B680" s="1" t="s">
        <v>1906</v>
      </c>
      <c r="C680" s="1" t="s">
        <v>263</v>
      </c>
      <c r="D680" s="1" t="s">
        <v>293</v>
      </c>
      <c r="E680" s="1" t="s">
        <v>1905</v>
      </c>
      <c r="F680" t="s">
        <v>3085</v>
      </c>
      <c r="G680" t="s">
        <v>52</v>
      </c>
      <c r="H680" t="s">
        <v>52</v>
      </c>
      <c r="I680" t="s">
        <v>52</v>
      </c>
      <c r="J680" t="s">
        <v>52</v>
      </c>
      <c r="K680" t="s">
        <v>52</v>
      </c>
      <c r="L680" s="2">
        <v>0.25</v>
      </c>
      <c r="M680" s="2">
        <v>2</v>
      </c>
      <c r="N680" s="2">
        <v>0.5</v>
      </c>
      <c r="O680" s="2">
        <v>1</v>
      </c>
      <c r="P680" s="2">
        <v>0.5</v>
      </c>
      <c r="Q680" s="2">
        <v>0</v>
      </c>
      <c r="R680" s="2">
        <v>2</v>
      </c>
      <c r="S680" s="2">
        <v>0.5</v>
      </c>
      <c r="T680" s="2">
        <v>2</v>
      </c>
      <c r="U680" s="2">
        <v>0.5</v>
      </c>
      <c r="V680" s="2">
        <v>2</v>
      </c>
      <c r="W680" s="2">
        <v>0.5</v>
      </c>
      <c r="X680" s="2">
        <v>0</v>
      </c>
      <c r="Y680" s="2">
        <v>0</v>
      </c>
      <c r="Z680" s="2">
        <v>0.5</v>
      </c>
      <c r="AA680" s="2">
        <v>0.5</v>
      </c>
      <c r="AB680" s="2">
        <v>0.5</v>
      </c>
      <c r="AC680" s="2">
        <v>1</v>
      </c>
      <c r="AD680" s="2">
        <v>80</v>
      </c>
      <c r="AE680" s="2">
        <v>5120</v>
      </c>
      <c r="AF680" s="2">
        <v>70</v>
      </c>
      <c r="AG680" s="2">
        <v>325</v>
      </c>
      <c r="AH680" s="2">
        <v>180</v>
      </c>
      <c r="AI680" s="2">
        <v>100</v>
      </c>
      <c r="AJ680" s="1">
        <v>1000000</v>
      </c>
      <c r="AK680" s="1">
        <v>0.8</v>
      </c>
      <c r="AL680" s="1">
        <v>45</v>
      </c>
      <c r="AM680" s="2">
        <v>50</v>
      </c>
      <c r="AN680" s="2">
        <f t="shared" si="10"/>
        <v>50</v>
      </c>
      <c r="AO680" s="3">
        <v>679</v>
      </c>
      <c r="AP680" s="3">
        <v>35</v>
      </c>
      <c r="AQ680" s="3">
        <v>37</v>
      </c>
      <c r="AR680" s="3">
        <v>28</v>
      </c>
      <c r="AS680" s="1">
        <v>2</v>
      </c>
      <c r="AT680" s="3">
        <v>6</v>
      </c>
      <c r="AU680" s="3" t="s">
        <v>3051</v>
      </c>
    </row>
    <row r="681" spans="1:47" x14ac:dyDescent="0.3">
      <c r="A681" s="1" t="s">
        <v>1909</v>
      </c>
      <c r="B681" s="1" t="s">
        <v>1908</v>
      </c>
      <c r="C681" s="1" t="s">
        <v>263</v>
      </c>
      <c r="D681" s="1" t="s">
        <v>293</v>
      </c>
      <c r="E681" s="1" t="s">
        <v>1905</v>
      </c>
      <c r="F681" t="s">
        <v>3085</v>
      </c>
      <c r="G681" t="s">
        <v>52</v>
      </c>
      <c r="H681" t="s">
        <v>52</v>
      </c>
      <c r="I681" t="s">
        <v>52</v>
      </c>
      <c r="J681" t="s">
        <v>52</v>
      </c>
      <c r="K681" t="s">
        <v>52</v>
      </c>
      <c r="L681" s="2">
        <v>0.25</v>
      </c>
      <c r="M681" s="2">
        <v>2</v>
      </c>
      <c r="N681" s="2">
        <v>0.5</v>
      </c>
      <c r="O681" s="2">
        <v>1</v>
      </c>
      <c r="P681" s="2">
        <v>0.5</v>
      </c>
      <c r="Q681" s="2">
        <v>0</v>
      </c>
      <c r="R681" s="2">
        <v>2</v>
      </c>
      <c r="S681" s="2">
        <v>0.5</v>
      </c>
      <c r="T681" s="2">
        <v>2</v>
      </c>
      <c r="U681" s="2">
        <v>0.5</v>
      </c>
      <c r="V681" s="2">
        <v>2</v>
      </c>
      <c r="W681" s="2">
        <v>0.5</v>
      </c>
      <c r="X681" s="2">
        <v>0</v>
      </c>
      <c r="Y681" s="2">
        <v>0</v>
      </c>
      <c r="Z681" s="2">
        <v>0.5</v>
      </c>
      <c r="AA681" s="2">
        <v>0.5</v>
      </c>
      <c r="AB681" s="2">
        <v>0.5</v>
      </c>
      <c r="AC681" s="2">
        <v>1</v>
      </c>
      <c r="AD681" s="2">
        <v>110</v>
      </c>
      <c r="AE681" s="2">
        <v>5120</v>
      </c>
      <c r="AF681" s="2">
        <v>70</v>
      </c>
      <c r="AG681" s="2">
        <v>448</v>
      </c>
      <c r="AH681" s="2">
        <v>90</v>
      </c>
      <c r="AI681" s="2">
        <v>150</v>
      </c>
      <c r="AJ681" s="1">
        <v>1000000</v>
      </c>
      <c r="AK681" s="1">
        <v>0.8</v>
      </c>
      <c r="AL681" s="1">
        <v>59</v>
      </c>
      <c r="AM681" s="2">
        <v>50</v>
      </c>
      <c r="AN681" s="2">
        <f t="shared" si="10"/>
        <v>50</v>
      </c>
      <c r="AO681" s="3">
        <v>680</v>
      </c>
      <c r="AP681" s="3">
        <v>45</v>
      </c>
      <c r="AQ681" s="3">
        <v>49</v>
      </c>
      <c r="AR681" s="3">
        <v>35</v>
      </c>
      <c r="AS681" s="1">
        <v>4.5</v>
      </c>
      <c r="AT681" s="3">
        <v>6</v>
      </c>
      <c r="AU681" s="3" t="s">
        <v>3051</v>
      </c>
    </row>
    <row r="682" spans="1:47" x14ac:dyDescent="0.3">
      <c r="A682" s="1" t="s">
        <v>1912</v>
      </c>
      <c r="B682" s="1" t="s">
        <v>1911</v>
      </c>
      <c r="C682" s="1" t="s">
        <v>263</v>
      </c>
      <c r="D682" s="1" t="s">
        <v>293</v>
      </c>
      <c r="E682" s="1" t="s">
        <v>1910</v>
      </c>
      <c r="F682" t="s">
        <v>3086</v>
      </c>
      <c r="G682" t="s">
        <v>52</v>
      </c>
      <c r="H682" t="s">
        <v>52</v>
      </c>
      <c r="I682" t="s">
        <v>52</v>
      </c>
      <c r="J682" t="s">
        <v>52</v>
      </c>
      <c r="K682" t="s">
        <v>52</v>
      </c>
      <c r="L682" s="2">
        <v>0.25</v>
      </c>
      <c r="M682" s="2">
        <v>2</v>
      </c>
      <c r="N682" s="2">
        <v>0.5</v>
      </c>
      <c r="O682" s="2">
        <v>1</v>
      </c>
      <c r="P682" s="2">
        <v>0.5</v>
      </c>
      <c r="Q682" s="2">
        <v>0</v>
      </c>
      <c r="R682" s="2">
        <v>2</v>
      </c>
      <c r="S682" s="2">
        <v>0.5</v>
      </c>
      <c r="T682" s="2">
        <v>2</v>
      </c>
      <c r="U682" s="2">
        <v>0.5</v>
      </c>
      <c r="V682" s="2">
        <v>2</v>
      </c>
      <c r="W682" s="2">
        <v>0.5</v>
      </c>
      <c r="X682" s="2">
        <v>0</v>
      </c>
      <c r="Y682" s="2">
        <v>0</v>
      </c>
      <c r="Z682" s="2">
        <v>0.5</v>
      </c>
      <c r="AA682" s="2">
        <v>0.5</v>
      </c>
      <c r="AB682" s="2">
        <v>0.5</v>
      </c>
      <c r="AC682" s="2">
        <v>1</v>
      </c>
      <c r="AD682" s="2">
        <v>150</v>
      </c>
      <c r="AE682" s="2">
        <v>5120</v>
      </c>
      <c r="AF682" s="2">
        <v>70</v>
      </c>
      <c r="AG682" s="2">
        <v>520</v>
      </c>
      <c r="AH682" s="2">
        <v>45</v>
      </c>
      <c r="AI682" s="2">
        <v>50</v>
      </c>
      <c r="AJ682" s="1">
        <v>1000000</v>
      </c>
      <c r="AK682" s="1">
        <v>1.7</v>
      </c>
      <c r="AL682" s="1">
        <v>60</v>
      </c>
      <c r="AM682" s="2">
        <v>50</v>
      </c>
      <c r="AN682" s="2">
        <f t="shared" si="10"/>
        <v>50</v>
      </c>
      <c r="AO682" s="3">
        <v>681</v>
      </c>
      <c r="AP682" s="3">
        <v>150</v>
      </c>
      <c r="AQ682" s="3">
        <v>50</v>
      </c>
      <c r="AR682" s="3">
        <v>60</v>
      </c>
      <c r="AS682" s="1">
        <v>53</v>
      </c>
      <c r="AT682" s="3">
        <v>6</v>
      </c>
      <c r="AU682" s="3" t="s">
        <v>3051</v>
      </c>
    </row>
    <row r="683" spans="1:47" x14ac:dyDescent="0.3">
      <c r="A683" s="1" t="s">
        <v>1915</v>
      </c>
      <c r="B683" s="1" t="s">
        <v>1914</v>
      </c>
      <c r="C683" s="1" t="s">
        <v>141</v>
      </c>
      <c r="D683" s="1" t="s">
        <v>52</v>
      </c>
      <c r="E683" s="1" t="s">
        <v>1913</v>
      </c>
      <c r="F683" t="s">
        <v>3181</v>
      </c>
      <c r="G683" t="s">
        <v>3277</v>
      </c>
      <c r="H683" t="s">
        <v>52</v>
      </c>
      <c r="I683" t="s">
        <v>52</v>
      </c>
      <c r="J683" t="s">
        <v>52</v>
      </c>
      <c r="K683" t="s">
        <v>52</v>
      </c>
      <c r="L683" s="2">
        <v>0.5</v>
      </c>
      <c r="M683" s="2">
        <v>0.5</v>
      </c>
      <c r="N683" s="2">
        <v>0</v>
      </c>
      <c r="O683" s="2">
        <v>1</v>
      </c>
      <c r="P683" s="2">
        <v>1</v>
      </c>
      <c r="Q683" s="2">
        <v>0.5</v>
      </c>
      <c r="R683" s="2">
        <v>1</v>
      </c>
      <c r="S683" s="2">
        <v>1</v>
      </c>
      <c r="T683" s="2">
        <v>1</v>
      </c>
      <c r="U683" s="2">
        <v>1</v>
      </c>
      <c r="V683" s="2">
        <v>1</v>
      </c>
      <c r="W683" s="2">
        <v>1</v>
      </c>
      <c r="X683" s="2">
        <v>1</v>
      </c>
      <c r="Y683" s="2">
        <v>2</v>
      </c>
      <c r="Z683" s="2">
        <v>1</v>
      </c>
      <c r="AA683" s="2">
        <v>1</v>
      </c>
      <c r="AB683" s="2">
        <v>2</v>
      </c>
      <c r="AC683" s="2">
        <v>1</v>
      </c>
      <c r="AD683" s="2">
        <v>52</v>
      </c>
      <c r="AE683" s="2">
        <v>5120</v>
      </c>
      <c r="AF683" s="2">
        <v>70</v>
      </c>
      <c r="AG683" s="2">
        <v>341</v>
      </c>
      <c r="AH683" s="2">
        <v>200</v>
      </c>
      <c r="AI683" s="2">
        <v>60</v>
      </c>
      <c r="AJ683" s="1">
        <v>1000000</v>
      </c>
      <c r="AK683" s="1">
        <v>0.2</v>
      </c>
      <c r="AL683" s="1">
        <v>78</v>
      </c>
      <c r="AM683" s="2">
        <v>50</v>
      </c>
      <c r="AN683" s="2">
        <f t="shared" si="10"/>
        <v>50</v>
      </c>
      <c r="AO683" s="3">
        <v>682</v>
      </c>
      <c r="AP683" s="3">
        <v>63</v>
      </c>
      <c r="AQ683" s="3">
        <v>65</v>
      </c>
      <c r="AR683" s="3">
        <v>23</v>
      </c>
      <c r="AS683" s="1">
        <v>0.5</v>
      </c>
      <c r="AT683" s="3">
        <v>6</v>
      </c>
      <c r="AU683" s="3" t="s">
        <v>3051</v>
      </c>
    </row>
    <row r="684" spans="1:47" x14ac:dyDescent="0.3">
      <c r="A684" s="1" t="s">
        <v>1918</v>
      </c>
      <c r="B684" s="1" t="s">
        <v>1917</v>
      </c>
      <c r="C684" s="1" t="s">
        <v>141</v>
      </c>
      <c r="D684" s="1" t="s">
        <v>52</v>
      </c>
      <c r="E684" s="1" t="s">
        <v>1916</v>
      </c>
      <c r="F684" t="s">
        <v>3181</v>
      </c>
      <c r="G684" t="s">
        <v>3277</v>
      </c>
      <c r="H684" t="s">
        <v>52</v>
      </c>
      <c r="I684" t="s">
        <v>52</v>
      </c>
      <c r="J684" t="s">
        <v>52</v>
      </c>
      <c r="K684" t="s">
        <v>52</v>
      </c>
      <c r="L684" s="2">
        <v>0.5</v>
      </c>
      <c r="M684" s="2">
        <v>0.5</v>
      </c>
      <c r="N684" s="2">
        <v>0</v>
      </c>
      <c r="O684" s="2">
        <v>1</v>
      </c>
      <c r="P684" s="2">
        <v>1</v>
      </c>
      <c r="Q684" s="2">
        <v>0.5</v>
      </c>
      <c r="R684" s="2">
        <v>1</v>
      </c>
      <c r="S684" s="2">
        <v>1</v>
      </c>
      <c r="T684" s="2">
        <v>1</v>
      </c>
      <c r="U684" s="2">
        <v>1</v>
      </c>
      <c r="V684" s="2">
        <v>1</v>
      </c>
      <c r="W684" s="2">
        <v>1</v>
      </c>
      <c r="X684" s="2">
        <v>1</v>
      </c>
      <c r="Y684" s="2">
        <v>2</v>
      </c>
      <c r="Z684" s="2">
        <v>1</v>
      </c>
      <c r="AA684" s="2">
        <v>1</v>
      </c>
      <c r="AB684" s="2">
        <v>2</v>
      </c>
      <c r="AC684" s="2">
        <v>1</v>
      </c>
      <c r="AD684" s="2">
        <v>72</v>
      </c>
      <c r="AE684" s="2">
        <v>5120</v>
      </c>
      <c r="AF684" s="2">
        <v>70</v>
      </c>
      <c r="AG684" s="2">
        <v>462</v>
      </c>
      <c r="AH684" s="2">
        <v>140</v>
      </c>
      <c r="AI684" s="2">
        <v>72</v>
      </c>
      <c r="AJ684" s="1">
        <v>1000000</v>
      </c>
      <c r="AK684" s="1">
        <v>0.8</v>
      </c>
      <c r="AL684" s="1">
        <v>101</v>
      </c>
      <c r="AM684" s="2">
        <v>50</v>
      </c>
      <c r="AN684" s="2">
        <f t="shared" si="10"/>
        <v>50</v>
      </c>
      <c r="AO684" s="3">
        <v>683</v>
      </c>
      <c r="AP684" s="3">
        <v>99</v>
      </c>
      <c r="AQ684" s="3">
        <v>89</v>
      </c>
      <c r="AR684" s="3">
        <v>29</v>
      </c>
      <c r="AS684" s="1">
        <v>15.5</v>
      </c>
      <c r="AT684" s="3">
        <v>6</v>
      </c>
      <c r="AU684" s="3" t="s">
        <v>3051</v>
      </c>
    </row>
    <row r="685" spans="1:47" x14ac:dyDescent="0.3">
      <c r="A685" s="1" t="s">
        <v>1921</v>
      </c>
      <c r="B685" s="1" t="s">
        <v>1920</v>
      </c>
      <c r="C685" s="1" t="s">
        <v>141</v>
      </c>
      <c r="D685" s="1" t="s">
        <v>52</v>
      </c>
      <c r="E685" s="1" t="s">
        <v>1919</v>
      </c>
      <c r="F685" t="s">
        <v>3195</v>
      </c>
      <c r="G685" t="s">
        <v>3249</v>
      </c>
      <c r="H685" t="s">
        <v>52</v>
      </c>
      <c r="I685" t="s">
        <v>52</v>
      </c>
      <c r="J685" t="s">
        <v>52</v>
      </c>
      <c r="K685" t="s">
        <v>52</v>
      </c>
      <c r="L685" s="2">
        <v>0.5</v>
      </c>
      <c r="M685" s="2">
        <v>0.5</v>
      </c>
      <c r="N685" s="2">
        <v>0</v>
      </c>
      <c r="O685" s="2">
        <v>1</v>
      </c>
      <c r="P685" s="2">
        <v>1</v>
      </c>
      <c r="Q685" s="2">
        <v>0.5</v>
      </c>
      <c r="R685" s="2">
        <v>1</v>
      </c>
      <c r="S685" s="2">
        <v>1</v>
      </c>
      <c r="T685" s="2">
        <v>1</v>
      </c>
      <c r="U685" s="2">
        <v>1</v>
      </c>
      <c r="V685" s="2">
        <v>1</v>
      </c>
      <c r="W685" s="2">
        <v>1</v>
      </c>
      <c r="X685" s="2">
        <v>1</v>
      </c>
      <c r="Y685" s="2">
        <v>2</v>
      </c>
      <c r="Z685" s="2">
        <v>1</v>
      </c>
      <c r="AA685" s="2">
        <v>1</v>
      </c>
      <c r="AB685" s="2">
        <v>2</v>
      </c>
      <c r="AC685" s="2">
        <v>1</v>
      </c>
      <c r="AD685" s="2">
        <v>48</v>
      </c>
      <c r="AE685" s="2">
        <v>5120</v>
      </c>
      <c r="AF685" s="2">
        <v>70</v>
      </c>
      <c r="AG685" s="2">
        <v>341</v>
      </c>
      <c r="AH685" s="2">
        <v>200</v>
      </c>
      <c r="AI685" s="2">
        <v>66</v>
      </c>
      <c r="AJ685" s="1">
        <v>1000000</v>
      </c>
      <c r="AK685" s="1">
        <v>0.4</v>
      </c>
      <c r="AL685" s="1">
        <v>62</v>
      </c>
      <c r="AM685" s="2">
        <v>50</v>
      </c>
      <c r="AN685" s="2">
        <f t="shared" si="10"/>
        <v>50</v>
      </c>
      <c r="AO685" s="3">
        <v>684</v>
      </c>
      <c r="AP685" s="3">
        <v>59</v>
      </c>
      <c r="AQ685" s="3">
        <v>57</v>
      </c>
      <c r="AR685" s="3">
        <v>49</v>
      </c>
      <c r="AS685" s="1">
        <v>3.5</v>
      </c>
      <c r="AT685" s="3">
        <v>6</v>
      </c>
      <c r="AU685" s="3" t="s">
        <v>3051</v>
      </c>
    </row>
    <row r="686" spans="1:47" x14ac:dyDescent="0.3">
      <c r="A686" s="1" t="s">
        <v>1924</v>
      </c>
      <c r="B686" s="1" t="s">
        <v>1923</v>
      </c>
      <c r="C686" s="1" t="s">
        <v>141</v>
      </c>
      <c r="D686" s="1" t="s">
        <v>52</v>
      </c>
      <c r="E686" s="1" t="s">
        <v>1922</v>
      </c>
      <c r="F686" t="s">
        <v>3195</v>
      </c>
      <c r="G686" t="s">
        <v>3249</v>
      </c>
      <c r="H686" t="s">
        <v>52</v>
      </c>
      <c r="I686" t="s">
        <v>52</v>
      </c>
      <c r="J686" t="s">
        <v>52</v>
      </c>
      <c r="K686" t="s">
        <v>52</v>
      </c>
      <c r="L686" s="2">
        <v>0.5</v>
      </c>
      <c r="M686" s="2">
        <v>0.5</v>
      </c>
      <c r="N686" s="2">
        <v>0</v>
      </c>
      <c r="O686" s="2">
        <v>1</v>
      </c>
      <c r="P686" s="2">
        <v>1</v>
      </c>
      <c r="Q686" s="2">
        <v>0.5</v>
      </c>
      <c r="R686" s="2">
        <v>1</v>
      </c>
      <c r="S686" s="2">
        <v>1</v>
      </c>
      <c r="T686" s="2">
        <v>1</v>
      </c>
      <c r="U686" s="2">
        <v>1</v>
      </c>
      <c r="V686" s="2">
        <v>1</v>
      </c>
      <c r="W686" s="2">
        <v>1</v>
      </c>
      <c r="X686" s="2">
        <v>1</v>
      </c>
      <c r="Y686" s="2">
        <v>2</v>
      </c>
      <c r="Z686" s="2">
        <v>1</v>
      </c>
      <c r="AA686" s="2">
        <v>1</v>
      </c>
      <c r="AB686" s="2">
        <v>2</v>
      </c>
      <c r="AC686" s="2">
        <v>1</v>
      </c>
      <c r="AD686" s="2">
        <v>80</v>
      </c>
      <c r="AE686" s="2">
        <v>5120</v>
      </c>
      <c r="AF686" s="2">
        <v>70</v>
      </c>
      <c r="AG686" s="2">
        <v>480</v>
      </c>
      <c r="AH686" s="2">
        <v>140</v>
      </c>
      <c r="AI686" s="2">
        <v>86</v>
      </c>
      <c r="AJ686" s="1">
        <v>1000000</v>
      </c>
      <c r="AK686" s="1">
        <v>0.8</v>
      </c>
      <c r="AL686" s="1">
        <v>82</v>
      </c>
      <c r="AM686" s="2">
        <v>50</v>
      </c>
      <c r="AN686" s="2">
        <f t="shared" si="10"/>
        <v>50</v>
      </c>
      <c r="AO686" s="3">
        <v>685</v>
      </c>
      <c r="AP686" s="3">
        <v>85</v>
      </c>
      <c r="AQ686" s="3">
        <v>75</v>
      </c>
      <c r="AR686" s="3">
        <v>72</v>
      </c>
      <c r="AS686" s="1">
        <v>5</v>
      </c>
      <c r="AT686" s="3">
        <v>6</v>
      </c>
      <c r="AU686" s="3" t="s">
        <v>3051</v>
      </c>
    </row>
    <row r="687" spans="1:47" x14ac:dyDescent="0.3">
      <c r="A687" s="1" t="s">
        <v>1927</v>
      </c>
      <c r="B687" s="1" t="s">
        <v>1926</v>
      </c>
      <c r="C687" s="1" t="s">
        <v>99</v>
      </c>
      <c r="D687" s="1" t="s">
        <v>216</v>
      </c>
      <c r="E687" s="1" t="s">
        <v>1925</v>
      </c>
      <c r="F687" t="s">
        <v>3196</v>
      </c>
      <c r="G687" t="s">
        <v>3152</v>
      </c>
      <c r="H687" t="s">
        <v>3234</v>
      </c>
      <c r="I687" t="s">
        <v>52</v>
      </c>
      <c r="J687" t="s">
        <v>52</v>
      </c>
      <c r="K687" t="s">
        <v>52</v>
      </c>
      <c r="L687" s="2">
        <v>4</v>
      </c>
      <c r="M687" s="2">
        <v>1</v>
      </c>
      <c r="N687" s="2">
        <v>1</v>
      </c>
      <c r="O687" s="2">
        <v>1</v>
      </c>
      <c r="P687" s="2">
        <v>2</v>
      </c>
      <c r="Q687" s="2">
        <v>1</v>
      </c>
      <c r="R687" s="2">
        <v>1</v>
      </c>
      <c r="S687" s="2">
        <v>1</v>
      </c>
      <c r="T687" s="2">
        <v>1</v>
      </c>
      <c r="U687" s="2">
        <v>1</v>
      </c>
      <c r="V687" s="2">
        <v>1</v>
      </c>
      <c r="W687" s="2">
        <v>1</v>
      </c>
      <c r="X687" s="2">
        <v>1</v>
      </c>
      <c r="Y687" s="2">
        <v>1</v>
      </c>
      <c r="Z687" s="2">
        <v>0</v>
      </c>
      <c r="AA687" s="2">
        <v>1</v>
      </c>
      <c r="AB687" s="2">
        <v>1</v>
      </c>
      <c r="AC687" s="2">
        <v>1</v>
      </c>
      <c r="AD687" s="2">
        <v>54</v>
      </c>
      <c r="AE687" s="2">
        <v>5120</v>
      </c>
      <c r="AF687" s="2">
        <v>70</v>
      </c>
      <c r="AG687" s="2">
        <v>288</v>
      </c>
      <c r="AH687" s="2">
        <v>190</v>
      </c>
      <c r="AI687" s="2">
        <v>53</v>
      </c>
      <c r="AJ687" s="1">
        <v>1000000</v>
      </c>
      <c r="AK687" s="1">
        <v>0.4</v>
      </c>
      <c r="AL687" s="1">
        <v>53</v>
      </c>
      <c r="AM687" s="2">
        <v>50</v>
      </c>
      <c r="AN687" s="2">
        <f t="shared" si="10"/>
        <v>50</v>
      </c>
      <c r="AO687" s="3">
        <v>686</v>
      </c>
      <c r="AP687" s="3">
        <v>37</v>
      </c>
      <c r="AQ687" s="3">
        <v>46</v>
      </c>
      <c r="AR687" s="3">
        <v>45</v>
      </c>
      <c r="AS687" s="1">
        <v>3.5</v>
      </c>
      <c r="AT687" s="3">
        <v>6</v>
      </c>
      <c r="AU687" s="3" t="s">
        <v>3051</v>
      </c>
    </row>
    <row r="688" spans="1:47" x14ac:dyDescent="0.3">
      <c r="A688" s="1" t="s">
        <v>1930</v>
      </c>
      <c r="B688" s="1" t="s">
        <v>1929</v>
      </c>
      <c r="C688" s="1" t="s">
        <v>99</v>
      </c>
      <c r="D688" s="1" t="s">
        <v>216</v>
      </c>
      <c r="E688" s="1" t="s">
        <v>1928</v>
      </c>
      <c r="F688" t="s">
        <v>3196</v>
      </c>
      <c r="G688" t="s">
        <v>3152</v>
      </c>
      <c r="H688" t="s">
        <v>3234</v>
      </c>
      <c r="I688" t="s">
        <v>52</v>
      </c>
      <c r="J688" t="s">
        <v>52</v>
      </c>
      <c r="K688" t="s">
        <v>52</v>
      </c>
      <c r="L688" s="2">
        <v>4</v>
      </c>
      <c r="M688" s="2">
        <v>1</v>
      </c>
      <c r="N688" s="2">
        <v>1</v>
      </c>
      <c r="O688" s="2">
        <v>1</v>
      </c>
      <c r="P688" s="2">
        <v>2</v>
      </c>
      <c r="Q688" s="2">
        <v>1</v>
      </c>
      <c r="R688" s="2">
        <v>1</v>
      </c>
      <c r="S688" s="2">
        <v>1</v>
      </c>
      <c r="T688" s="2">
        <v>1</v>
      </c>
      <c r="U688" s="2">
        <v>1</v>
      </c>
      <c r="V688" s="2">
        <v>1</v>
      </c>
      <c r="W688" s="2">
        <v>1</v>
      </c>
      <c r="X688" s="2">
        <v>1</v>
      </c>
      <c r="Y688" s="2">
        <v>1</v>
      </c>
      <c r="Z688" s="2">
        <v>0</v>
      </c>
      <c r="AA688" s="2">
        <v>1</v>
      </c>
      <c r="AB688" s="2">
        <v>1</v>
      </c>
      <c r="AC688" s="2">
        <v>1</v>
      </c>
      <c r="AD688" s="2">
        <v>92</v>
      </c>
      <c r="AE688" s="2">
        <v>5120</v>
      </c>
      <c r="AF688" s="2">
        <v>70</v>
      </c>
      <c r="AG688" s="2">
        <v>482</v>
      </c>
      <c r="AH688" s="2">
        <v>80</v>
      </c>
      <c r="AI688" s="2">
        <v>88</v>
      </c>
      <c r="AJ688" s="1">
        <v>1000000</v>
      </c>
      <c r="AK688" s="1">
        <v>1.5</v>
      </c>
      <c r="AL688" s="1">
        <v>86</v>
      </c>
      <c r="AM688" s="2">
        <v>50</v>
      </c>
      <c r="AN688" s="2">
        <f t="shared" si="10"/>
        <v>50</v>
      </c>
      <c r="AO688" s="3">
        <v>687</v>
      </c>
      <c r="AP688" s="3">
        <v>68</v>
      </c>
      <c r="AQ688" s="3">
        <v>75</v>
      </c>
      <c r="AR688" s="3">
        <v>73</v>
      </c>
      <c r="AS688" s="1">
        <v>47</v>
      </c>
      <c r="AT688" s="3">
        <v>6</v>
      </c>
      <c r="AU688" s="3" t="s">
        <v>3051</v>
      </c>
    </row>
    <row r="689" spans="1:47" x14ac:dyDescent="0.3">
      <c r="A689" s="1" t="s">
        <v>1933</v>
      </c>
      <c r="B689" s="1" t="s">
        <v>1932</v>
      </c>
      <c r="C689" s="1" t="s">
        <v>243</v>
      </c>
      <c r="D689" s="1" t="s">
        <v>62</v>
      </c>
      <c r="E689" s="1" t="s">
        <v>1931</v>
      </c>
      <c r="F689" t="s">
        <v>3197</v>
      </c>
      <c r="G689" t="s">
        <v>3226</v>
      </c>
      <c r="H689" t="s">
        <v>3260</v>
      </c>
      <c r="I689" t="s">
        <v>52</v>
      </c>
      <c r="J689" t="s">
        <v>52</v>
      </c>
      <c r="K689" t="s">
        <v>52</v>
      </c>
      <c r="L689" s="2">
        <v>1</v>
      </c>
      <c r="M689" s="2">
        <v>1</v>
      </c>
      <c r="N689" s="2">
        <v>1</v>
      </c>
      <c r="O689" s="2">
        <v>2</v>
      </c>
      <c r="P689" s="2">
        <v>1</v>
      </c>
      <c r="Q689" s="2">
        <v>2</v>
      </c>
      <c r="R689" s="2">
        <v>0.25</v>
      </c>
      <c r="S689" s="2">
        <v>0.5</v>
      </c>
      <c r="T689" s="2">
        <v>1</v>
      </c>
      <c r="U689" s="2">
        <v>4</v>
      </c>
      <c r="V689" s="2">
        <v>2</v>
      </c>
      <c r="W689" s="2">
        <v>0.5</v>
      </c>
      <c r="X689" s="2">
        <v>0.5</v>
      </c>
      <c r="Y689" s="2">
        <v>0.5</v>
      </c>
      <c r="Z689" s="2">
        <v>1</v>
      </c>
      <c r="AA689" s="2">
        <v>1</v>
      </c>
      <c r="AB689" s="2">
        <v>1</v>
      </c>
      <c r="AC689" s="2">
        <v>1</v>
      </c>
      <c r="AD689" s="2">
        <v>52</v>
      </c>
      <c r="AE689" s="2">
        <v>5120</v>
      </c>
      <c r="AF689" s="2">
        <v>70</v>
      </c>
      <c r="AG689" s="2">
        <v>306</v>
      </c>
      <c r="AH689" s="2">
        <v>120</v>
      </c>
      <c r="AI689" s="2">
        <v>67</v>
      </c>
      <c r="AJ689" s="1">
        <v>1000000</v>
      </c>
      <c r="AK689" s="1">
        <v>0.5</v>
      </c>
      <c r="AL689" s="1">
        <v>42</v>
      </c>
      <c r="AM689" s="2">
        <v>50</v>
      </c>
      <c r="AN689" s="2">
        <f t="shared" si="10"/>
        <v>50</v>
      </c>
      <c r="AO689" s="3">
        <v>688</v>
      </c>
      <c r="AP689" s="3">
        <v>39</v>
      </c>
      <c r="AQ689" s="3">
        <v>56</v>
      </c>
      <c r="AR689" s="3">
        <v>50</v>
      </c>
      <c r="AS689" s="1">
        <v>31</v>
      </c>
      <c r="AT689" s="3">
        <v>6</v>
      </c>
      <c r="AU689" s="3" t="s">
        <v>3051</v>
      </c>
    </row>
    <row r="690" spans="1:47" x14ac:dyDescent="0.3">
      <c r="A690" s="1" t="s">
        <v>1936</v>
      </c>
      <c r="B690" s="1" t="s">
        <v>1935</v>
      </c>
      <c r="C690" s="1" t="s">
        <v>243</v>
      </c>
      <c r="D690" s="1" t="s">
        <v>62</v>
      </c>
      <c r="E690" s="1" t="s">
        <v>1934</v>
      </c>
      <c r="F690" t="s">
        <v>3197</v>
      </c>
      <c r="G690" t="s">
        <v>3226</v>
      </c>
      <c r="H690" t="s">
        <v>3260</v>
      </c>
      <c r="I690" t="s">
        <v>52</v>
      </c>
      <c r="J690" t="s">
        <v>52</v>
      </c>
      <c r="K690" t="s">
        <v>52</v>
      </c>
      <c r="L690" s="2">
        <v>1</v>
      </c>
      <c r="M690" s="2">
        <v>1</v>
      </c>
      <c r="N690" s="2">
        <v>1</v>
      </c>
      <c r="O690" s="2">
        <v>2</v>
      </c>
      <c r="P690" s="2">
        <v>1</v>
      </c>
      <c r="Q690" s="2">
        <v>2</v>
      </c>
      <c r="R690" s="2">
        <v>0.25</v>
      </c>
      <c r="S690" s="2">
        <v>0.5</v>
      </c>
      <c r="T690" s="2">
        <v>1</v>
      </c>
      <c r="U690" s="2">
        <v>4</v>
      </c>
      <c r="V690" s="2">
        <v>2</v>
      </c>
      <c r="W690" s="2">
        <v>0.5</v>
      </c>
      <c r="X690" s="2">
        <v>0.5</v>
      </c>
      <c r="Y690" s="2">
        <v>0.5</v>
      </c>
      <c r="Z690" s="2">
        <v>1</v>
      </c>
      <c r="AA690" s="2">
        <v>1</v>
      </c>
      <c r="AB690" s="2">
        <v>1</v>
      </c>
      <c r="AC690" s="2">
        <v>1</v>
      </c>
      <c r="AD690" s="2">
        <v>105</v>
      </c>
      <c r="AE690" s="2">
        <v>5120</v>
      </c>
      <c r="AF690" s="2">
        <v>70</v>
      </c>
      <c r="AG690" s="2">
        <v>500</v>
      </c>
      <c r="AH690" s="2">
        <v>45</v>
      </c>
      <c r="AI690" s="2">
        <v>115</v>
      </c>
      <c r="AJ690" s="1">
        <v>1000000</v>
      </c>
      <c r="AK690" s="1">
        <v>1.3</v>
      </c>
      <c r="AL690" s="1">
        <v>72</v>
      </c>
      <c r="AM690" s="2">
        <v>50</v>
      </c>
      <c r="AN690" s="2">
        <f t="shared" si="10"/>
        <v>50</v>
      </c>
      <c r="AO690" s="3">
        <v>689</v>
      </c>
      <c r="AP690" s="3">
        <v>54</v>
      </c>
      <c r="AQ690" s="3">
        <v>86</v>
      </c>
      <c r="AR690" s="3">
        <v>68</v>
      </c>
      <c r="AS690" s="1">
        <v>96</v>
      </c>
      <c r="AT690" s="3">
        <v>6</v>
      </c>
      <c r="AU690" s="3" t="s">
        <v>3051</v>
      </c>
    </row>
    <row r="691" spans="1:47" x14ac:dyDescent="0.3">
      <c r="A691" s="1" t="s">
        <v>1939</v>
      </c>
      <c r="B691" s="1" t="s">
        <v>1938</v>
      </c>
      <c r="C691" s="1" t="s">
        <v>43</v>
      </c>
      <c r="D691" s="1" t="s">
        <v>62</v>
      </c>
      <c r="E691" s="1" t="s">
        <v>1937</v>
      </c>
      <c r="F691" t="s">
        <v>3123</v>
      </c>
      <c r="G691" t="s">
        <v>3244</v>
      </c>
      <c r="H691" t="s">
        <v>3176</v>
      </c>
      <c r="I691" t="s">
        <v>52</v>
      </c>
      <c r="J691" t="s">
        <v>52</v>
      </c>
      <c r="K691" t="s">
        <v>52</v>
      </c>
      <c r="L691" s="2">
        <v>0.5</v>
      </c>
      <c r="M691" s="2">
        <v>1</v>
      </c>
      <c r="N691" s="2">
        <v>1</v>
      </c>
      <c r="O691" s="2">
        <v>2</v>
      </c>
      <c r="P691" s="2">
        <v>0.5</v>
      </c>
      <c r="Q691" s="2">
        <v>0.5</v>
      </c>
      <c r="R691" s="2">
        <v>0.5</v>
      </c>
      <c r="S691" s="2">
        <v>1</v>
      </c>
      <c r="T691" s="2">
        <v>1</v>
      </c>
      <c r="U691" s="2">
        <v>1</v>
      </c>
      <c r="V691" s="2">
        <v>2</v>
      </c>
      <c r="W691" s="2">
        <v>0.5</v>
      </c>
      <c r="X691" s="2">
        <v>1</v>
      </c>
      <c r="Y691" s="2">
        <v>0.5</v>
      </c>
      <c r="Z691" s="2">
        <v>2</v>
      </c>
      <c r="AA691" s="2">
        <v>1</v>
      </c>
      <c r="AB691" s="2">
        <v>0.5</v>
      </c>
      <c r="AC691" s="2">
        <v>0.5</v>
      </c>
      <c r="AD691" s="2">
        <v>60</v>
      </c>
      <c r="AE691" s="2">
        <v>5120</v>
      </c>
      <c r="AF691" s="2">
        <v>70</v>
      </c>
      <c r="AG691" s="2">
        <v>320</v>
      </c>
      <c r="AH691" s="2">
        <v>225</v>
      </c>
      <c r="AI691" s="2">
        <v>60</v>
      </c>
      <c r="AJ691" s="1">
        <v>1000000</v>
      </c>
      <c r="AK691" s="1">
        <v>0.5</v>
      </c>
      <c r="AL691" s="1">
        <v>50</v>
      </c>
      <c r="AM691" s="2">
        <v>50</v>
      </c>
      <c r="AN691" s="2">
        <f t="shared" si="10"/>
        <v>50</v>
      </c>
      <c r="AO691" s="3">
        <v>690</v>
      </c>
      <c r="AP691" s="3">
        <v>60</v>
      </c>
      <c r="AQ691" s="3">
        <v>60</v>
      </c>
      <c r="AR691" s="3">
        <v>30</v>
      </c>
      <c r="AS691" s="1">
        <v>7.3</v>
      </c>
      <c r="AT691" s="3">
        <v>6</v>
      </c>
      <c r="AU691" s="3" t="s">
        <v>3051</v>
      </c>
    </row>
    <row r="692" spans="1:47" x14ac:dyDescent="0.3">
      <c r="A692" s="1" t="s">
        <v>1941</v>
      </c>
      <c r="B692" s="1" t="s">
        <v>1940</v>
      </c>
      <c r="C692" s="1" t="s">
        <v>43</v>
      </c>
      <c r="D692" s="1" t="s">
        <v>443</v>
      </c>
      <c r="E692" s="1" t="s">
        <v>1937</v>
      </c>
      <c r="F692" t="s">
        <v>3123</v>
      </c>
      <c r="G692" t="s">
        <v>3244</v>
      </c>
      <c r="H692" t="s">
        <v>3176</v>
      </c>
      <c r="I692" t="s">
        <v>52</v>
      </c>
      <c r="J692" t="s">
        <v>52</v>
      </c>
      <c r="K692" t="s">
        <v>52</v>
      </c>
      <c r="L692" s="2">
        <v>0.5</v>
      </c>
      <c r="M692" s="2">
        <v>1</v>
      </c>
      <c r="N692" s="2">
        <v>2</v>
      </c>
      <c r="O692" s="2">
        <v>0.5</v>
      </c>
      <c r="P692" s="2">
        <v>1</v>
      </c>
      <c r="Q692" s="2">
        <v>0.5</v>
      </c>
      <c r="R692" s="2">
        <v>0.5</v>
      </c>
      <c r="S692" s="2">
        <v>1</v>
      </c>
      <c r="T692" s="2">
        <v>1</v>
      </c>
      <c r="U692" s="2">
        <v>0.25</v>
      </c>
      <c r="V692" s="2">
        <v>2</v>
      </c>
      <c r="W692" s="2">
        <v>2</v>
      </c>
      <c r="X692" s="2">
        <v>1</v>
      </c>
      <c r="Y692" s="2">
        <v>0.5</v>
      </c>
      <c r="Z692" s="2">
        <v>2</v>
      </c>
      <c r="AA692" s="2">
        <v>1</v>
      </c>
      <c r="AB692" s="2">
        <v>1</v>
      </c>
      <c r="AC692" s="2">
        <v>0.5</v>
      </c>
      <c r="AD692" s="2">
        <v>75</v>
      </c>
      <c r="AE692" s="2">
        <v>5120</v>
      </c>
      <c r="AF692" s="2">
        <v>70</v>
      </c>
      <c r="AG692" s="2">
        <v>494</v>
      </c>
      <c r="AH692" s="2">
        <v>55</v>
      </c>
      <c r="AI692" s="2">
        <v>90</v>
      </c>
      <c r="AJ692" s="1">
        <v>1000000</v>
      </c>
      <c r="AK692" s="1">
        <v>1.8</v>
      </c>
      <c r="AL692" s="1">
        <v>65</v>
      </c>
      <c r="AM692" s="2">
        <v>50</v>
      </c>
      <c r="AN692" s="2">
        <f t="shared" si="10"/>
        <v>50</v>
      </c>
      <c r="AO692" s="3">
        <v>691</v>
      </c>
      <c r="AP692" s="3">
        <v>97</v>
      </c>
      <c r="AQ692" s="3">
        <v>123</v>
      </c>
      <c r="AR692" s="3">
        <v>44</v>
      </c>
      <c r="AS692" s="1">
        <v>81.5</v>
      </c>
      <c r="AT692" s="3">
        <v>6</v>
      </c>
      <c r="AU692" s="3" t="s">
        <v>3051</v>
      </c>
    </row>
    <row r="693" spans="1:47" x14ac:dyDescent="0.3">
      <c r="A693" s="1" t="s">
        <v>1944</v>
      </c>
      <c r="B693" s="1" t="s">
        <v>1943</v>
      </c>
      <c r="C693" s="1" t="s">
        <v>62</v>
      </c>
      <c r="D693" s="1" t="s">
        <v>52</v>
      </c>
      <c r="E693" s="1" t="s">
        <v>1942</v>
      </c>
      <c r="F693" t="s">
        <v>3087</v>
      </c>
      <c r="G693" t="s">
        <v>52</v>
      </c>
      <c r="H693" t="s">
        <v>52</v>
      </c>
      <c r="I693" t="s">
        <v>52</v>
      </c>
      <c r="J693" t="s">
        <v>52</v>
      </c>
      <c r="K693" t="s">
        <v>52</v>
      </c>
      <c r="L693" s="2">
        <v>1</v>
      </c>
      <c r="M693" s="2">
        <v>1</v>
      </c>
      <c r="N693" s="2">
        <v>1</v>
      </c>
      <c r="O693" s="2">
        <v>2</v>
      </c>
      <c r="P693" s="2">
        <v>1</v>
      </c>
      <c r="Q693" s="2">
        <v>1</v>
      </c>
      <c r="R693" s="2">
        <v>0.5</v>
      </c>
      <c r="S693" s="2">
        <v>1</v>
      </c>
      <c r="T693" s="2">
        <v>1</v>
      </c>
      <c r="U693" s="2">
        <v>2</v>
      </c>
      <c r="V693" s="2">
        <v>1</v>
      </c>
      <c r="W693" s="2">
        <v>0.5</v>
      </c>
      <c r="X693" s="2">
        <v>1</v>
      </c>
      <c r="Y693" s="2">
        <v>1</v>
      </c>
      <c r="Z693" s="2">
        <v>1</v>
      </c>
      <c r="AA693" s="2">
        <v>1</v>
      </c>
      <c r="AB693" s="2">
        <v>0.5</v>
      </c>
      <c r="AC693" s="2">
        <v>0.5</v>
      </c>
      <c r="AD693" s="2">
        <v>53</v>
      </c>
      <c r="AE693" s="2">
        <v>3840</v>
      </c>
      <c r="AF693" s="2">
        <v>70</v>
      </c>
      <c r="AG693" s="2">
        <v>330</v>
      </c>
      <c r="AH693" s="2">
        <v>225</v>
      </c>
      <c r="AI693" s="2">
        <v>62</v>
      </c>
      <c r="AJ693" s="1">
        <v>1250000</v>
      </c>
      <c r="AK693" s="1">
        <v>0.5</v>
      </c>
      <c r="AL693" s="1">
        <v>50</v>
      </c>
      <c r="AM693" s="2">
        <v>50</v>
      </c>
      <c r="AN693" s="2">
        <f t="shared" si="10"/>
        <v>50</v>
      </c>
      <c r="AO693" s="3">
        <v>692</v>
      </c>
      <c r="AP693" s="3">
        <v>58</v>
      </c>
      <c r="AQ693" s="3">
        <v>63</v>
      </c>
      <c r="AR693" s="3">
        <v>44</v>
      </c>
      <c r="AS693" s="1">
        <v>8.3000000000000007</v>
      </c>
      <c r="AT693" s="3">
        <v>6</v>
      </c>
      <c r="AU693" s="3" t="s">
        <v>3051</v>
      </c>
    </row>
    <row r="694" spans="1:47" x14ac:dyDescent="0.3">
      <c r="A694" s="1" t="s">
        <v>1947</v>
      </c>
      <c r="B694" s="1" t="s">
        <v>1946</v>
      </c>
      <c r="C694" s="1" t="s">
        <v>62</v>
      </c>
      <c r="D694" s="1" t="s">
        <v>52</v>
      </c>
      <c r="E694" s="1" t="s">
        <v>1945</v>
      </c>
      <c r="F694" t="s">
        <v>3087</v>
      </c>
      <c r="G694" t="s">
        <v>52</v>
      </c>
      <c r="H694" t="s">
        <v>52</v>
      </c>
      <c r="I694" t="s">
        <v>52</v>
      </c>
      <c r="J694" t="s">
        <v>52</v>
      </c>
      <c r="K694" t="s">
        <v>52</v>
      </c>
      <c r="L694" s="2">
        <v>1</v>
      </c>
      <c r="M694" s="2">
        <v>1</v>
      </c>
      <c r="N694" s="2">
        <v>1</v>
      </c>
      <c r="O694" s="2">
        <v>2</v>
      </c>
      <c r="P694" s="2">
        <v>1</v>
      </c>
      <c r="Q694" s="2">
        <v>1</v>
      </c>
      <c r="R694" s="2">
        <v>0.5</v>
      </c>
      <c r="S694" s="2">
        <v>1</v>
      </c>
      <c r="T694" s="2">
        <v>1</v>
      </c>
      <c r="U694" s="2">
        <v>2</v>
      </c>
      <c r="V694" s="2">
        <v>1</v>
      </c>
      <c r="W694" s="2">
        <v>0.5</v>
      </c>
      <c r="X694" s="2">
        <v>1</v>
      </c>
      <c r="Y694" s="2">
        <v>1</v>
      </c>
      <c r="Z694" s="2">
        <v>1</v>
      </c>
      <c r="AA694" s="2">
        <v>1</v>
      </c>
      <c r="AB694" s="2">
        <v>0.5</v>
      </c>
      <c r="AC694" s="2">
        <v>0.5</v>
      </c>
      <c r="AD694" s="2">
        <v>73</v>
      </c>
      <c r="AE694" s="2">
        <v>3840</v>
      </c>
      <c r="AF694" s="2">
        <v>70</v>
      </c>
      <c r="AG694" s="2">
        <v>500</v>
      </c>
      <c r="AH694" s="2">
        <v>55</v>
      </c>
      <c r="AI694" s="2">
        <v>88</v>
      </c>
      <c r="AJ694" s="1">
        <v>1250000</v>
      </c>
      <c r="AK694" s="1">
        <v>1.3</v>
      </c>
      <c r="AL694" s="1">
        <v>71</v>
      </c>
      <c r="AM694" s="2">
        <v>50</v>
      </c>
      <c r="AN694" s="2">
        <f t="shared" si="10"/>
        <v>50</v>
      </c>
      <c r="AO694" s="3">
        <v>693</v>
      </c>
      <c r="AP694" s="3">
        <v>120</v>
      </c>
      <c r="AQ694" s="3">
        <v>89</v>
      </c>
      <c r="AR694" s="3">
        <v>59</v>
      </c>
      <c r="AS694" s="1">
        <v>35.299999999999997</v>
      </c>
      <c r="AT694" s="3">
        <v>6</v>
      </c>
      <c r="AU694" s="3" t="s">
        <v>3051</v>
      </c>
    </row>
    <row r="695" spans="1:47" x14ac:dyDescent="0.3">
      <c r="A695" s="1" t="s">
        <v>1950</v>
      </c>
      <c r="B695" s="1" t="s">
        <v>1949</v>
      </c>
      <c r="C695" s="1" t="s">
        <v>115</v>
      </c>
      <c r="D695" s="1" t="s">
        <v>90</v>
      </c>
      <c r="E695" s="1" t="s">
        <v>1948</v>
      </c>
      <c r="F695" t="s">
        <v>3198</v>
      </c>
      <c r="G695" t="s">
        <v>3122</v>
      </c>
      <c r="H695" t="s">
        <v>3223</v>
      </c>
      <c r="I695" t="s">
        <v>52</v>
      </c>
      <c r="J695" t="s">
        <v>52</v>
      </c>
      <c r="K695" t="s">
        <v>52</v>
      </c>
      <c r="L695" s="2">
        <v>1</v>
      </c>
      <c r="M695" s="2">
        <v>1</v>
      </c>
      <c r="N695" s="2">
        <v>1</v>
      </c>
      <c r="O695" s="2">
        <v>0.5</v>
      </c>
      <c r="P695" s="2">
        <v>1</v>
      </c>
      <c r="Q695" s="2">
        <v>2</v>
      </c>
      <c r="R695" s="2">
        <v>1</v>
      </c>
      <c r="S695" s="2">
        <v>0.5</v>
      </c>
      <c r="T695" s="2">
        <v>0</v>
      </c>
      <c r="U695" s="2">
        <v>1</v>
      </c>
      <c r="V695" s="2">
        <v>2</v>
      </c>
      <c r="W695" s="2">
        <v>1</v>
      </c>
      <c r="X695" s="2">
        <v>1</v>
      </c>
      <c r="Y695" s="2">
        <v>1</v>
      </c>
      <c r="Z695" s="2">
        <v>1</v>
      </c>
      <c r="AA695" s="2">
        <v>1</v>
      </c>
      <c r="AB695" s="2">
        <v>0.5</v>
      </c>
      <c r="AC695" s="2">
        <v>1</v>
      </c>
      <c r="AD695" s="2">
        <v>38</v>
      </c>
      <c r="AE695" s="2">
        <v>5120</v>
      </c>
      <c r="AF695" s="2">
        <v>70</v>
      </c>
      <c r="AG695" s="2">
        <v>289</v>
      </c>
      <c r="AH695" s="2">
        <v>190</v>
      </c>
      <c r="AI695" s="2">
        <v>33</v>
      </c>
      <c r="AJ695" s="1">
        <v>1000000</v>
      </c>
      <c r="AK695" s="1">
        <v>0.5</v>
      </c>
      <c r="AL695" s="1">
        <v>44</v>
      </c>
      <c r="AM695" s="2">
        <v>50</v>
      </c>
      <c r="AN695" s="2">
        <f t="shared" si="10"/>
        <v>50</v>
      </c>
      <c r="AO695" s="3">
        <v>694</v>
      </c>
      <c r="AP695" s="3">
        <v>61</v>
      </c>
      <c r="AQ695" s="3">
        <v>43</v>
      </c>
      <c r="AR695" s="3">
        <v>70</v>
      </c>
      <c r="AS695" s="1">
        <v>6</v>
      </c>
      <c r="AT695" s="3">
        <v>6</v>
      </c>
      <c r="AU695" s="3" t="s">
        <v>3051</v>
      </c>
    </row>
    <row r="696" spans="1:47" x14ac:dyDescent="0.3">
      <c r="A696" s="1" t="s">
        <v>1952</v>
      </c>
      <c r="B696" s="1" t="s">
        <v>1951</v>
      </c>
      <c r="C696" s="1" t="s">
        <v>115</v>
      </c>
      <c r="D696" s="1" t="s">
        <v>90</v>
      </c>
      <c r="E696" s="1" t="s">
        <v>1948</v>
      </c>
      <c r="F696" t="s">
        <v>3198</v>
      </c>
      <c r="G696" t="s">
        <v>3122</v>
      </c>
      <c r="H696" t="s">
        <v>3223</v>
      </c>
      <c r="I696" t="s">
        <v>52</v>
      </c>
      <c r="J696" t="s">
        <v>52</v>
      </c>
      <c r="K696" t="s">
        <v>52</v>
      </c>
      <c r="L696" s="2">
        <v>1</v>
      </c>
      <c r="M696" s="2">
        <v>1</v>
      </c>
      <c r="N696" s="2">
        <v>1</v>
      </c>
      <c r="O696" s="2">
        <v>0.5</v>
      </c>
      <c r="P696" s="2">
        <v>1</v>
      </c>
      <c r="Q696" s="2">
        <v>2</v>
      </c>
      <c r="R696" s="2">
        <v>1</v>
      </c>
      <c r="S696" s="2">
        <v>0.5</v>
      </c>
      <c r="T696" s="2">
        <v>0</v>
      </c>
      <c r="U696" s="2">
        <v>1</v>
      </c>
      <c r="V696" s="2">
        <v>2</v>
      </c>
      <c r="W696" s="2">
        <v>1</v>
      </c>
      <c r="X696" s="2">
        <v>1</v>
      </c>
      <c r="Y696" s="2">
        <v>1</v>
      </c>
      <c r="Z696" s="2">
        <v>1</v>
      </c>
      <c r="AA696" s="2">
        <v>1</v>
      </c>
      <c r="AB696" s="2">
        <v>0.5</v>
      </c>
      <c r="AC696" s="2">
        <v>1</v>
      </c>
      <c r="AD696" s="2">
        <v>55</v>
      </c>
      <c r="AE696" s="2">
        <v>5120</v>
      </c>
      <c r="AF696" s="2">
        <v>70</v>
      </c>
      <c r="AG696" s="2">
        <v>481</v>
      </c>
      <c r="AH696" s="2">
        <v>75</v>
      </c>
      <c r="AI696" s="2">
        <v>52</v>
      </c>
      <c r="AJ696" s="1">
        <v>1000000</v>
      </c>
      <c r="AK696" s="1">
        <v>1</v>
      </c>
      <c r="AL696" s="1">
        <v>62</v>
      </c>
      <c r="AM696" s="2">
        <v>50</v>
      </c>
      <c r="AN696" s="2">
        <f t="shared" si="10"/>
        <v>50</v>
      </c>
      <c r="AO696" s="3">
        <v>695</v>
      </c>
      <c r="AP696" s="3">
        <v>109</v>
      </c>
      <c r="AQ696" s="3">
        <v>94</v>
      </c>
      <c r="AR696" s="3">
        <v>109</v>
      </c>
      <c r="AS696" s="1">
        <v>21</v>
      </c>
      <c r="AT696" s="3">
        <v>6</v>
      </c>
      <c r="AU696" s="3" t="s">
        <v>3051</v>
      </c>
    </row>
    <row r="697" spans="1:47" x14ac:dyDescent="0.3">
      <c r="A697" s="1" t="s">
        <v>1955</v>
      </c>
      <c r="B697" s="1" t="s">
        <v>1954</v>
      </c>
      <c r="C697" s="1" t="s">
        <v>243</v>
      </c>
      <c r="D697" s="1" t="s">
        <v>443</v>
      </c>
      <c r="E697" s="1" t="s">
        <v>1953</v>
      </c>
      <c r="F697" t="s">
        <v>3199</v>
      </c>
      <c r="G697" t="s">
        <v>3107</v>
      </c>
      <c r="H697" t="s">
        <v>52</v>
      </c>
      <c r="I697" t="s">
        <v>52</v>
      </c>
      <c r="J697" t="s">
        <v>52</v>
      </c>
      <c r="K697" t="s">
        <v>52</v>
      </c>
      <c r="L697" s="2">
        <v>1</v>
      </c>
      <c r="M697" s="2">
        <v>1</v>
      </c>
      <c r="N697" s="2">
        <v>2</v>
      </c>
      <c r="O697" s="2">
        <v>0.5</v>
      </c>
      <c r="P697" s="2">
        <v>2</v>
      </c>
      <c r="Q697" s="2">
        <v>2</v>
      </c>
      <c r="R697" s="2">
        <v>0.25</v>
      </c>
      <c r="S697" s="2">
        <v>0.5</v>
      </c>
      <c r="T697" s="2">
        <v>1</v>
      </c>
      <c r="U697" s="2">
        <v>1</v>
      </c>
      <c r="V697" s="2">
        <v>2</v>
      </c>
      <c r="W697" s="2">
        <v>2</v>
      </c>
      <c r="X697" s="2">
        <v>0.5</v>
      </c>
      <c r="Y697" s="2">
        <v>0.5</v>
      </c>
      <c r="Z697" s="2">
        <v>1</v>
      </c>
      <c r="AA697" s="2">
        <v>1</v>
      </c>
      <c r="AB697" s="2">
        <v>2</v>
      </c>
      <c r="AC697" s="2">
        <v>1</v>
      </c>
      <c r="AD697" s="2">
        <v>89</v>
      </c>
      <c r="AE697" s="2">
        <v>7680</v>
      </c>
      <c r="AF697" s="2">
        <v>70</v>
      </c>
      <c r="AG697" s="2">
        <v>362</v>
      </c>
      <c r="AH697" s="2">
        <v>45</v>
      </c>
      <c r="AI697" s="2">
        <v>77</v>
      </c>
      <c r="AJ697" s="1">
        <v>1000000</v>
      </c>
      <c r="AK697" s="1">
        <v>0.8</v>
      </c>
      <c r="AL697" s="1">
        <v>58</v>
      </c>
      <c r="AM697" s="2">
        <v>88.1</v>
      </c>
      <c r="AN697" s="2">
        <f t="shared" si="10"/>
        <v>11.900000000000006</v>
      </c>
      <c r="AO697" s="3">
        <v>696</v>
      </c>
      <c r="AP697" s="3">
        <v>45</v>
      </c>
      <c r="AQ697" s="3">
        <v>45</v>
      </c>
      <c r="AR697" s="3">
        <v>48</v>
      </c>
      <c r="AS697" s="1">
        <v>26</v>
      </c>
      <c r="AT697" s="3">
        <v>6</v>
      </c>
      <c r="AU697" s="3" t="s">
        <v>3051</v>
      </c>
    </row>
    <row r="698" spans="1:47" x14ac:dyDescent="0.3">
      <c r="A698" s="1" t="s">
        <v>1958</v>
      </c>
      <c r="B698" s="1" t="s">
        <v>1957</v>
      </c>
      <c r="C698" s="1" t="s">
        <v>243</v>
      </c>
      <c r="D698" s="1" t="s">
        <v>443</v>
      </c>
      <c r="E698" s="1" t="s">
        <v>1956</v>
      </c>
      <c r="F698" t="s">
        <v>3199</v>
      </c>
      <c r="G698" t="s">
        <v>3132</v>
      </c>
      <c r="H698" t="s">
        <v>52</v>
      </c>
      <c r="I698" t="s">
        <v>52</v>
      </c>
      <c r="J698" t="s">
        <v>52</v>
      </c>
      <c r="K698" t="s">
        <v>52</v>
      </c>
      <c r="L698" s="2">
        <v>1</v>
      </c>
      <c r="M698" s="2">
        <v>1</v>
      </c>
      <c r="N698" s="2">
        <v>2</v>
      </c>
      <c r="O698" s="2">
        <v>0.5</v>
      </c>
      <c r="P698" s="2">
        <v>2</v>
      </c>
      <c r="Q698" s="2">
        <v>2</v>
      </c>
      <c r="R698" s="2">
        <v>0.25</v>
      </c>
      <c r="S698" s="2">
        <v>0.5</v>
      </c>
      <c r="T698" s="2">
        <v>1</v>
      </c>
      <c r="U698" s="2">
        <v>1</v>
      </c>
      <c r="V698" s="2">
        <v>2</v>
      </c>
      <c r="W698" s="2">
        <v>2</v>
      </c>
      <c r="X698" s="2">
        <v>0.5</v>
      </c>
      <c r="Y698" s="2">
        <v>0.5</v>
      </c>
      <c r="Z698" s="2">
        <v>1</v>
      </c>
      <c r="AA698" s="2">
        <v>1</v>
      </c>
      <c r="AB698" s="2">
        <v>2</v>
      </c>
      <c r="AC698" s="2">
        <v>1</v>
      </c>
      <c r="AD698" s="2">
        <v>121</v>
      </c>
      <c r="AE698" s="2">
        <v>7680</v>
      </c>
      <c r="AF698" s="2">
        <v>70</v>
      </c>
      <c r="AG698" s="2">
        <v>521</v>
      </c>
      <c r="AH698" s="2">
        <v>45</v>
      </c>
      <c r="AI698" s="2">
        <v>119</v>
      </c>
      <c r="AJ698" s="1">
        <v>1000000</v>
      </c>
      <c r="AK698" s="1">
        <v>2.5</v>
      </c>
      <c r="AL698" s="1">
        <v>82</v>
      </c>
      <c r="AM698" s="2">
        <v>88.1</v>
      </c>
      <c r="AN698" s="2">
        <f t="shared" si="10"/>
        <v>11.900000000000006</v>
      </c>
      <c r="AO698" s="3">
        <v>697</v>
      </c>
      <c r="AP698" s="3">
        <v>69</v>
      </c>
      <c r="AQ698" s="3">
        <v>59</v>
      </c>
      <c r="AR698" s="3">
        <v>71</v>
      </c>
      <c r="AS698" s="1">
        <v>270</v>
      </c>
      <c r="AT698" s="3">
        <v>6</v>
      </c>
      <c r="AU698" s="3" t="s">
        <v>3051</v>
      </c>
    </row>
    <row r="699" spans="1:47" x14ac:dyDescent="0.3">
      <c r="A699" s="1" t="s">
        <v>1961</v>
      </c>
      <c r="B699" s="1" t="s">
        <v>1960</v>
      </c>
      <c r="C699" s="1" t="s">
        <v>243</v>
      </c>
      <c r="D699" s="1" t="s">
        <v>121</v>
      </c>
      <c r="E699" s="1" t="s">
        <v>1959</v>
      </c>
      <c r="F699" t="s">
        <v>3200</v>
      </c>
      <c r="G699" t="s">
        <v>3172</v>
      </c>
      <c r="H699" t="s">
        <v>52</v>
      </c>
      <c r="I699" t="s">
        <v>52</v>
      </c>
      <c r="J699" t="s">
        <v>52</v>
      </c>
      <c r="K699" t="s">
        <v>52</v>
      </c>
      <c r="L699" s="2">
        <v>1</v>
      </c>
      <c r="M699" s="2">
        <v>1</v>
      </c>
      <c r="N699" s="2">
        <v>1</v>
      </c>
      <c r="O699" s="2">
        <v>1</v>
      </c>
      <c r="P699" s="2">
        <v>1</v>
      </c>
      <c r="Q699" s="2">
        <v>4</v>
      </c>
      <c r="R699" s="2">
        <v>1</v>
      </c>
      <c r="S699" s="2">
        <v>0.5</v>
      </c>
      <c r="T699" s="2">
        <v>1</v>
      </c>
      <c r="U699" s="2">
        <v>2</v>
      </c>
      <c r="V699" s="2">
        <v>2</v>
      </c>
      <c r="W699" s="2">
        <v>0.5</v>
      </c>
      <c r="X699" s="2">
        <v>0.5</v>
      </c>
      <c r="Y699" s="2">
        <v>0.5</v>
      </c>
      <c r="Z699" s="2">
        <v>1</v>
      </c>
      <c r="AA699" s="2">
        <v>2</v>
      </c>
      <c r="AB699" s="2">
        <v>4</v>
      </c>
      <c r="AC699" s="2">
        <v>2</v>
      </c>
      <c r="AD699" s="2">
        <v>59</v>
      </c>
      <c r="AE699" s="2">
        <v>7680</v>
      </c>
      <c r="AF699" s="2">
        <v>70</v>
      </c>
      <c r="AG699" s="2">
        <v>362</v>
      </c>
      <c r="AH699" s="2">
        <v>45</v>
      </c>
      <c r="AI699" s="2">
        <v>50</v>
      </c>
      <c r="AJ699" s="1">
        <v>1000000</v>
      </c>
      <c r="AK699" s="1">
        <v>1.3</v>
      </c>
      <c r="AL699" s="1">
        <v>77</v>
      </c>
      <c r="AM699" s="2">
        <v>88.1</v>
      </c>
      <c r="AN699" s="2">
        <f t="shared" si="10"/>
        <v>11.900000000000006</v>
      </c>
      <c r="AO699" s="3">
        <v>698</v>
      </c>
      <c r="AP699" s="3">
        <v>67</v>
      </c>
      <c r="AQ699" s="3">
        <v>63</v>
      </c>
      <c r="AR699" s="3">
        <v>46</v>
      </c>
      <c r="AS699" s="1">
        <v>25.2</v>
      </c>
      <c r="AT699" s="3">
        <v>6</v>
      </c>
      <c r="AU699" s="3" t="s">
        <v>3051</v>
      </c>
    </row>
    <row r="700" spans="1:47" x14ac:dyDescent="0.3">
      <c r="A700" s="1" t="s">
        <v>1963</v>
      </c>
      <c r="B700" s="1" t="s">
        <v>1962</v>
      </c>
      <c r="C700" s="1" t="s">
        <v>243</v>
      </c>
      <c r="D700" s="1" t="s">
        <v>121</v>
      </c>
      <c r="E700" s="1" t="s">
        <v>1959</v>
      </c>
      <c r="F700" t="s">
        <v>3200</v>
      </c>
      <c r="G700" t="s">
        <v>3172</v>
      </c>
      <c r="H700" t="s">
        <v>52</v>
      </c>
      <c r="I700" t="s">
        <v>52</v>
      </c>
      <c r="J700" t="s">
        <v>52</v>
      </c>
      <c r="K700" t="s">
        <v>52</v>
      </c>
      <c r="L700" s="2">
        <v>1</v>
      </c>
      <c r="M700" s="2">
        <v>1</v>
      </c>
      <c r="N700" s="2">
        <v>1</v>
      </c>
      <c r="O700" s="2">
        <v>1</v>
      </c>
      <c r="P700" s="2">
        <v>1</v>
      </c>
      <c r="Q700" s="2">
        <v>4</v>
      </c>
      <c r="R700" s="2">
        <v>1</v>
      </c>
      <c r="S700" s="2">
        <v>0.5</v>
      </c>
      <c r="T700" s="2">
        <v>1</v>
      </c>
      <c r="U700" s="2">
        <v>2</v>
      </c>
      <c r="V700" s="2">
        <v>2</v>
      </c>
      <c r="W700" s="2">
        <v>0.5</v>
      </c>
      <c r="X700" s="2">
        <v>0.5</v>
      </c>
      <c r="Y700" s="2">
        <v>0.5</v>
      </c>
      <c r="Z700" s="2">
        <v>1</v>
      </c>
      <c r="AA700" s="2">
        <v>2</v>
      </c>
      <c r="AB700" s="2">
        <v>4</v>
      </c>
      <c r="AC700" s="2">
        <v>2</v>
      </c>
      <c r="AD700" s="2">
        <v>77</v>
      </c>
      <c r="AE700" s="2">
        <v>7680</v>
      </c>
      <c r="AF700" s="2">
        <v>70</v>
      </c>
      <c r="AG700" s="2">
        <v>521</v>
      </c>
      <c r="AH700" s="2">
        <v>45</v>
      </c>
      <c r="AI700" s="2">
        <v>72</v>
      </c>
      <c r="AJ700" s="1">
        <v>1000000</v>
      </c>
      <c r="AK700" s="1">
        <v>2.7</v>
      </c>
      <c r="AL700" s="1">
        <v>123</v>
      </c>
      <c r="AM700" s="2">
        <v>88.1</v>
      </c>
      <c r="AN700" s="2">
        <f t="shared" si="10"/>
        <v>11.900000000000006</v>
      </c>
      <c r="AO700" s="3">
        <v>699</v>
      </c>
      <c r="AP700" s="3">
        <v>99</v>
      </c>
      <c r="AQ700" s="3">
        <v>92</v>
      </c>
      <c r="AR700" s="3">
        <v>58</v>
      </c>
      <c r="AS700" s="1">
        <v>225</v>
      </c>
      <c r="AT700" s="3">
        <v>6</v>
      </c>
      <c r="AU700" s="3" t="s">
        <v>3051</v>
      </c>
    </row>
    <row r="701" spans="1:47" x14ac:dyDescent="0.3">
      <c r="A701" s="1" t="s">
        <v>1966</v>
      </c>
      <c r="B701" s="1" t="s">
        <v>1965</v>
      </c>
      <c r="C701" s="1" t="s">
        <v>141</v>
      </c>
      <c r="D701" s="1" t="s">
        <v>52</v>
      </c>
      <c r="E701" s="1" t="s">
        <v>1964</v>
      </c>
      <c r="F701" t="s">
        <v>3124</v>
      </c>
      <c r="G701" t="s">
        <v>3278</v>
      </c>
      <c r="H701" t="s">
        <v>52</v>
      </c>
      <c r="I701" t="s">
        <v>52</v>
      </c>
      <c r="J701" t="s">
        <v>52</v>
      </c>
      <c r="K701" t="s">
        <v>52</v>
      </c>
      <c r="L701" s="2">
        <v>0.5</v>
      </c>
      <c r="M701" s="2">
        <v>0.5</v>
      </c>
      <c r="N701" s="2">
        <v>0</v>
      </c>
      <c r="O701" s="2">
        <v>1</v>
      </c>
      <c r="P701" s="2">
        <v>1</v>
      </c>
      <c r="Q701" s="2">
        <v>0.5</v>
      </c>
      <c r="R701" s="2">
        <v>1</v>
      </c>
      <c r="S701" s="2">
        <v>1</v>
      </c>
      <c r="T701" s="2">
        <v>1</v>
      </c>
      <c r="U701" s="2">
        <v>1</v>
      </c>
      <c r="V701" s="2">
        <v>1</v>
      </c>
      <c r="W701" s="2">
        <v>1</v>
      </c>
      <c r="X701" s="2">
        <v>1</v>
      </c>
      <c r="Y701" s="2">
        <v>2</v>
      </c>
      <c r="Z701" s="2">
        <v>1</v>
      </c>
      <c r="AA701" s="2">
        <v>1</v>
      </c>
      <c r="AB701" s="2">
        <v>2</v>
      </c>
      <c r="AC701" s="2">
        <v>1</v>
      </c>
      <c r="AD701" s="2">
        <v>65</v>
      </c>
      <c r="AE701" s="2">
        <v>8960</v>
      </c>
      <c r="AF701" s="2">
        <v>70</v>
      </c>
      <c r="AG701" s="2">
        <v>525</v>
      </c>
      <c r="AH701" s="2">
        <v>45</v>
      </c>
      <c r="AI701" s="2">
        <v>65</v>
      </c>
      <c r="AJ701" s="1">
        <v>1000000</v>
      </c>
      <c r="AK701" s="1">
        <v>1</v>
      </c>
      <c r="AL701" s="1">
        <v>95</v>
      </c>
      <c r="AM701" s="2">
        <v>88.1</v>
      </c>
      <c r="AN701" s="2">
        <f t="shared" si="10"/>
        <v>11.900000000000006</v>
      </c>
      <c r="AO701" s="3">
        <v>700</v>
      </c>
      <c r="AP701" s="3">
        <v>110</v>
      </c>
      <c r="AQ701" s="3">
        <v>130</v>
      </c>
      <c r="AR701" s="3">
        <v>60</v>
      </c>
      <c r="AS701" s="1">
        <v>23.5</v>
      </c>
      <c r="AT701" s="3">
        <v>6</v>
      </c>
      <c r="AU701" s="3" t="s">
        <v>3051</v>
      </c>
    </row>
    <row r="702" spans="1:47" x14ac:dyDescent="0.3">
      <c r="A702" s="1" t="s">
        <v>1969</v>
      </c>
      <c r="B702" s="1" t="s">
        <v>1968</v>
      </c>
      <c r="C702" s="1" t="s">
        <v>197</v>
      </c>
      <c r="D702" s="1" t="s">
        <v>58</v>
      </c>
      <c r="E702" s="1" t="s">
        <v>1967</v>
      </c>
      <c r="F702" t="s">
        <v>3129</v>
      </c>
      <c r="G702" t="s">
        <v>3249</v>
      </c>
      <c r="H702" t="s">
        <v>3165</v>
      </c>
      <c r="I702" t="s">
        <v>52</v>
      </c>
      <c r="J702" t="s">
        <v>52</v>
      </c>
      <c r="K702" t="s">
        <v>52</v>
      </c>
      <c r="L702" s="2">
        <v>0.25</v>
      </c>
      <c r="M702" s="2">
        <v>0.5</v>
      </c>
      <c r="N702" s="2">
        <v>1</v>
      </c>
      <c r="O702" s="2">
        <v>2</v>
      </c>
      <c r="P702" s="2">
        <v>2</v>
      </c>
      <c r="Q702" s="2">
        <v>0.5</v>
      </c>
      <c r="R702" s="2">
        <v>1</v>
      </c>
      <c r="S702" s="2">
        <v>2</v>
      </c>
      <c r="T702" s="2">
        <v>1</v>
      </c>
      <c r="U702" s="2">
        <v>0.5</v>
      </c>
      <c r="V702" s="2">
        <v>0</v>
      </c>
      <c r="W702" s="2">
        <v>2</v>
      </c>
      <c r="X702" s="2">
        <v>1</v>
      </c>
      <c r="Y702" s="2">
        <v>1</v>
      </c>
      <c r="Z702" s="2">
        <v>2</v>
      </c>
      <c r="AA702" s="2">
        <v>1</v>
      </c>
      <c r="AB702" s="2">
        <v>1</v>
      </c>
      <c r="AC702" s="2">
        <v>1</v>
      </c>
      <c r="AD702" s="2">
        <v>92</v>
      </c>
      <c r="AE702" s="2">
        <v>5120</v>
      </c>
      <c r="AF702" s="2">
        <v>70</v>
      </c>
      <c r="AG702" s="2">
        <v>500</v>
      </c>
      <c r="AH702" s="2">
        <v>100</v>
      </c>
      <c r="AI702" s="2">
        <v>75</v>
      </c>
      <c r="AJ702" s="1">
        <v>1000000</v>
      </c>
      <c r="AK702" s="1">
        <v>0.8</v>
      </c>
      <c r="AL702" s="1">
        <v>78</v>
      </c>
      <c r="AM702" s="2">
        <v>50</v>
      </c>
      <c r="AN702" s="2">
        <f t="shared" si="10"/>
        <v>50</v>
      </c>
      <c r="AO702" s="3">
        <v>701</v>
      </c>
      <c r="AP702" s="3">
        <v>74</v>
      </c>
      <c r="AQ702" s="3">
        <v>63</v>
      </c>
      <c r="AR702" s="3">
        <v>118</v>
      </c>
      <c r="AS702" s="1">
        <v>21.5</v>
      </c>
      <c r="AT702" s="3">
        <v>6</v>
      </c>
      <c r="AU702" s="3" t="s">
        <v>3051</v>
      </c>
    </row>
    <row r="703" spans="1:47" x14ac:dyDescent="0.3">
      <c r="A703" s="1" t="s">
        <v>1972</v>
      </c>
      <c r="B703" s="1" t="s">
        <v>1971</v>
      </c>
      <c r="C703" s="1" t="s">
        <v>115</v>
      </c>
      <c r="D703" s="1" t="s">
        <v>141</v>
      </c>
      <c r="E703" s="1" t="s">
        <v>1970</v>
      </c>
      <c r="F703" t="s">
        <v>3201</v>
      </c>
      <c r="G703" t="s">
        <v>3128</v>
      </c>
      <c r="H703" t="s">
        <v>3155</v>
      </c>
      <c r="I703" t="s">
        <v>52</v>
      </c>
      <c r="J703" t="s">
        <v>52</v>
      </c>
      <c r="K703" t="s">
        <v>52</v>
      </c>
      <c r="L703" s="2">
        <v>0.5</v>
      </c>
      <c r="M703" s="2">
        <v>0.5</v>
      </c>
      <c r="N703" s="2">
        <v>0</v>
      </c>
      <c r="O703" s="2">
        <v>0.5</v>
      </c>
      <c r="P703" s="2">
        <v>1</v>
      </c>
      <c r="Q703" s="2">
        <v>0.5</v>
      </c>
      <c r="R703" s="2">
        <v>1</v>
      </c>
      <c r="S703" s="2">
        <v>0.5</v>
      </c>
      <c r="T703" s="2">
        <v>1</v>
      </c>
      <c r="U703" s="2">
        <v>1</v>
      </c>
      <c r="V703" s="2">
        <v>2</v>
      </c>
      <c r="W703" s="2">
        <v>1</v>
      </c>
      <c r="X703" s="2">
        <v>1</v>
      </c>
      <c r="Y703" s="2">
        <v>2</v>
      </c>
      <c r="Z703" s="2">
        <v>1</v>
      </c>
      <c r="AA703" s="2">
        <v>1</v>
      </c>
      <c r="AB703" s="2">
        <v>1</v>
      </c>
      <c r="AC703" s="2">
        <v>1</v>
      </c>
      <c r="AD703" s="2">
        <v>58</v>
      </c>
      <c r="AE703" s="2">
        <v>5120</v>
      </c>
      <c r="AF703" s="2">
        <v>70</v>
      </c>
      <c r="AG703" s="2">
        <v>431</v>
      </c>
      <c r="AH703" s="2">
        <v>180</v>
      </c>
      <c r="AI703" s="2">
        <v>57</v>
      </c>
      <c r="AJ703" s="1">
        <v>1000000</v>
      </c>
      <c r="AK703" s="1">
        <v>0.2</v>
      </c>
      <c r="AL703" s="1">
        <v>67</v>
      </c>
      <c r="AM703" s="2">
        <v>50</v>
      </c>
      <c r="AN703" s="2">
        <f t="shared" si="10"/>
        <v>50</v>
      </c>
      <c r="AO703" s="3">
        <v>702</v>
      </c>
      <c r="AP703" s="3">
        <v>81</v>
      </c>
      <c r="AQ703" s="3">
        <v>67</v>
      </c>
      <c r="AR703" s="3">
        <v>101</v>
      </c>
      <c r="AS703" s="1">
        <v>2.2000000000000002</v>
      </c>
      <c r="AT703" s="3">
        <v>6</v>
      </c>
      <c r="AU703" s="3" t="s">
        <v>3051</v>
      </c>
    </row>
    <row r="704" spans="1:47" x14ac:dyDescent="0.3">
      <c r="A704" s="1" t="s">
        <v>1975</v>
      </c>
      <c r="B704" s="1" t="s">
        <v>1974</v>
      </c>
      <c r="C704" s="1" t="s">
        <v>243</v>
      </c>
      <c r="D704" s="1" t="s">
        <v>141</v>
      </c>
      <c r="E704" s="1" t="s">
        <v>1973</v>
      </c>
      <c r="F704" t="s">
        <v>3090</v>
      </c>
      <c r="G704" t="s">
        <v>3107</v>
      </c>
      <c r="H704" t="s">
        <v>52</v>
      </c>
      <c r="I704" t="s">
        <v>52</v>
      </c>
      <c r="J704" t="s">
        <v>52</v>
      </c>
      <c r="K704" t="s">
        <v>52</v>
      </c>
      <c r="L704" s="2">
        <v>0.5</v>
      </c>
      <c r="M704" s="2">
        <v>0.5</v>
      </c>
      <c r="N704" s="2">
        <v>0</v>
      </c>
      <c r="O704" s="2">
        <v>1</v>
      </c>
      <c r="P704" s="2">
        <v>1</v>
      </c>
      <c r="Q704" s="2">
        <v>1</v>
      </c>
      <c r="R704" s="2">
        <v>0.5</v>
      </c>
      <c r="S704" s="2">
        <v>0.5</v>
      </c>
      <c r="T704" s="2">
        <v>1</v>
      </c>
      <c r="U704" s="2">
        <v>2</v>
      </c>
      <c r="V704" s="2">
        <v>2</v>
      </c>
      <c r="W704" s="2">
        <v>1</v>
      </c>
      <c r="X704" s="2">
        <v>0.5</v>
      </c>
      <c r="Y704" s="2">
        <v>1</v>
      </c>
      <c r="Z704" s="2">
        <v>1</v>
      </c>
      <c r="AA704" s="2">
        <v>1</v>
      </c>
      <c r="AB704" s="2">
        <v>4</v>
      </c>
      <c r="AC704" s="2">
        <v>2</v>
      </c>
      <c r="AD704" s="2">
        <v>50</v>
      </c>
      <c r="AE704" s="2">
        <v>6400</v>
      </c>
      <c r="AF704" s="2">
        <v>70</v>
      </c>
      <c r="AG704" s="2">
        <v>500</v>
      </c>
      <c r="AH704" s="2">
        <v>60</v>
      </c>
      <c r="AI704" s="2">
        <v>150</v>
      </c>
      <c r="AJ704" s="1">
        <v>1250000</v>
      </c>
      <c r="AK704" s="1">
        <v>0.3</v>
      </c>
      <c r="AL704" s="1">
        <v>50</v>
      </c>
      <c r="AM704" s="2" t="s">
        <v>52</v>
      </c>
      <c r="AN704" s="2" t="str">
        <f t="shared" si="10"/>
        <v/>
      </c>
      <c r="AO704" s="3">
        <v>703</v>
      </c>
      <c r="AP704" s="3">
        <v>50</v>
      </c>
      <c r="AQ704" s="3">
        <v>150</v>
      </c>
      <c r="AR704" s="3">
        <v>50</v>
      </c>
      <c r="AS704" s="1">
        <v>5.7</v>
      </c>
      <c r="AT704" s="3">
        <v>6</v>
      </c>
      <c r="AU704" s="3" t="s">
        <v>3051</v>
      </c>
    </row>
    <row r="705" spans="1:47" x14ac:dyDescent="0.3">
      <c r="A705" s="1" t="s">
        <v>1978</v>
      </c>
      <c r="B705" s="1" t="s">
        <v>1977</v>
      </c>
      <c r="C705" s="1" t="s">
        <v>443</v>
      </c>
      <c r="D705" s="1" t="s">
        <v>52</v>
      </c>
      <c r="E705" s="1" t="s">
        <v>1976</v>
      </c>
      <c r="F705" t="s">
        <v>3194</v>
      </c>
      <c r="G705" t="s">
        <v>3071</v>
      </c>
      <c r="H705" t="s">
        <v>3279</v>
      </c>
      <c r="I705" t="s">
        <v>52</v>
      </c>
      <c r="J705" t="s">
        <v>52</v>
      </c>
      <c r="K705" t="s">
        <v>52</v>
      </c>
      <c r="L705" s="2">
        <v>1</v>
      </c>
      <c r="M705" s="2">
        <v>1</v>
      </c>
      <c r="N705" s="2">
        <v>2</v>
      </c>
      <c r="O705" s="2">
        <v>0.5</v>
      </c>
      <c r="P705" s="2">
        <v>2</v>
      </c>
      <c r="Q705" s="2">
        <v>1</v>
      </c>
      <c r="R705" s="2">
        <v>0.5</v>
      </c>
      <c r="S705" s="2">
        <v>1</v>
      </c>
      <c r="T705" s="2">
        <v>1</v>
      </c>
      <c r="U705" s="2">
        <v>0.5</v>
      </c>
      <c r="V705" s="2">
        <v>1</v>
      </c>
      <c r="W705" s="2">
        <v>2</v>
      </c>
      <c r="X705" s="2">
        <v>1</v>
      </c>
      <c r="Y705" s="2">
        <v>1</v>
      </c>
      <c r="Z705" s="2">
        <v>1</v>
      </c>
      <c r="AA705" s="2">
        <v>1</v>
      </c>
      <c r="AB705" s="2">
        <v>1</v>
      </c>
      <c r="AC705" s="2">
        <v>0.5</v>
      </c>
      <c r="AD705" s="2">
        <v>50</v>
      </c>
      <c r="AE705" s="2">
        <v>10240</v>
      </c>
      <c r="AF705" s="2">
        <v>35</v>
      </c>
      <c r="AG705" s="2">
        <v>300</v>
      </c>
      <c r="AH705" s="2">
        <v>45</v>
      </c>
      <c r="AI705" s="2">
        <v>35</v>
      </c>
      <c r="AJ705" s="1">
        <v>1250000</v>
      </c>
      <c r="AK705" s="1">
        <v>0.3</v>
      </c>
      <c r="AL705" s="1">
        <v>45</v>
      </c>
      <c r="AM705" s="2">
        <v>50</v>
      </c>
      <c r="AN705" s="2">
        <f t="shared" si="10"/>
        <v>50</v>
      </c>
      <c r="AO705" s="3">
        <v>704</v>
      </c>
      <c r="AP705" s="3">
        <v>55</v>
      </c>
      <c r="AQ705" s="3">
        <v>75</v>
      </c>
      <c r="AR705" s="3">
        <v>40</v>
      </c>
      <c r="AS705" s="1">
        <v>2.8</v>
      </c>
      <c r="AT705" s="3">
        <v>6</v>
      </c>
      <c r="AU705" s="3" t="s">
        <v>3051</v>
      </c>
    </row>
    <row r="706" spans="1:47" x14ac:dyDescent="0.3">
      <c r="A706" s="1" t="s">
        <v>1980</v>
      </c>
      <c r="B706" s="1" t="s">
        <v>1979</v>
      </c>
      <c r="C706" s="1" t="s">
        <v>443</v>
      </c>
      <c r="D706" s="1" t="s">
        <v>52</v>
      </c>
      <c r="E706" s="1" t="s">
        <v>1976</v>
      </c>
      <c r="F706" t="s">
        <v>3194</v>
      </c>
      <c r="G706" t="s">
        <v>3071</v>
      </c>
      <c r="H706" t="s">
        <v>3279</v>
      </c>
      <c r="I706" t="s">
        <v>52</v>
      </c>
      <c r="J706" t="s">
        <v>52</v>
      </c>
      <c r="K706" t="s">
        <v>52</v>
      </c>
      <c r="L706" s="2">
        <v>1</v>
      </c>
      <c r="M706" s="2">
        <v>1</v>
      </c>
      <c r="N706" s="2">
        <v>2</v>
      </c>
      <c r="O706" s="2">
        <v>0.5</v>
      </c>
      <c r="P706" s="2">
        <v>2</v>
      </c>
      <c r="Q706" s="2">
        <v>1</v>
      </c>
      <c r="R706" s="2">
        <v>0.5</v>
      </c>
      <c r="S706" s="2">
        <v>1</v>
      </c>
      <c r="T706" s="2">
        <v>1</v>
      </c>
      <c r="U706" s="2">
        <v>0.5</v>
      </c>
      <c r="V706" s="2">
        <v>1</v>
      </c>
      <c r="W706" s="2">
        <v>2</v>
      </c>
      <c r="X706" s="2">
        <v>1</v>
      </c>
      <c r="Y706" s="2">
        <v>1</v>
      </c>
      <c r="Z706" s="2">
        <v>1</v>
      </c>
      <c r="AA706" s="2">
        <v>1</v>
      </c>
      <c r="AB706" s="2">
        <v>1</v>
      </c>
      <c r="AC706" s="2">
        <v>0.5</v>
      </c>
      <c r="AD706" s="2">
        <v>75</v>
      </c>
      <c r="AE706" s="2">
        <v>10240</v>
      </c>
      <c r="AF706" s="2">
        <v>35</v>
      </c>
      <c r="AG706" s="2">
        <v>452</v>
      </c>
      <c r="AH706" s="2">
        <v>45</v>
      </c>
      <c r="AI706" s="2">
        <v>53</v>
      </c>
      <c r="AJ706" s="1">
        <v>1250000</v>
      </c>
      <c r="AK706" s="1">
        <v>0.8</v>
      </c>
      <c r="AL706" s="1">
        <v>68</v>
      </c>
      <c r="AM706" s="2">
        <v>50</v>
      </c>
      <c r="AN706" s="2">
        <f t="shared" si="10"/>
        <v>50</v>
      </c>
      <c r="AO706" s="3">
        <v>705</v>
      </c>
      <c r="AP706" s="3">
        <v>83</v>
      </c>
      <c r="AQ706" s="3">
        <v>113</v>
      </c>
      <c r="AR706" s="3">
        <v>60</v>
      </c>
      <c r="AS706" s="1">
        <v>17.5</v>
      </c>
      <c r="AT706" s="3">
        <v>6</v>
      </c>
      <c r="AU706" s="3" t="s">
        <v>3051</v>
      </c>
    </row>
    <row r="707" spans="1:47" x14ac:dyDescent="0.3">
      <c r="A707" s="1" t="s">
        <v>1982</v>
      </c>
      <c r="B707" s="1" t="s">
        <v>1981</v>
      </c>
      <c r="C707" s="1" t="s">
        <v>443</v>
      </c>
      <c r="D707" s="1" t="s">
        <v>52</v>
      </c>
      <c r="E707" s="1" t="s">
        <v>357</v>
      </c>
      <c r="F707" t="s">
        <v>3194</v>
      </c>
      <c r="G707" t="s">
        <v>3071</v>
      </c>
      <c r="H707" t="s">
        <v>3279</v>
      </c>
      <c r="I707" t="s">
        <v>52</v>
      </c>
      <c r="J707" t="s">
        <v>52</v>
      </c>
      <c r="K707" t="s">
        <v>52</v>
      </c>
      <c r="L707" s="2">
        <v>1</v>
      </c>
      <c r="M707" s="2">
        <v>1</v>
      </c>
      <c r="N707" s="2">
        <v>2</v>
      </c>
      <c r="O707" s="2">
        <v>0.5</v>
      </c>
      <c r="P707" s="2">
        <v>2</v>
      </c>
      <c r="Q707" s="2">
        <v>1</v>
      </c>
      <c r="R707" s="2">
        <v>0.5</v>
      </c>
      <c r="S707" s="2">
        <v>1</v>
      </c>
      <c r="T707" s="2">
        <v>1</v>
      </c>
      <c r="U707" s="2">
        <v>0.5</v>
      </c>
      <c r="V707" s="2">
        <v>1</v>
      </c>
      <c r="W707" s="2">
        <v>2</v>
      </c>
      <c r="X707" s="2">
        <v>1</v>
      </c>
      <c r="Y707" s="2">
        <v>1</v>
      </c>
      <c r="Z707" s="2">
        <v>1</v>
      </c>
      <c r="AA707" s="2">
        <v>1</v>
      </c>
      <c r="AB707" s="2">
        <v>1</v>
      </c>
      <c r="AC707" s="2">
        <v>0.5</v>
      </c>
      <c r="AD707" s="2">
        <v>100</v>
      </c>
      <c r="AE707" s="2">
        <v>10240</v>
      </c>
      <c r="AF707" s="2">
        <v>35</v>
      </c>
      <c r="AG707" s="2">
        <v>600</v>
      </c>
      <c r="AH707" s="2">
        <v>45</v>
      </c>
      <c r="AI707" s="2">
        <v>70</v>
      </c>
      <c r="AJ707" s="1">
        <v>1250000</v>
      </c>
      <c r="AK707" s="1">
        <v>2</v>
      </c>
      <c r="AL707" s="1">
        <v>90</v>
      </c>
      <c r="AM707" s="2">
        <v>50</v>
      </c>
      <c r="AN707" s="2">
        <f t="shared" ref="AN707:AN770" si="11">IF(AM707="","",100-AM707)</f>
        <v>50</v>
      </c>
      <c r="AO707" s="3">
        <v>706</v>
      </c>
      <c r="AP707" s="3">
        <v>110</v>
      </c>
      <c r="AQ707" s="3">
        <v>150</v>
      </c>
      <c r="AR707" s="3">
        <v>80</v>
      </c>
      <c r="AS707" s="1">
        <v>150.5</v>
      </c>
      <c r="AT707" s="3">
        <v>6</v>
      </c>
      <c r="AU707" s="3" t="s">
        <v>3051</v>
      </c>
    </row>
    <row r="708" spans="1:47" x14ac:dyDescent="0.3">
      <c r="A708" s="1" t="s">
        <v>1985</v>
      </c>
      <c r="B708" s="1" t="s">
        <v>1984</v>
      </c>
      <c r="C708" s="1" t="s">
        <v>263</v>
      </c>
      <c r="D708" s="1" t="s">
        <v>141</v>
      </c>
      <c r="E708" s="1" t="s">
        <v>1983</v>
      </c>
      <c r="F708" t="s">
        <v>3182</v>
      </c>
      <c r="G708" t="s">
        <v>3091</v>
      </c>
      <c r="H708" t="s">
        <v>52</v>
      </c>
      <c r="I708" t="s">
        <v>52</v>
      </c>
      <c r="J708" t="s">
        <v>52</v>
      </c>
      <c r="K708" t="s">
        <v>52</v>
      </c>
      <c r="L708" s="2">
        <v>0.25</v>
      </c>
      <c r="M708" s="2">
        <v>0.5</v>
      </c>
      <c r="N708" s="2">
        <v>0</v>
      </c>
      <c r="O708" s="2">
        <v>1</v>
      </c>
      <c r="P708" s="2">
        <v>0.5</v>
      </c>
      <c r="Q708" s="2">
        <v>1</v>
      </c>
      <c r="R708" s="2">
        <v>2</v>
      </c>
      <c r="S708" s="2">
        <v>0.5</v>
      </c>
      <c r="T708" s="2">
        <v>1</v>
      </c>
      <c r="U708" s="2">
        <v>0.5</v>
      </c>
      <c r="V708" s="2">
        <v>2</v>
      </c>
      <c r="W708" s="2">
        <v>0.5</v>
      </c>
      <c r="X708" s="2">
        <v>0.5</v>
      </c>
      <c r="Y708" s="2">
        <v>0</v>
      </c>
      <c r="Z708" s="2">
        <v>0.5</v>
      </c>
      <c r="AA708" s="2">
        <v>0.5</v>
      </c>
      <c r="AB708" s="2">
        <v>1</v>
      </c>
      <c r="AC708" s="2">
        <v>1</v>
      </c>
      <c r="AD708" s="2">
        <v>80</v>
      </c>
      <c r="AE708" s="2">
        <v>5120</v>
      </c>
      <c r="AF708" s="2">
        <v>70</v>
      </c>
      <c r="AG708" s="2">
        <v>470</v>
      </c>
      <c r="AH708" s="2">
        <v>75</v>
      </c>
      <c r="AI708" s="2">
        <v>91</v>
      </c>
      <c r="AJ708" s="1">
        <v>800000</v>
      </c>
      <c r="AK708" s="1">
        <v>0.2</v>
      </c>
      <c r="AL708" s="1">
        <v>57</v>
      </c>
      <c r="AM708" s="2">
        <v>50</v>
      </c>
      <c r="AN708" s="2">
        <f t="shared" si="11"/>
        <v>50</v>
      </c>
      <c r="AO708" s="3">
        <v>707</v>
      </c>
      <c r="AP708" s="3">
        <v>80</v>
      </c>
      <c r="AQ708" s="3">
        <v>87</v>
      </c>
      <c r="AR708" s="3">
        <v>75</v>
      </c>
      <c r="AS708" s="1">
        <v>3</v>
      </c>
      <c r="AT708" s="3">
        <v>6</v>
      </c>
      <c r="AU708" s="3" t="s">
        <v>3051</v>
      </c>
    </row>
    <row r="709" spans="1:47" x14ac:dyDescent="0.3">
      <c r="A709" s="1" t="s">
        <v>1988</v>
      </c>
      <c r="B709" s="1" t="s">
        <v>1987</v>
      </c>
      <c r="C709" s="1" t="s">
        <v>293</v>
      </c>
      <c r="D709" s="1" t="s">
        <v>42</v>
      </c>
      <c r="E709" s="1" t="s">
        <v>1986</v>
      </c>
      <c r="F709" t="s">
        <v>3058</v>
      </c>
      <c r="G709" t="s">
        <v>3186</v>
      </c>
      <c r="H709" t="s">
        <v>3248</v>
      </c>
      <c r="I709" t="s">
        <v>52</v>
      </c>
      <c r="J709" t="s">
        <v>52</v>
      </c>
      <c r="K709" t="s">
        <v>52</v>
      </c>
      <c r="L709" s="2">
        <v>1</v>
      </c>
      <c r="M709" s="2">
        <v>2</v>
      </c>
      <c r="N709" s="2">
        <v>1</v>
      </c>
      <c r="O709" s="2">
        <v>0.5</v>
      </c>
      <c r="P709" s="2">
        <v>1</v>
      </c>
      <c r="Q709" s="2">
        <v>0</v>
      </c>
      <c r="R709" s="2">
        <v>2</v>
      </c>
      <c r="S709" s="2">
        <v>2</v>
      </c>
      <c r="T709" s="2">
        <v>2</v>
      </c>
      <c r="U709" s="2">
        <v>0.5</v>
      </c>
      <c r="V709" s="2">
        <v>0.5</v>
      </c>
      <c r="W709" s="2">
        <v>2</v>
      </c>
      <c r="X709" s="2">
        <v>0</v>
      </c>
      <c r="Y709" s="2">
        <v>1</v>
      </c>
      <c r="Z709" s="2">
        <v>1</v>
      </c>
      <c r="AA709" s="2">
        <v>1</v>
      </c>
      <c r="AB709" s="2">
        <v>1</v>
      </c>
      <c r="AC709" s="2">
        <v>0.5</v>
      </c>
      <c r="AD709" s="2">
        <v>70</v>
      </c>
      <c r="AE709" s="2">
        <v>5120</v>
      </c>
      <c r="AF709" s="2">
        <v>70</v>
      </c>
      <c r="AG709" s="2">
        <v>309</v>
      </c>
      <c r="AH709" s="2">
        <v>120</v>
      </c>
      <c r="AI709" s="2">
        <v>48</v>
      </c>
      <c r="AJ709" s="1">
        <v>1000000</v>
      </c>
      <c r="AK709" s="1">
        <v>0.4</v>
      </c>
      <c r="AL709" s="1">
        <v>43</v>
      </c>
      <c r="AM709" s="2">
        <v>50</v>
      </c>
      <c r="AN709" s="2">
        <f t="shared" si="11"/>
        <v>50</v>
      </c>
      <c r="AO709" s="3">
        <v>708</v>
      </c>
      <c r="AP709" s="3">
        <v>50</v>
      </c>
      <c r="AQ709" s="3">
        <v>60</v>
      </c>
      <c r="AR709" s="3">
        <v>38</v>
      </c>
      <c r="AS709" s="1">
        <v>7</v>
      </c>
      <c r="AT709" s="3">
        <v>6</v>
      </c>
      <c r="AU709" s="3" t="s">
        <v>3051</v>
      </c>
    </row>
    <row r="710" spans="1:47" x14ac:dyDescent="0.3">
      <c r="A710" s="1" t="s">
        <v>1991</v>
      </c>
      <c r="B710" s="1" t="s">
        <v>1990</v>
      </c>
      <c r="C710" s="1" t="s">
        <v>293</v>
      </c>
      <c r="D710" s="1" t="s">
        <v>42</v>
      </c>
      <c r="E710" s="1" t="s">
        <v>1989</v>
      </c>
      <c r="F710" t="s">
        <v>3058</v>
      </c>
      <c r="G710" t="s">
        <v>3186</v>
      </c>
      <c r="H710" t="s">
        <v>3248</v>
      </c>
      <c r="I710" t="s">
        <v>52</v>
      </c>
      <c r="J710" t="s">
        <v>52</v>
      </c>
      <c r="K710" t="s">
        <v>52</v>
      </c>
      <c r="L710" s="2">
        <v>1</v>
      </c>
      <c r="M710" s="2">
        <v>2</v>
      </c>
      <c r="N710" s="2">
        <v>1</v>
      </c>
      <c r="O710" s="2">
        <v>0.5</v>
      </c>
      <c r="P710" s="2">
        <v>1</v>
      </c>
      <c r="Q710" s="2">
        <v>0</v>
      </c>
      <c r="R710" s="2">
        <v>2</v>
      </c>
      <c r="S710" s="2">
        <v>2</v>
      </c>
      <c r="T710" s="2">
        <v>2</v>
      </c>
      <c r="U710" s="2">
        <v>0.5</v>
      </c>
      <c r="V710" s="2">
        <v>0.5</v>
      </c>
      <c r="W710" s="2">
        <v>2</v>
      </c>
      <c r="X710" s="2">
        <v>0</v>
      </c>
      <c r="Y710" s="2">
        <v>1</v>
      </c>
      <c r="Z710" s="2">
        <v>1</v>
      </c>
      <c r="AA710" s="2">
        <v>1</v>
      </c>
      <c r="AB710" s="2">
        <v>1</v>
      </c>
      <c r="AC710" s="2">
        <v>0.5</v>
      </c>
      <c r="AD710" s="2">
        <v>110</v>
      </c>
      <c r="AE710" s="2">
        <v>5120</v>
      </c>
      <c r="AF710" s="2">
        <v>70</v>
      </c>
      <c r="AG710" s="2">
        <v>474</v>
      </c>
      <c r="AH710" s="2">
        <v>60</v>
      </c>
      <c r="AI710" s="2">
        <v>76</v>
      </c>
      <c r="AJ710" s="1">
        <v>1000000</v>
      </c>
      <c r="AK710" s="1">
        <v>1.5</v>
      </c>
      <c r="AL710" s="1">
        <v>85</v>
      </c>
      <c r="AM710" s="2">
        <v>50</v>
      </c>
      <c r="AN710" s="2">
        <f t="shared" si="11"/>
        <v>50</v>
      </c>
      <c r="AO710" s="3">
        <v>709</v>
      </c>
      <c r="AP710" s="3">
        <v>65</v>
      </c>
      <c r="AQ710" s="3">
        <v>82</v>
      </c>
      <c r="AR710" s="3">
        <v>56</v>
      </c>
      <c r="AS710" s="1">
        <v>71</v>
      </c>
      <c r="AT710" s="3">
        <v>6</v>
      </c>
      <c r="AU710" s="3" t="s">
        <v>3051</v>
      </c>
    </row>
    <row r="711" spans="1:47" x14ac:dyDescent="0.3">
      <c r="A711" s="1" t="s">
        <v>1994</v>
      </c>
      <c r="B711" s="1" t="s">
        <v>1993</v>
      </c>
      <c r="C711" s="1" t="s">
        <v>293</v>
      </c>
      <c r="D711" s="1" t="s">
        <v>42</v>
      </c>
      <c r="E711" s="1" t="s">
        <v>1992</v>
      </c>
      <c r="F711" t="s">
        <v>3128</v>
      </c>
      <c r="G711" t="s">
        <v>3186</v>
      </c>
      <c r="H711" t="s">
        <v>3137</v>
      </c>
      <c r="I711" t="s">
        <v>52</v>
      </c>
      <c r="J711" t="s">
        <v>52</v>
      </c>
      <c r="K711" t="s">
        <v>52</v>
      </c>
      <c r="L711" s="2">
        <v>1</v>
      </c>
      <c r="M711" s="2">
        <v>2</v>
      </c>
      <c r="N711" s="2">
        <v>1</v>
      </c>
      <c r="O711" s="2">
        <v>0.5</v>
      </c>
      <c r="P711" s="2">
        <v>1</v>
      </c>
      <c r="Q711" s="2">
        <v>0</v>
      </c>
      <c r="R711" s="2">
        <v>2</v>
      </c>
      <c r="S711" s="2">
        <v>2</v>
      </c>
      <c r="T711" s="2">
        <v>2</v>
      </c>
      <c r="U711" s="2">
        <v>0.5</v>
      </c>
      <c r="V711" s="2">
        <v>0.5</v>
      </c>
      <c r="W711" s="2">
        <v>2</v>
      </c>
      <c r="X711" s="2">
        <v>0</v>
      </c>
      <c r="Y711" s="2">
        <v>1</v>
      </c>
      <c r="Z711" s="2">
        <v>1</v>
      </c>
      <c r="AA711" s="2">
        <v>1</v>
      </c>
      <c r="AB711" s="2">
        <v>1</v>
      </c>
      <c r="AC711" s="2">
        <v>0.5</v>
      </c>
      <c r="AD711" s="2">
        <v>66</v>
      </c>
      <c r="AE711" s="2">
        <v>5120</v>
      </c>
      <c r="AF711" s="2">
        <v>70</v>
      </c>
      <c r="AG711" s="2">
        <v>335</v>
      </c>
      <c r="AH711" s="2">
        <v>120</v>
      </c>
      <c r="AI711" s="2">
        <v>70</v>
      </c>
      <c r="AJ711" s="1">
        <v>1000000</v>
      </c>
      <c r="AK711" s="1">
        <v>0.8</v>
      </c>
      <c r="AL711" s="1">
        <v>59</v>
      </c>
      <c r="AM711" s="2">
        <v>50</v>
      </c>
      <c r="AN711" s="2">
        <f t="shared" si="11"/>
        <v>50</v>
      </c>
      <c r="AO711" s="3">
        <v>710</v>
      </c>
      <c r="AP711" s="3">
        <v>44</v>
      </c>
      <c r="AQ711" s="3">
        <v>55</v>
      </c>
      <c r="AR711" s="3">
        <v>41</v>
      </c>
      <c r="AS711" s="1">
        <v>15</v>
      </c>
      <c r="AT711" s="3">
        <v>6</v>
      </c>
      <c r="AU711" s="3" t="s">
        <v>3051</v>
      </c>
    </row>
    <row r="712" spans="1:47" x14ac:dyDescent="0.3">
      <c r="A712" s="1" t="s">
        <v>1996</v>
      </c>
      <c r="B712" s="1" t="s">
        <v>1995</v>
      </c>
      <c r="C712" s="1" t="s">
        <v>293</v>
      </c>
      <c r="D712" s="1" t="s">
        <v>42</v>
      </c>
      <c r="E712" s="1" t="s">
        <v>1992</v>
      </c>
      <c r="F712" t="s">
        <v>3128</v>
      </c>
      <c r="G712" t="s">
        <v>3186</v>
      </c>
      <c r="H712" t="s">
        <v>3137</v>
      </c>
      <c r="I712" t="s">
        <v>52</v>
      </c>
      <c r="J712" t="s">
        <v>52</v>
      </c>
      <c r="K712" t="s">
        <v>52</v>
      </c>
      <c r="L712" s="2">
        <v>1</v>
      </c>
      <c r="M712" s="2">
        <v>2</v>
      </c>
      <c r="N712" s="2">
        <v>1</v>
      </c>
      <c r="O712" s="2">
        <v>0.5</v>
      </c>
      <c r="P712" s="2">
        <v>1</v>
      </c>
      <c r="Q712" s="2">
        <v>0</v>
      </c>
      <c r="R712" s="2">
        <v>2</v>
      </c>
      <c r="S712" s="2">
        <v>2</v>
      </c>
      <c r="T712" s="2">
        <v>2</v>
      </c>
      <c r="U712" s="2">
        <v>0.5</v>
      </c>
      <c r="V712" s="2">
        <v>0.5</v>
      </c>
      <c r="W712" s="2">
        <v>2</v>
      </c>
      <c r="X712" s="2">
        <v>0</v>
      </c>
      <c r="Y712" s="2">
        <v>1</v>
      </c>
      <c r="Z712" s="2">
        <v>1</v>
      </c>
      <c r="AA712" s="2">
        <v>1</v>
      </c>
      <c r="AB712" s="2">
        <v>1</v>
      </c>
      <c r="AC712" s="2">
        <v>0.5</v>
      </c>
      <c r="AD712" s="2">
        <v>100</v>
      </c>
      <c r="AE712" s="2">
        <v>5120</v>
      </c>
      <c r="AF712" s="2">
        <v>70</v>
      </c>
      <c r="AG712" s="2">
        <v>494</v>
      </c>
      <c r="AH712" s="2">
        <v>60</v>
      </c>
      <c r="AI712" s="2">
        <v>122</v>
      </c>
      <c r="AJ712" s="1">
        <v>1000000</v>
      </c>
      <c r="AK712" s="1">
        <v>1.7</v>
      </c>
      <c r="AL712" s="1">
        <v>85</v>
      </c>
      <c r="AM712" s="2">
        <v>50</v>
      </c>
      <c r="AN712" s="2">
        <f t="shared" si="11"/>
        <v>50</v>
      </c>
      <c r="AO712" s="3">
        <v>711</v>
      </c>
      <c r="AP712" s="3">
        <v>58</v>
      </c>
      <c r="AQ712" s="3">
        <v>75</v>
      </c>
      <c r="AR712" s="3">
        <v>54</v>
      </c>
      <c r="AS712" s="1">
        <v>39</v>
      </c>
      <c r="AT712" s="3">
        <v>6</v>
      </c>
      <c r="AU712" s="3" t="s">
        <v>3051</v>
      </c>
    </row>
    <row r="713" spans="1:47" x14ac:dyDescent="0.3">
      <c r="A713" s="1" t="s">
        <v>1999</v>
      </c>
      <c r="B713" s="1" t="s">
        <v>1998</v>
      </c>
      <c r="C713" s="1" t="s">
        <v>121</v>
      </c>
      <c r="D713" s="1" t="s">
        <v>52</v>
      </c>
      <c r="E713" s="1" t="s">
        <v>1997</v>
      </c>
      <c r="F713" t="s">
        <v>3140</v>
      </c>
      <c r="G713" t="s">
        <v>3188</v>
      </c>
      <c r="H713" t="s">
        <v>3107</v>
      </c>
      <c r="I713" t="s">
        <v>52</v>
      </c>
      <c r="J713" t="s">
        <v>52</v>
      </c>
      <c r="K713" t="s">
        <v>52</v>
      </c>
      <c r="L713" s="2">
        <v>1</v>
      </c>
      <c r="M713" s="2">
        <v>1</v>
      </c>
      <c r="N713" s="2">
        <v>1</v>
      </c>
      <c r="O713" s="2">
        <v>1</v>
      </c>
      <c r="P713" s="2">
        <v>1</v>
      </c>
      <c r="Q713" s="2">
        <v>2</v>
      </c>
      <c r="R713" s="2">
        <v>2</v>
      </c>
      <c r="S713" s="2">
        <v>1</v>
      </c>
      <c r="T713" s="2">
        <v>1</v>
      </c>
      <c r="U713" s="2">
        <v>1</v>
      </c>
      <c r="V713" s="2">
        <v>1</v>
      </c>
      <c r="W713" s="2">
        <v>0.5</v>
      </c>
      <c r="X713" s="2">
        <v>1</v>
      </c>
      <c r="Y713" s="2">
        <v>1</v>
      </c>
      <c r="Z713" s="2">
        <v>1</v>
      </c>
      <c r="AA713" s="2">
        <v>2</v>
      </c>
      <c r="AB713" s="2">
        <v>2</v>
      </c>
      <c r="AC713" s="2">
        <v>1</v>
      </c>
      <c r="AD713" s="2">
        <v>69</v>
      </c>
      <c r="AE713" s="2">
        <v>5120</v>
      </c>
      <c r="AF713" s="2">
        <v>70</v>
      </c>
      <c r="AG713" s="2">
        <v>304</v>
      </c>
      <c r="AH713" s="2">
        <v>190</v>
      </c>
      <c r="AI713" s="2">
        <v>85</v>
      </c>
      <c r="AJ713" s="1">
        <v>1000000</v>
      </c>
      <c r="AK713" s="1">
        <v>1</v>
      </c>
      <c r="AL713" s="1">
        <v>55</v>
      </c>
      <c r="AM713" s="2">
        <v>50</v>
      </c>
      <c r="AN713" s="2">
        <f t="shared" si="11"/>
        <v>50</v>
      </c>
      <c r="AO713" s="3">
        <v>712</v>
      </c>
      <c r="AP713" s="3">
        <v>32</v>
      </c>
      <c r="AQ713" s="3">
        <v>35</v>
      </c>
      <c r="AR713" s="3">
        <v>28</v>
      </c>
      <c r="AS713" s="1">
        <v>99.5</v>
      </c>
      <c r="AT713" s="3">
        <v>6</v>
      </c>
      <c r="AU713" s="3" t="s">
        <v>3051</v>
      </c>
    </row>
    <row r="714" spans="1:47" x14ac:dyDescent="0.3">
      <c r="A714" s="1" t="s">
        <v>2001</v>
      </c>
      <c r="B714" s="1" t="s">
        <v>2000</v>
      </c>
      <c r="C714" s="1" t="s">
        <v>121</v>
      </c>
      <c r="D714" s="1" t="s">
        <v>52</v>
      </c>
      <c r="E714" s="1" t="s">
        <v>1077</v>
      </c>
      <c r="F714" t="s">
        <v>3140</v>
      </c>
      <c r="G714" t="s">
        <v>3188</v>
      </c>
      <c r="H714" t="s">
        <v>3107</v>
      </c>
      <c r="I714" t="s">
        <v>52</v>
      </c>
      <c r="J714" t="s">
        <v>52</v>
      </c>
      <c r="K714" t="s">
        <v>52</v>
      </c>
      <c r="L714" s="2">
        <v>1</v>
      </c>
      <c r="M714" s="2">
        <v>1</v>
      </c>
      <c r="N714" s="2">
        <v>1</v>
      </c>
      <c r="O714" s="2">
        <v>1</v>
      </c>
      <c r="P714" s="2">
        <v>1</v>
      </c>
      <c r="Q714" s="2">
        <v>2</v>
      </c>
      <c r="R714" s="2">
        <v>2</v>
      </c>
      <c r="S714" s="2">
        <v>1</v>
      </c>
      <c r="T714" s="2">
        <v>1</v>
      </c>
      <c r="U714" s="2">
        <v>1</v>
      </c>
      <c r="V714" s="2">
        <v>1</v>
      </c>
      <c r="W714" s="2">
        <v>0.5</v>
      </c>
      <c r="X714" s="2">
        <v>1</v>
      </c>
      <c r="Y714" s="2">
        <v>1</v>
      </c>
      <c r="Z714" s="2">
        <v>1</v>
      </c>
      <c r="AA714" s="2">
        <v>2</v>
      </c>
      <c r="AB714" s="2">
        <v>2</v>
      </c>
      <c r="AC714" s="2">
        <v>1</v>
      </c>
      <c r="AD714" s="2">
        <v>117</v>
      </c>
      <c r="AE714" s="2">
        <v>5120</v>
      </c>
      <c r="AF714" s="2">
        <v>70</v>
      </c>
      <c r="AG714" s="2">
        <v>514</v>
      </c>
      <c r="AH714" s="2">
        <v>55</v>
      </c>
      <c r="AI714" s="2">
        <v>184</v>
      </c>
      <c r="AJ714" s="1">
        <v>1000000</v>
      </c>
      <c r="AK714" s="1">
        <v>2</v>
      </c>
      <c r="AL714" s="1">
        <v>95</v>
      </c>
      <c r="AM714" s="2">
        <v>50</v>
      </c>
      <c r="AN714" s="2">
        <f t="shared" si="11"/>
        <v>50</v>
      </c>
      <c r="AO714" s="3">
        <v>713</v>
      </c>
      <c r="AP714" s="3">
        <v>44</v>
      </c>
      <c r="AQ714" s="3">
        <v>46</v>
      </c>
      <c r="AR714" s="3">
        <v>28</v>
      </c>
      <c r="AS714" s="1">
        <v>505</v>
      </c>
      <c r="AT714" s="3">
        <v>6</v>
      </c>
      <c r="AU714" s="3" t="s">
        <v>3051</v>
      </c>
    </row>
    <row r="715" spans="1:47" x14ac:dyDescent="0.3">
      <c r="A715" s="1" t="s">
        <v>2004</v>
      </c>
      <c r="B715" s="1" t="s">
        <v>2003</v>
      </c>
      <c r="C715" s="1" t="s">
        <v>58</v>
      </c>
      <c r="D715" s="1" t="s">
        <v>443</v>
      </c>
      <c r="E715" s="1" t="s">
        <v>2002</v>
      </c>
      <c r="F715" t="s">
        <v>3186</v>
      </c>
      <c r="G715" t="s">
        <v>3234</v>
      </c>
      <c r="H715" t="s">
        <v>3189</v>
      </c>
      <c r="I715" t="s">
        <v>52</v>
      </c>
      <c r="J715" t="s">
        <v>52</v>
      </c>
      <c r="K715" t="s">
        <v>52</v>
      </c>
      <c r="L715" s="2">
        <v>0.5</v>
      </c>
      <c r="M715" s="2">
        <v>1</v>
      </c>
      <c r="N715" s="2">
        <v>2</v>
      </c>
      <c r="O715" s="2">
        <v>1</v>
      </c>
      <c r="P715" s="2">
        <v>2</v>
      </c>
      <c r="Q715" s="2">
        <v>0.5</v>
      </c>
      <c r="R715" s="2">
        <v>0.5</v>
      </c>
      <c r="S715" s="2">
        <v>1</v>
      </c>
      <c r="T715" s="2">
        <v>1</v>
      </c>
      <c r="U715" s="2">
        <v>0.25</v>
      </c>
      <c r="V715" s="2">
        <v>0</v>
      </c>
      <c r="W715" s="2">
        <v>4</v>
      </c>
      <c r="X715" s="2">
        <v>1</v>
      </c>
      <c r="Y715" s="2">
        <v>1</v>
      </c>
      <c r="Z715" s="2">
        <v>1</v>
      </c>
      <c r="AA715" s="2">
        <v>2</v>
      </c>
      <c r="AB715" s="2">
        <v>1</v>
      </c>
      <c r="AC715" s="2">
        <v>0.5</v>
      </c>
      <c r="AD715" s="2">
        <v>30</v>
      </c>
      <c r="AE715" s="2">
        <v>5120</v>
      </c>
      <c r="AF715" s="2">
        <v>70</v>
      </c>
      <c r="AG715" s="2">
        <v>245</v>
      </c>
      <c r="AH715" s="2">
        <v>190</v>
      </c>
      <c r="AI715" s="2">
        <v>35</v>
      </c>
      <c r="AJ715" s="1">
        <v>1000000</v>
      </c>
      <c r="AK715" s="1">
        <v>0.5</v>
      </c>
      <c r="AL715" s="1">
        <v>40</v>
      </c>
      <c r="AM715" s="2">
        <v>50</v>
      </c>
      <c r="AN715" s="2">
        <f t="shared" si="11"/>
        <v>50</v>
      </c>
      <c r="AO715" s="3">
        <v>714</v>
      </c>
      <c r="AP715" s="3">
        <v>45</v>
      </c>
      <c r="AQ715" s="3">
        <v>40</v>
      </c>
      <c r="AR715" s="3">
        <v>55</v>
      </c>
      <c r="AS715" s="1">
        <v>8</v>
      </c>
      <c r="AT715" s="3">
        <v>6</v>
      </c>
      <c r="AU715" s="3" t="s">
        <v>3051</v>
      </c>
    </row>
    <row r="716" spans="1:47" x14ac:dyDescent="0.3">
      <c r="A716" s="1" t="s">
        <v>2006</v>
      </c>
      <c r="B716" s="1" t="s">
        <v>2005</v>
      </c>
      <c r="C716" s="1" t="s">
        <v>58</v>
      </c>
      <c r="D716" s="1" t="s">
        <v>443</v>
      </c>
      <c r="E716" s="1" t="s">
        <v>2002</v>
      </c>
      <c r="F716" t="s">
        <v>3186</v>
      </c>
      <c r="G716" t="s">
        <v>3234</v>
      </c>
      <c r="H716" t="s">
        <v>3189</v>
      </c>
      <c r="I716" t="s">
        <v>52</v>
      </c>
      <c r="J716" t="s">
        <v>52</v>
      </c>
      <c r="K716" t="s">
        <v>52</v>
      </c>
      <c r="L716" s="2">
        <v>0.5</v>
      </c>
      <c r="M716" s="2">
        <v>1</v>
      </c>
      <c r="N716" s="2">
        <v>2</v>
      </c>
      <c r="O716" s="2">
        <v>1</v>
      </c>
      <c r="P716" s="2">
        <v>2</v>
      </c>
      <c r="Q716" s="2">
        <v>0.5</v>
      </c>
      <c r="R716" s="2">
        <v>0.5</v>
      </c>
      <c r="S716" s="2">
        <v>1</v>
      </c>
      <c r="T716" s="2">
        <v>1</v>
      </c>
      <c r="U716" s="2">
        <v>0.25</v>
      </c>
      <c r="V716" s="2">
        <v>0</v>
      </c>
      <c r="W716" s="2">
        <v>4</v>
      </c>
      <c r="X716" s="2">
        <v>1</v>
      </c>
      <c r="Y716" s="2">
        <v>1</v>
      </c>
      <c r="Z716" s="2">
        <v>1</v>
      </c>
      <c r="AA716" s="2">
        <v>2</v>
      </c>
      <c r="AB716" s="2">
        <v>1</v>
      </c>
      <c r="AC716" s="2">
        <v>0.5</v>
      </c>
      <c r="AD716" s="2">
        <v>70</v>
      </c>
      <c r="AE716" s="2">
        <v>5120</v>
      </c>
      <c r="AF716" s="2">
        <v>70</v>
      </c>
      <c r="AG716" s="2">
        <v>535</v>
      </c>
      <c r="AH716" s="2">
        <v>45</v>
      </c>
      <c r="AI716" s="2">
        <v>80</v>
      </c>
      <c r="AJ716" s="1">
        <v>1000000</v>
      </c>
      <c r="AK716" s="1">
        <v>1.5</v>
      </c>
      <c r="AL716" s="1">
        <v>85</v>
      </c>
      <c r="AM716" s="2">
        <v>50</v>
      </c>
      <c r="AN716" s="2">
        <f t="shared" si="11"/>
        <v>50</v>
      </c>
      <c r="AO716" s="3">
        <v>715</v>
      </c>
      <c r="AP716" s="3">
        <v>97</v>
      </c>
      <c r="AQ716" s="3">
        <v>80</v>
      </c>
      <c r="AR716" s="3">
        <v>123</v>
      </c>
      <c r="AS716" s="1">
        <v>85</v>
      </c>
      <c r="AT716" s="3">
        <v>6</v>
      </c>
      <c r="AU716" s="3" t="s">
        <v>3051</v>
      </c>
    </row>
    <row r="717" spans="1:47" x14ac:dyDescent="0.3">
      <c r="A717" s="1" t="s">
        <v>2009</v>
      </c>
      <c r="B717" s="1" t="s">
        <v>2008</v>
      </c>
      <c r="C717" s="1" t="s">
        <v>141</v>
      </c>
      <c r="D717" s="1" t="s">
        <v>52</v>
      </c>
      <c r="E717" s="1" t="s">
        <v>2007</v>
      </c>
      <c r="F717" t="s">
        <v>3088</v>
      </c>
      <c r="G717" t="s">
        <v>52</v>
      </c>
      <c r="H717" t="s">
        <v>52</v>
      </c>
      <c r="I717" t="s">
        <v>52</v>
      </c>
      <c r="J717" t="s">
        <v>52</v>
      </c>
      <c r="K717" t="s">
        <v>52</v>
      </c>
      <c r="L717" s="2">
        <v>0.5</v>
      </c>
      <c r="M717" s="2">
        <v>0.5</v>
      </c>
      <c r="N717" s="2">
        <v>0</v>
      </c>
      <c r="O717" s="2">
        <v>1</v>
      </c>
      <c r="P717" s="2">
        <v>1</v>
      </c>
      <c r="Q717" s="2">
        <v>0.5</v>
      </c>
      <c r="R717" s="2">
        <v>1</v>
      </c>
      <c r="S717" s="2">
        <v>1</v>
      </c>
      <c r="T717" s="2">
        <v>1</v>
      </c>
      <c r="U717" s="2">
        <v>1</v>
      </c>
      <c r="V717" s="2">
        <v>1</v>
      </c>
      <c r="W717" s="2">
        <v>1</v>
      </c>
      <c r="X717" s="2">
        <v>1</v>
      </c>
      <c r="Y717" s="2">
        <v>2</v>
      </c>
      <c r="Z717" s="2">
        <v>1</v>
      </c>
      <c r="AA717" s="2">
        <v>1</v>
      </c>
      <c r="AB717" s="2">
        <v>2</v>
      </c>
      <c r="AC717" s="2">
        <v>1</v>
      </c>
      <c r="AD717" s="2">
        <v>131</v>
      </c>
      <c r="AE717" s="2">
        <v>30720</v>
      </c>
      <c r="AF717" s="2">
        <v>0</v>
      </c>
      <c r="AG717" s="2">
        <v>680</v>
      </c>
      <c r="AH717" s="2">
        <v>45</v>
      </c>
      <c r="AI717" s="2">
        <v>95</v>
      </c>
      <c r="AJ717" s="1">
        <v>1250000</v>
      </c>
      <c r="AK717" s="1">
        <v>3</v>
      </c>
      <c r="AL717" s="1">
        <v>126</v>
      </c>
      <c r="AM717" s="2" t="s">
        <v>52</v>
      </c>
      <c r="AN717" s="2" t="str">
        <f t="shared" si="11"/>
        <v/>
      </c>
      <c r="AO717" s="3">
        <v>716</v>
      </c>
      <c r="AP717" s="3">
        <v>131</v>
      </c>
      <c r="AQ717" s="3">
        <v>98</v>
      </c>
      <c r="AR717" s="3">
        <v>99</v>
      </c>
      <c r="AS717" s="1">
        <v>215</v>
      </c>
      <c r="AT717" s="3">
        <v>6</v>
      </c>
      <c r="AU717" s="3" t="s">
        <v>3052</v>
      </c>
    </row>
    <row r="718" spans="1:47" x14ac:dyDescent="0.3">
      <c r="A718" s="1" t="s">
        <v>2012</v>
      </c>
      <c r="B718" s="1" t="s">
        <v>2011</v>
      </c>
      <c r="C718" s="1" t="s">
        <v>99</v>
      </c>
      <c r="D718" s="1" t="s">
        <v>58</v>
      </c>
      <c r="E718" s="1" t="s">
        <v>2010</v>
      </c>
      <c r="F718" t="s">
        <v>3089</v>
      </c>
      <c r="G718" t="s">
        <v>52</v>
      </c>
      <c r="H718" t="s">
        <v>52</v>
      </c>
      <c r="I718" t="s">
        <v>52</v>
      </c>
      <c r="J718" t="s">
        <v>52</v>
      </c>
      <c r="K718" t="s">
        <v>52</v>
      </c>
      <c r="L718" s="2">
        <v>1</v>
      </c>
      <c r="M718" s="2">
        <v>0.5</v>
      </c>
      <c r="N718" s="2">
        <v>1</v>
      </c>
      <c r="O718" s="2">
        <v>2</v>
      </c>
      <c r="P718" s="2">
        <v>2</v>
      </c>
      <c r="Q718" s="2">
        <v>1</v>
      </c>
      <c r="R718" s="2">
        <v>1</v>
      </c>
      <c r="S718" s="2">
        <v>1</v>
      </c>
      <c r="T718" s="2">
        <v>0.5</v>
      </c>
      <c r="U718" s="2">
        <v>0.5</v>
      </c>
      <c r="V718" s="2">
        <v>0</v>
      </c>
      <c r="W718" s="2">
        <v>2</v>
      </c>
      <c r="X718" s="2">
        <v>1</v>
      </c>
      <c r="Y718" s="2">
        <v>1</v>
      </c>
      <c r="Z718" s="2">
        <v>0</v>
      </c>
      <c r="AA718" s="2">
        <v>2</v>
      </c>
      <c r="AB718" s="2">
        <v>1</v>
      </c>
      <c r="AC718" s="2">
        <v>1</v>
      </c>
      <c r="AD718" s="2">
        <v>131</v>
      </c>
      <c r="AE718" s="2">
        <v>30720</v>
      </c>
      <c r="AF718" s="2">
        <v>0</v>
      </c>
      <c r="AG718" s="2">
        <v>680</v>
      </c>
      <c r="AH718" s="2">
        <v>45</v>
      </c>
      <c r="AI718" s="2">
        <v>95</v>
      </c>
      <c r="AJ718" s="1">
        <v>1250000</v>
      </c>
      <c r="AK718" s="1">
        <v>5.8</v>
      </c>
      <c r="AL718" s="1">
        <v>126</v>
      </c>
      <c r="AM718" s="2" t="s">
        <v>52</v>
      </c>
      <c r="AN718" s="2" t="str">
        <f t="shared" si="11"/>
        <v/>
      </c>
      <c r="AO718" s="3">
        <v>717</v>
      </c>
      <c r="AP718" s="3">
        <v>131</v>
      </c>
      <c r="AQ718" s="3">
        <v>98</v>
      </c>
      <c r="AR718" s="3">
        <v>99</v>
      </c>
      <c r="AS718" s="1">
        <v>203</v>
      </c>
      <c r="AT718" s="3">
        <v>6</v>
      </c>
      <c r="AU718" s="3" t="s">
        <v>3052</v>
      </c>
    </row>
    <row r="719" spans="1:47" x14ac:dyDescent="0.3">
      <c r="A719" s="1" t="s">
        <v>2015</v>
      </c>
      <c r="B719" s="1" t="s">
        <v>2014</v>
      </c>
      <c r="C719" s="1" t="s">
        <v>443</v>
      </c>
      <c r="D719" s="1" t="s">
        <v>120</v>
      </c>
      <c r="E719" s="1" t="s">
        <v>2013</v>
      </c>
      <c r="F719" t="s">
        <v>3202</v>
      </c>
      <c r="G719" t="s">
        <v>3280</v>
      </c>
      <c r="H719" t="s">
        <v>52</v>
      </c>
      <c r="I719" t="s">
        <v>52</v>
      </c>
      <c r="J719" t="s">
        <v>52</v>
      </c>
      <c r="K719" t="s">
        <v>52</v>
      </c>
      <c r="L719" s="2">
        <v>1</v>
      </c>
      <c r="M719" s="2">
        <v>1</v>
      </c>
      <c r="N719" s="2">
        <v>2</v>
      </c>
      <c r="O719" s="2">
        <v>0</v>
      </c>
      <c r="P719" s="2">
        <v>2</v>
      </c>
      <c r="Q719" s="2">
        <v>1</v>
      </c>
      <c r="R719" s="2">
        <v>0.5</v>
      </c>
      <c r="S719" s="2">
        <v>1</v>
      </c>
      <c r="T719" s="2">
        <v>1</v>
      </c>
      <c r="U719" s="2">
        <v>1</v>
      </c>
      <c r="V719" s="2">
        <v>1</v>
      </c>
      <c r="W719" s="2">
        <v>4</v>
      </c>
      <c r="X719" s="2">
        <v>1</v>
      </c>
      <c r="Y719" s="2">
        <v>0.5</v>
      </c>
      <c r="Z719" s="2">
        <v>1</v>
      </c>
      <c r="AA719" s="2">
        <v>0.5</v>
      </c>
      <c r="AB719" s="2">
        <v>1</v>
      </c>
      <c r="AC719" s="2">
        <v>1</v>
      </c>
      <c r="AD719" s="2">
        <v>100</v>
      </c>
      <c r="AE719" s="2">
        <v>30720</v>
      </c>
      <c r="AF719" s="2">
        <v>0</v>
      </c>
      <c r="AG719" s="2">
        <v>708</v>
      </c>
      <c r="AH719" s="2">
        <v>3</v>
      </c>
      <c r="AI719" s="2">
        <v>121</v>
      </c>
      <c r="AJ719" s="1">
        <v>1250000</v>
      </c>
      <c r="AK719" s="1">
        <v>5</v>
      </c>
      <c r="AL719" s="1">
        <v>216</v>
      </c>
      <c r="AM719" s="2" t="s">
        <v>52</v>
      </c>
      <c r="AN719" s="2" t="str">
        <f t="shared" si="11"/>
        <v/>
      </c>
      <c r="AO719" s="3">
        <v>718</v>
      </c>
      <c r="AP719" s="3">
        <v>91</v>
      </c>
      <c r="AQ719" s="3">
        <v>95</v>
      </c>
      <c r="AR719" s="3">
        <v>85</v>
      </c>
      <c r="AS719" s="1">
        <v>284.60000000000002</v>
      </c>
      <c r="AT719" s="3">
        <v>6</v>
      </c>
      <c r="AU719" s="3" t="s">
        <v>3052</v>
      </c>
    </row>
    <row r="720" spans="1:47" x14ac:dyDescent="0.3">
      <c r="A720" s="1" t="s">
        <v>2017</v>
      </c>
      <c r="B720" s="1" t="s">
        <v>2016</v>
      </c>
      <c r="C720" s="1" t="s">
        <v>243</v>
      </c>
      <c r="D720" s="1" t="s">
        <v>141</v>
      </c>
      <c r="E720" s="1" t="s">
        <v>1973</v>
      </c>
      <c r="F720" t="s">
        <v>3090</v>
      </c>
      <c r="G720" t="s">
        <v>52</v>
      </c>
      <c r="H720" t="s">
        <v>52</v>
      </c>
      <c r="I720" t="s">
        <v>52</v>
      </c>
      <c r="J720" t="s">
        <v>52</v>
      </c>
      <c r="K720" t="s">
        <v>52</v>
      </c>
      <c r="L720" s="2">
        <v>0.5</v>
      </c>
      <c r="M720" s="2">
        <v>0.5</v>
      </c>
      <c r="N720" s="2">
        <v>0</v>
      </c>
      <c r="O720" s="2">
        <v>1</v>
      </c>
      <c r="P720" s="2">
        <v>1</v>
      </c>
      <c r="Q720" s="2">
        <v>1</v>
      </c>
      <c r="R720" s="2">
        <v>0.5</v>
      </c>
      <c r="S720" s="2">
        <v>0.5</v>
      </c>
      <c r="T720" s="2">
        <v>1</v>
      </c>
      <c r="U720" s="2">
        <v>2</v>
      </c>
      <c r="V720" s="2">
        <v>2</v>
      </c>
      <c r="W720" s="2">
        <v>1</v>
      </c>
      <c r="X720" s="2">
        <v>0.5</v>
      </c>
      <c r="Y720" s="2">
        <v>1</v>
      </c>
      <c r="Z720" s="2">
        <v>1</v>
      </c>
      <c r="AA720" s="2">
        <v>1</v>
      </c>
      <c r="AB720" s="2">
        <v>4</v>
      </c>
      <c r="AC720" s="2">
        <v>2</v>
      </c>
      <c r="AD720" s="2">
        <v>160</v>
      </c>
      <c r="AE720" s="2">
        <v>6400</v>
      </c>
      <c r="AF720" s="2">
        <v>70</v>
      </c>
      <c r="AG720" s="2">
        <v>700</v>
      </c>
      <c r="AH720" s="2">
        <v>3</v>
      </c>
      <c r="AI720" s="2">
        <v>110</v>
      </c>
      <c r="AJ720" s="1">
        <v>1250000</v>
      </c>
      <c r="AK720" s="1">
        <v>0.7</v>
      </c>
      <c r="AL720" s="1">
        <v>50</v>
      </c>
      <c r="AM720" s="2" t="s">
        <v>52</v>
      </c>
      <c r="AN720" s="2" t="str">
        <f t="shared" si="11"/>
        <v/>
      </c>
      <c r="AO720" s="3">
        <v>719</v>
      </c>
      <c r="AP720" s="3">
        <v>160</v>
      </c>
      <c r="AQ720" s="3">
        <v>110</v>
      </c>
      <c r="AR720" s="3">
        <v>110</v>
      </c>
      <c r="AS720" s="1">
        <v>8.8000000000000007</v>
      </c>
      <c r="AT720" s="3">
        <v>6</v>
      </c>
      <c r="AU720" s="3" t="s">
        <v>3052</v>
      </c>
    </row>
    <row r="721" spans="1:47" x14ac:dyDescent="0.3">
      <c r="A721" s="1" t="s">
        <v>2020</v>
      </c>
      <c r="B721" s="1" t="s">
        <v>2019</v>
      </c>
      <c r="C721" s="1" t="s">
        <v>216</v>
      </c>
      <c r="D721" s="1" t="s">
        <v>293</v>
      </c>
      <c r="E721" s="1" t="s">
        <v>2018</v>
      </c>
      <c r="F721" t="s">
        <v>3091</v>
      </c>
      <c r="G721" t="s">
        <v>52</v>
      </c>
      <c r="H721" t="s">
        <v>52</v>
      </c>
      <c r="I721" t="s">
        <v>52</v>
      </c>
      <c r="J721" t="s">
        <v>52</v>
      </c>
      <c r="K721" t="s">
        <v>52</v>
      </c>
      <c r="L721" s="2">
        <v>1</v>
      </c>
      <c r="M721" s="2">
        <v>4</v>
      </c>
      <c r="N721" s="2">
        <v>1</v>
      </c>
      <c r="O721" s="2">
        <v>1</v>
      </c>
      <c r="P721" s="2">
        <v>1</v>
      </c>
      <c r="Q721" s="2">
        <v>0</v>
      </c>
      <c r="R721" s="2">
        <v>1</v>
      </c>
      <c r="S721" s="2">
        <v>1</v>
      </c>
      <c r="T721" s="2">
        <v>4</v>
      </c>
      <c r="U721" s="2">
        <v>1</v>
      </c>
      <c r="V721" s="2">
        <v>1</v>
      </c>
      <c r="W721" s="2">
        <v>1</v>
      </c>
      <c r="X721" s="2">
        <v>0</v>
      </c>
      <c r="Y721" s="2">
        <v>0.5</v>
      </c>
      <c r="Z721" s="2">
        <v>0.5</v>
      </c>
      <c r="AA721" s="2">
        <v>1</v>
      </c>
      <c r="AB721" s="2">
        <v>1</v>
      </c>
      <c r="AC721" s="2">
        <v>1</v>
      </c>
      <c r="AD721" s="2">
        <v>160</v>
      </c>
      <c r="AE721" s="2">
        <v>30720</v>
      </c>
      <c r="AF721" s="2">
        <v>100</v>
      </c>
      <c r="AG721" s="2">
        <v>680</v>
      </c>
      <c r="AH721" s="2">
        <v>3</v>
      </c>
      <c r="AI721" s="2">
        <v>60</v>
      </c>
      <c r="AJ721" s="1">
        <v>1250000</v>
      </c>
      <c r="AK721" s="1">
        <v>0.5</v>
      </c>
      <c r="AL721" s="1">
        <v>80</v>
      </c>
      <c r="AM721" s="2" t="s">
        <v>52</v>
      </c>
      <c r="AN721" s="2" t="str">
        <f t="shared" si="11"/>
        <v/>
      </c>
      <c r="AO721" s="3">
        <v>720</v>
      </c>
      <c r="AP721" s="3">
        <v>170</v>
      </c>
      <c r="AQ721" s="3">
        <v>130</v>
      </c>
      <c r="AR721" s="3">
        <v>80</v>
      </c>
      <c r="AS721" s="1">
        <v>9</v>
      </c>
      <c r="AT721" s="3">
        <v>6</v>
      </c>
      <c r="AU721" s="3" t="s">
        <v>3052</v>
      </c>
    </row>
    <row r="722" spans="1:47" x14ac:dyDescent="0.3">
      <c r="A722" s="1" t="s">
        <v>2023</v>
      </c>
      <c r="B722" s="1" t="s">
        <v>2022</v>
      </c>
      <c r="C722" s="1" t="s">
        <v>51</v>
      </c>
      <c r="D722" s="1" t="s">
        <v>62</v>
      </c>
      <c r="E722" s="1" t="s">
        <v>2021</v>
      </c>
      <c r="F722" t="s">
        <v>3092</v>
      </c>
      <c r="G722" t="s">
        <v>52</v>
      </c>
      <c r="H722" t="s">
        <v>52</v>
      </c>
      <c r="I722" t="s">
        <v>52</v>
      </c>
      <c r="J722" t="s">
        <v>52</v>
      </c>
      <c r="K722" t="s">
        <v>52</v>
      </c>
      <c r="L722" s="2">
        <v>0.5</v>
      </c>
      <c r="M722" s="2">
        <v>1</v>
      </c>
      <c r="N722" s="2">
        <v>1</v>
      </c>
      <c r="O722" s="2">
        <v>2</v>
      </c>
      <c r="P722" s="2">
        <v>0.5</v>
      </c>
      <c r="Q722" s="2">
        <v>1</v>
      </c>
      <c r="R722" s="2">
        <v>0.25</v>
      </c>
      <c r="S722" s="2">
        <v>1</v>
      </c>
      <c r="T722" s="2">
        <v>1</v>
      </c>
      <c r="U722" s="2">
        <v>1</v>
      </c>
      <c r="V722" s="2">
        <v>2</v>
      </c>
      <c r="W722" s="2">
        <v>0.25</v>
      </c>
      <c r="X722" s="2">
        <v>1</v>
      </c>
      <c r="Y722" s="2">
        <v>1</v>
      </c>
      <c r="Z722" s="2">
        <v>1</v>
      </c>
      <c r="AA722" s="2">
        <v>2</v>
      </c>
      <c r="AB722" s="2">
        <v>0.25</v>
      </c>
      <c r="AC722" s="2">
        <v>1</v>
      </c>
      <c r="AD722" s="2">
        <v>110</v>
      </c>
      <c r="AE722" s="2">
        <v>30720</v>
      </c>
      <c r="AF722" s="2">
        <v>100</v>
      </c>
      <c r="AG722" s="2">
        <v>600</v>
      </c>
      <c r="AH722" s="2">
        <v>3</v>
      </c>
      <c r="AI722" s="2">
        <v>120</v>
      </c>
      <c r="AJ722" s="1">
        <v>1250000</v>
      </c>
      <c r="AK722" s="1">
        <v>1.7</v>
      </c>
      <c r="AL722" s="1">
        <v>80</v>
      </c>
      <c r="AM722" s="2" t="s">
        <v>52</v>
      </c>
      <c r="AN722" s="2" t="str">
        <f t="shared" si="11"/>
        <v/>
      </c>
      <c r="AO722" s="3">
        <v>721</v>
      </c>
      <c r="AP722" s="3">
        <v>130</v>
      </c>
      <c r="AQ722" s="3">
        <v>90</v>
      </c>
      <c r="AR722" s="3">
        <v>70</v>
      </c>
      <c r="AS722" s="1">
        <v>195</v>
      </c>
      <c r="AT722" s="3">
        <v>6</v>
      </c>
      <c r="AU722" s="3" t="s">
        <v>3052</v>
      </c>
    </row>
    <row r="723" spans="1:47" x14ac:dyDescent="0.3">
      <c r="A723" s="1" t="s">
        <v>2026</v>
      </c>
      <c r="B723" s="1" t="s">
        <v>2025</v>
      </c>
      <c r="C723" s="1" t="s">
        <v>42</v>
      </c>
      <c r="D723" s="1" t="s">
        <v>58</v>
      </c>
      <c r="E723" s="1" t="s">
        <v>2024</v>
      </c>
      <c r="F723" t="s">
        <v>3113</v>
      </c>
      <c r="G723" t="s">
        <v>3281</v>
      </c>
      <c r="H723" t="s">
        <v>52</v>
      </c>
      <c r="I723" t="s">
        <v>52</v>
      </c>
      <c r="J723" t="s">
        <v>52</v>
      </c>
      <c r="K723" t="s">
        <v>52</v>
      </c>
      <c r="L723" s="2">
        <v>1</v>
      </c>
      <c r="M723" s="2">
        <v>1</v>
      </c>
      <c r="N723" s="2">
        <v>1</v>
      </c>
      <c r="O723" s="2">
        <v>1</v>
      </c>
      <c r="P723" s="2">
        <v>1</v>
      </c>
      <c r="Q723" s="2">
        <v>0.5</v>
      </c>
      <c r="R723" s="2">
        <v>2</v>
      </c>
      <c r="S723" s="2">
        <v>2</v>
      </c>
      <c r="T723" s="2">
        <v>1</v>
      </c>
      <c r="U723" s="2">
        <v>0.25</v>
      </c>
      <c r="V723" s="2">
        <v>0</v>
      </c>
      <c r="W723" s="2">
        <v>4</v>
      </c>
      <c r="X723" s="2">
        <v>1</v>
      </c>
      <c r="Y723" s="2">
        <v>2</v>
      </c>
      <c r="Z723" s="2">
        <v>1</v>
      </c>
      <c r="AA723" s="2">
        <v>2</v>
      </c>
      <c r="AB723" s="2">
        <v>1</v>
      </c>
      <c r="AC723" s="2">
        <v>0.5</v>
      </c>
      <c r="AD723" s="2">
        <v>55</v>
      </c>
      <c r="AE723" s="2">
        <v>3840</v>
      </c>
      <c r="AF723" s="2">
        <v>70</v>
      </c>
      <c r="AG723" s="2">
        <v>320</v>
      </c>
      <c r="AH723" s="2">
        <v>45</v>
      </c>
      <c r="AI723" s="2">
        <v>55</v>
      </c>
      <c r="AJ723" s="1">
        <v>1059860</v>
      </c>
      <c r="AK723" s="1">
        <v>0.3</v>
      </c>
      <c r="AL723" s="1">
        <v>68</v>
      </c>
      <c r="AM723" s="2">
        <v>88.1</v>
      </c>
      <c r="AN723" s="2">
        <f t="shared" si="11"/>
        <v>11.900000000000006</v>
      </c>
      <c r="AO723" s="3">
        <v>722</v>
      </c>
      <c r="AP723" s="3">
        <v>50</v>
      </c>
      <c r="AQ723" s="3">
        <v>50</v>
      </c>
      <c r="AR723" s="3">
        <v>42</v>
      </c>
      <c r="AS723" s="1">
        <v>1.5</v>
      </c>
      <c r="AT723" s="3">
        <v>7</v>
      </c>
      <c r="AU723" s="3" t="s">
        <v>3051</v>
      </c>
    </row>
    <row r="724" spans="1:47" x14ac:dyDescent="0.3">
      <c r="A724" s="1" t="s">
        <v>2029</v>
      </c>
      <c r="B724" s="1" t="s">
        <v>2028</v>
      </c>
      <c r="C724" s="1" t="s">
        <v>42</v>
      </c>
      <c r="D724" s="1" t="s">
        <v>58</v>
      </c>
      <c r="E724" s="1" t="s">
        <v>2027</v>
      </c>
      <c r="F724" t="s">
        <v>3113</v>
      </c>
      <c r="G724" t="s">
        <v>3281</v>
      </c>
      <c r="H724" t="s">
        <v>52</v>
      </c>
      <c r="I724" t="s">
        <v>52</v>
      </c>
      <c r="J724" t="s">
        <v>52</v>
      </c>
      <c r="K724" t="s">
        <v>52</v>
      </c>
      <c r="L724" s="2">
        <v>1</v>
      </c>
      <c r="M724" s="2">
        <v>1</v>
      </c>
      <c r="N724" s="2">
        <v>1</v>
      </c>
      <c r="O724" s="2">
        <v>1</v>
      </c>
      <c r="P724" s="2">
        <v>1</v>
      </c>
      <c r="Q724" s="2">
        <v>0.5</v>
      </c>
      <c r="R724" s="2">
        <v>2</v>
      </c>
      <c r="S724" s="2">
        <v>2</v>
      </c>
      <c r="T724" s="2">
        <v>1</v>
      </c>
      <c r="U724" s="2">
        <v>0.25</v>
      </c>
      <c r="V724" s="2">
        <v>0</v>
      </c>
      <c r="W724" s="2">
        <v>4</v>
      </c>
      <c r="X724" s="2">
        <v>1</v>
      </c>
      <c r="Y724" s="2">
        <v>2</v>
      </c>
      <c r="Z724" s="2">
        <v>1</v>
      </c>
      <c r="AA724" s="2">
        <v>2</v>
      </c>
      <c r="AB724" s="2">
        <v>1</v>
      </c>
      <c r="AC724" s="2">
        <v>0.5</v>
      </c>
      <c r="AD724" s="2">
        <v>75</v>
      </c>
      <c r="AE724" s="2">
        <v>3840</v>
      </c>
      <c r="AF724" s="2">
        <v>70</v>
      </c>
      <c r="AG724" s="2">
        <v>420</v>
      </c>
      <c r="AH724" s="2">
        <v>45</v>
      </c>
      <c r="AI724" s="2">
        <v>75</v>
      </c>
      <c r="AJ724" s="1">
        <v>1059860</v>
      </c>
      <c r="AK724" s="1">
        <v>0.7</v>
      </c>
      <c r="AL724" s="1">
        <v>78</v>
      </c>
      <c r="AM724" s="2">
        <v>88.1</v>
      </c>
      <c r="AN724" s="2">
        <f t="shared" si="11"/>
        <v>11.900000000000006</v>
      </c>
      <c r="AO724" s="3">
        <v>723</v>
      </c>
      <c r="AP724" s="3">
        <v>70</v>
      </c>
      <c r="AQ724" s="3">
        <v>70</v>
      </c>
      <c r="AR724" s="3">
        <v>52</v>
      </c>
      <c r="AS724" s="1">
        <v>16</v>
      </c>
      <c r="AT724" s="3">
        <v>7</v>
      </c>
      <c r="AU724" s="3" t="s">
        <v>3051</v>
      </c>
    </row>
    <row r="725" spans="1:47" x14ac:dyDescent="0.3">
      <c r="A725" s="1" t="s">
        <v>2032</v>
      </c>
      <c r="B725" s="1" t="s">
        <v>2031</v>
      </c>
      <c r="C725" s="1" t="s">
        <v>42</v>
      </c>
      <c r="D725" s="1" t="s">
        <v>293</v>
      </c>
      <c r="E725" s="1" t="s">
        <v>2030</v>
      </c>
      <c r="F725" t="s">
        <v>3113</v>
      </c>
      <c r="G725" t="s">
        <v>3281</v>
      </c>
      <c r="H725" t="s">
        <v>52</v>
      </c>
      <c r="I725" t="s">
        <v>52</v>
      </c>
      <c r="J725" t="s">
        <v>52</v>
      </c>
      <c r="K725" t="s">
        <v>52</v>
      </c>
      <c r="L725" s="2">
        <v>1</v>
      </c>
      <c r="M725" s="2">
        <v>2</v>
      </c>
      <c r="N725" s="2">
        <v>1</v>
      </c>
      <c r="O725" s="2">
        <v>0.5</v>
      </c>
      <c r="P725" s="2">
        <v>1</v>
      </c>
      <c r="Q725" s="2">
        <v>0</v>
      </c>
      <c r="R725" s="2">
        <v>2</v>
      </c>
      <c r="S725" s="2">
        <v>2</v>
      </c>
      <c r="T725" s="2">
        <v>2</v>
      </c>
      <c r="U725" s="2">
        <v>0.5</v>
      </c>
      <c r="V725" s="2">
        <v>0.5</v>
      </c>
      <c r="W725" s="2">
        <v>2</v>
      </c>
      <c r="X725" s="2">
        <v>0</v>
      </c>
      <c r="Y725" s="2">
        <v>1</v>
      </c>
      <c r="Z725" s="2">
        <v>1</v>
      </c>
      <c r="AA725" s="2">
        <v>1</v>
      </c>
      <c r="AB725" s="2">
        <v>1</v>
      </c>
      <c r="AC725" s="2">
        <v>0.5</v>
      </c>
      <c r="AD725" s="2">
        <v>107</v>
      </c>
      <c r="AE725" s="2">
        <v>3840</v>
      </c>
      <c r="AF725" s="2">
        <v>70</v>
      </c>
      <c r="AG725" s="2">
        <v>530</v>
      </c>
      <c r="AH725" s="2">
        <v>45</v>
      </c>
      <c r="AI725" s="2">
        <v>75</v>
      </c>
      <c r="AJ725" s="1">
        <v>1059860</v>
      </c>
      <c r="AK725" s="1">
        <v>1.6</v>
      </c>
      <c r="AL725" s="1">
        <v>78</v>
      </c>
      <c r="AM725" s="2">
        <v>88.1</v>
      </c>
      <c r="AN725" s="2">
        <f t="shared" si="11"/>
        <v>11.900000000000006</v>
      </c>
      <c r="AO725" s="3">
        <v>724</v>
      </c>
      <c r="AP725" s="3">
        <v>100</v>
      </c>
      <c r="AQ725" s="3">
        <v>100</v>
      </c>
      <c r="AR725" s="3">
        <v>70</v>
      </c>
      <c r="AS725" s="1">
        <v>36.6</v>
      </c>
      <c r="AT725" s="3">
        <v>7</v>
      </c>
      <c r="AU725" s="3" t="s">
        <v>3051</v>
      </c>
    </row>
    <row r="726" spans="1:47" x14ac:dyDescent="0.3">
      <c r="A726" s="1" t="s">
        <v>2035</v>
      </c>
      <c r="B726" s="1" t="s">
        <v>2034</v>
      </c>
      <c r="C726" s="1" t="s">
        <v>51</v>
      </c>
      <c r="D726" s="1" t="s">
        <v>52</v>
      </c>
      <c r="E726" s="1" t="s">
        <v>2033</v>
      </c>
      <c r="F726" t="s">
        <v>3114</v>
      </c>
      <c r="G726" t="s">
        <v>3120</v>
      </c>
      <c r="H726" t="s">
        <v>52</v>
      </c>
      <c r="I726" t="s">
        <v>52</v>
      </c>
      <c r="J726" t="s">
        <v>52</v>
      </c>
      <c r="K726" t="s">
        <v>52</v>
      </c>
      <c r="L726" s="2">
        <v>0.5</v>
      </c>
      <c r="M726" s="2">
        <v>1</v>
      </c>
      <c r="N726" s="2">
        <v>1</v>
      </c>
      <c r="O726" s="2">
        <v>1</v>
      </c>
      <c r="P726" s="2">
        <v>0.5</v>
      </c>
      <c r="Q726" s="2">
        <v>1</v>
      </c>
      <c r="R726" s="2">
        <v>0.5</v>
      </c>
      <c r="S726" s="2">
        <v>1</v>
      </c>
      <c r="T726" s="2">
        <v>1</v>
      </c>
      <c r="U726" s="2">
        <v>0.5</v>
      </c>
      <c r="V726" s="2">
        <v>2</v>
      </c>
      <c r="W726" s="2">
        <v>0.5</v>
      </c>
      <c r="X726" s="2">
        <v>1</v>
      </c>
      <c r="Y726" s="2">
        <v>1</v>
      </c>
      <c r="Z726" s="2">
        <v>1</v>
      </c>
      <c r="AA726" s="2">
        <v>2</v>
      </c>
      <c r="AB726" s="2">
        <v>0.5</v>
      </c>
      <c r="AC726" s="2">
        <v>2</v>
      </c>
      <c r="AD726" s="2">
        <v>65</v>
      </c>
      <c r="AE726" s="2">
        <v>3840</v>
      </c>
      <c r="AF726" s="2">
        <v>70</v>
      </c>
      <c r="AG726" s="2">
        <v>320</v>
      </c>
      <c r="AH726" s="2">
        <v>45</v>
      </c>
      <c r="AI726" s="2">
        <v>40</v>
      </c>
      <c r="AJ726" s="1">
        <v>1059860</v>
      </c>
      <c r="AK726" s="1">
        <v>0.4</v>
      </c>
      <c r="AL726" s="1">
        <v>45</v>
      </c>
      <c r="AM726" s="2">
        <v>88.1</v>
      </c>
      <c r="AN726" s="2">
        <f t="shared" si="11"/>
        <v>11.900000000000006</v>
      </c>
      <c r="AO726" s="3">
        <v>725</v>
      </c>
      <c r="AP726" s="3">
        <v>60</v>
      </c>
      <c r="AQ726" s="3">
        <v>40</v>
      </c>
      <c r="AR726" s="3">
        <v>70</v>
      </c>
      <c r="AS726" s="1">
        <v>4.3</v>
      </c>
      <c r="AT726" s="3">
        <v>7</v>
      </c>
      <c r="AU726" s="3" t="s">
        <v>3051</v>
      </c>
    </row>
    <row r="727" spans="1:47" x14ac:dyDescent="0.3">
      <c r="A727" s="1" t="s">
        <v>2037</v>
      </c>
      <c r="B727" s="1" t="s">
        <v>2036</v>
      </c>
      <c r="C727" s="1" t="s">
        <v>51</v>
      </c>
      <c r="D727" s="1" t="s">
        <v>52</v>
      </c>
      <c r="E727" s="1" t="s">
        <v>2033</v>
      </c>
      <c r="F727" t="s">
        <v>3114</v>
      </c>
      <c r="G727" t="s">
        <v>3120</v>
      </c>
      <c r="H727" t="s">
        <v>52</v>
      </c>
      <c r="I727" t="s">
        <v>52</v>
      </c>
      <c r="J727" t="s">
        <v>52</v>
      </c>
      <c r="K727" t="s">
        <v>52</v>
      </c>
      <c r="L727" s="2">
        <v>0.5</v>
      </c>
      <c r="M727" s="2">
        <v>1</v>
      </c>
      <c r="N727" s="2">
        <v>1</v>
      </c>
      <c r="O727" s="2">
        <v>1</v>
      </c>
      <c r="P727" s="2">
        <v>0.5</v>
      </c>
      <c r="Q727" s="2">
        <v>1</v>
      </c>
      <c r="R727" s="2">
        <v>0.5</v>
      </c>
      <c r="S727" s="2">
        <v>1</v>
      </c>
      <c r="T727" s="2">
        <v>1</v>
      </c>
      <c r="U727" s="2">
        <v>0.5</v>
      </c>
      <c r="V727" s="2">
        <v>2</v>
      </c>
      <c r="W727" s="2">
        <v>0.5</v>
      </c>
      <c r="X727" s="2">
        <v>1</v>
      </c>
      <c r="Y727" s="2">
        <v>1</v>
      </c>
      <c r="Z727" s="2">
        <v>1</v>
      </c>
      <c r="AA727" s="2">
        <v>2</v>
      </c>
      <c r="AB727" s="2">
        <v>0.5</v>
      </c>
      <c r="AC727" s="2">
        <v>2</v>
      </c>
      <c r="AD727" s="2">
        <v>85</v>
      </c>
      <c r="AE727" s="2">
        <v>3840</v>
      </c>
      <c r="AF727" s="2">
        <v>70</v>
      </c>
      <c r="AG727" s="2">
        <v>420</v>
      </c>
      <c r="AH727" s="2">
        <v>45</v>
      </c>
      <c r="AI727" s="2">
        <v>50</v>
      </c>
      <c r="AJ727" s="1">
        <v>1059860</v>
      </c>
      <c r="AK727" s="1">
        <v>0.7</v>
      </c>
      <c r="AL727" s="1">
        <v>65</v>
      </c>
      <c r="AM727" s="2">
        <v>88.1</v>
      </c>
      <c r="AN727" s="2">
        <f t="shared" si="11"/>
        <v>11.900000000000006</v>
      </c>
      <c r="AO727" s="3">
        <v>726</v>
      </c>
      <c r="AP727" s="3">
        <v>80</v>
      </c>
      <c r="AQ727" s="3">
        <v>50</v>
      </c>
      <c r="AR727" s="3">
        <v>90</v>
      </c>
      <c r="AS727" s="1">
        <v>25</v>
      </c>
      <c r="AT727" s="3">
        <v>7</v>
      </c>
      <c r="AU727" s="3" t="s">
        <v>3051</v>
      </c>
    </row>
    <row r="728" spans="1:47" x14ac:dyDescent="0.3">
      <c r="A728" s="1" t="s">
        <v>2040</v>
      </c>
      <c r="B728" s="1" t="s">
        <v>2039</v>
      </c>
      <c r="C728" s="1" t="s">
        <v>51</v>
      </c>
      <c r="D728" s="1" t="s">
        <v>99</v>
      </c>
      <c r="E728" s="1" t="s">
        <v>2038</v>
      </c>
      <c r="F728" t="s">
        <v>3114</v>
      </c>
      <c r="G728" t="s">
        <v>3120</v>
      </c>
      <c r="H728" t="s">
        <v>52</v>
      </c>
      <c r="I728" t="s">
        <v>52</v>
      </c>
      <c r="J728" t="s">
        <v>52</v>
      </c>
      <c r="K728" t="s">
        <v>52</v>
      </c>
      <c r="L728" s="2">
        <v>1</v>
      </c>
      <c r="M728" s="2">
        <v>0.5</v>
      </c>
      <c r="N728" s="2">
        <v>1</v>
      </c>
      <c r="O728" s="2">
        <v>1</v>
      </c>
      <c r="P728" s="2">
        <v>1</v>
      </c>
      <c r="Q728" s="2">
        <v>2</v>
      </c>
      <c r="R728" s="2">
        <v>0.5</v>
      </c>
      <c r="S728" s="2">
        <v>1</v>
      </c>
      <c r="T728" s="2">
        <v>0.5</v>
      </c>
      <c r="U728" s="2">
        <v>0.5</v>
      </c>
      <c r="V728" s="2">
        <v>2</v>
      </c>
      <c r="W728" s="2">
        <v>0.5</v>
      </c>
      <c r="X728" s="2">
        <v>1</v>
      </c>
      <c r="Y728" s="2">
        <v>1</v>
      </c>
      <c r="Z728" s="2">
        <v>0</v>
      </c>
      <c r="AA728" s="2">
        <v>2</v>
      </c>
      <c r="AB728" s="2">
        <v>0.5</v>
      </c>
      <c r="AC728" s="2">
        <v>2</v>
      </c>
      <c r="AD728" s="2">
        <v>115</v>
      </c>
      <c r="AE728" s="2">
        <v>3840</v>
      </c>
      <c r="AF728" s="2">
        <v>70</v>
      </c>
      <c r="AG728" s="2">
        <v>530</v>
      </c>
      <c r="AH728" s="2">
        <v>45</v>
      </c>
      <c r="AI728" s="2">
        <v>90</v>
      </c>
      <c r="AJ728" s="1">
        <v>1059860</v>
      </c>
      <c r="AK728" s="1">
        <v>1.8</v>
      </c>
      <c r="AL728" s="1">
        <v>95</v>
      </c>
      <c r="AM728" s="2">
        <v>88.1</v>
      </c>
      <c r="AN728" s="2">
        <f t="shared" si="11"/>
        <v>11.900000000000006</v>
      </c>
      <c r="AO728" s="3">
        <v>727</v>
      </c>
      <c r="AP728" s="3">
        <v>80</v>
      </c>
      <c r="AQ728" s="3">
        <v>90</v>
      </c>
      <c r="AR728" s="3">
        <v>60</v>
      </c>
      <c r="AS728" s="1">
        <v>83</v>
      </c>
      <c r="AT728" s="3">
        <v>7</v>
      </c>
      <c r="AU728" s="3" t="s">
        <v>3051</v>
      </c>
    </row>
    <row r="729" spans="1:47" x14ac:dyDescent="0.3">
      <c r="A729" s="1" t="s">
        <v>2042</v>
      </c>
      <c r="B729" s="1" t="s">
        <v>2041</v>
      </c>
      <c r="C729" s="1" t="s">
        <v>62</v>
      </c>
      <c r="D729" s="1" t="s">
        <v>52</v>
      </c>
      <c r="E729" s="1" t="s">
        <v>275</v>
      </c>
      <c r="F729" t="s">
        <v>3115</v>
      </c>
      <c r="G729" t="s">
        <v>3282</v>
      </c>
      <c r="H729" t="s">
        <v>52</v>
      </c>
      <c r="I729" t="s">
        <v>52</v>
      </c>
      <c r="J729" t="s">
        <v>52</v>
      </c>
      <c r="K729" t="s">
        <v>52</v>
      </c>
      <c r="L729" s="2">
        <v>1</v>
      </c>
      <c r="M729" s="2">
        <v>1</v>
      </c>
      <c r="N729" s="2">
        <v>1</v>
      </c>
      <c r="O729" s="2">
        <v>2</v>
      </c>
      <c r="P729" s="2">
        <v>1</v>
      </c>
      <c r="Q729" s="2">
        <v>1</v>
      </c>
      <c r="R729" s="2">
        <v>0.5</v>
      </c>
      <c r="S729" s="2">
        <v>1</v>
      </c>
      <c r="T729" s="2">
        <v>1</v>
      </c>
      <c r="U729" s="2">
        <v>2</v>
      </c>
      <c r="V729" s="2">
        <v>1</v>
      </c>
      <c r="W729" s="2">
        <v>0.5</v>
      </c>
      <c r="X729" s="2">
        <v>1</v>
      </c>
      <c r="Y729" s="2">
        <v>1</v>
      </c>
      <c r="Z729" s="2">
        <v>1</v>
      </c>
      <c r="AA729" s="2">
        <v>1</v>
      </c>
      <c r="AB729" s="2">
        <v>0.5</v>
      </c>
      <c r="AC729" s="2">
        <v>0.5</v>
      </c>
      <c r="AD729" s="2">
        <v>54</v>
      </c>
      <c r="AE729" s="2">
        <v>3840</v>
      </c>
      <c r="AF729" s="2">
        <v>70</v>
      </c>
      <c r="AG729" s="2">
        <v>320</v>
      </c>
      <c r="AH729" s="2">
        <v>45</v>
      </c>
      <c r="AI729" s="2">
        <v>54</v>
      </c>
      <c r="AJ729" s="1">
        <v>1059860</v>
      </c>
      <c r="AK729" s="1">
        <v>0.4</v>
      </c>
      <c r="AL729" s="1">
        <v>50</v>
      </c>
      <c r="AM729" s="2">
        <v>88.1</v>
      </c>
      <c r="AN729" s="2">
        <f t="shared" si="11"/>
        <v>11.900000000000006</v>
      </c>
      <c r="AO729" s="3">
        <v>728</v>
      </c>
      <c r="AP729" s="3">
        <v>66</v>
      </c>
      <c r="AQ729" s="3">
        <v>56</v>
      </c>
      <c r="AR729" s="3">
        <v>40</v>
      </c>
      <c r="AS729" s="1">
        <v>7.5</v>
      </c>
      <c r="AT729" s="3">
        <v>7</v>
      </c>
      <c r="AU729" s="3" t="s">
        <v>3051</v>
      </c>
    </row>
    <row r="730" spans="1:47" x14ac:dyDescent="0.3">
      <c r="A730" s="1" t="s">
        <v>2045</v>
      </c>
      <c r="B730" s="1" t="s">
        <v>2044</v>
      </c>
      <c r="C730" s="1" t="s">
        <v>62</v>
      </c>
      <c r="D730" s="1" t="s">
        <v>52</v>
      </c>
      <c r="E730" s="1" t="s">
        <v>2043</v>
      </c>
      <c r="F730" t="s">
        <v>3115</v>
      </c>
      <c r="G730" t="s">
        <v>3282</v>
      </c>
      <c r="H730" t="s">
        <v>52</v>
      </c>
      <c r="I730" t="s">
        <v>52</v>
      </c>
      <c r="J730" t="s">
        <v>52</v>
      </c>
      <c r="K730" t="s">
        <v>52</v>
      </c>
      <c r="L730" s="2">
        <v>1</v>
      </c>
      <c r="M730" s="2">
        <v>1</v>
      </c>
      <c r="N730" s="2">
        <v>1</v>
      </c>
      <c r="O730" s="2">
        <v>2</v>
      </c>
      <c r="P730" s="2">
        <v>1</v>
      </c>
      <c r="Q730" s="2">
        <v>1</v>
      </c>
      <c r="R730" s="2">
        <v>0.5</v>
      </c>
      <c r="S730" s="2">
        <v>1</v>
      </c>
      <c r="T730" s="2">
        <v>1</v>
      </c>
      <c r="U730" s="2">
        <v>2</v>
      </c>
      <c r="V730" s="2">
        <v>1</v>
      </c>
      <c r="W730" s="2">
        <v>0.5</v>
      </c>
      <c r="X730" s="2">
        <v>1</v>
      </c>
      <c r="Y730" s="2">
        <v>1</v>
      </c>
      <c r="Z730" s="2">
        <v>1</v>
      </c>
      <c r="AA730" s="2">
        <v>1</v>
      </c>
      <c r="AB730" s="2">
        <v>0.5</v>
      </c>
      <c r="AC730" s="2">
        <v>0.5</v>
      </c>
      <c r="AD730" s="2">
        <v>69</v>
      </c>
      <c r="AE730" s="2">
        <v>3840</v>
      </c>
      <c r="AF730" s="2">
        <v>70</v>
      </c>
      <c r="AG730" s="2">
        <v>420</v>
      </c>
      <c r="AH730" s="2">
        <v>45</v>
      </c>
      <c r="AI730" s="2">
        <v>69</v>
      </c>
      <c r="AJ730" s="1">
        <v>1059860</v>
      </c>
      <c r="AK730" s="1">
        <v>0.6</v>
      </c>
      <c r="AL730" s="1">
        <v>60</v>
      </c>
      <c r="AM730" s="2">
        <v>88.1</v>
      </c>
      <c r="AN730" s="2">
        <f t="shared" si="11"/>
        <v>11.900000000000006</v>
      </c>
      <c r="AO730" s="3">
        <v>729</v>
      </c>
      <c r="AP730" s="3">
        <v>91</v>
      </c>
      <c r="AQ730" s="3">
        <v>81</v>
      </c>
      <c r="AR730" s="3">
        <v>50</v>
      </c>
      <c r="AS730" s="1">
        <v>17.5</v>
      </c>
      <c r="AT730" s="3">
        <v>7</v>
      </c>
      <c r="AU730" s="3" t="s">
        <v>3051</v>
      </c>
    </row>
    <row r="731" spans="1:47" x14ac:dyDescent="0.3">
      <c r="A731" s="1" t="s">
        <v>2048</v>
      </c>
      <c r="B731" s="1" t="s">
        <v>2047</v>
      </c>
      <c r="C731" s="1" t="s">
        <v>62</v>
      </c>
      <c r="D731" s="1" t="s">
        <v>141</v>
      </c>
      <c r="E731" s="1" t="s">
        <v>2046</v>
      </c>
      <c r="F731" t="s">
        <v>3115</v>
      </c>
      <c r="G731" t="s">
        <v>3282</v>
      </c>
      <c r="H731" t="s">
        <v>52</v>
      </c>
      <c r="I731" t="s">
        <v>52</v>
      </c>
      <c r="J731" t="s">
        <v>52</v>
      </c>
      <c r="K731" t="s">
        <v>52</v>
      </c>
      <c r="L731" s="2">
        <v>0.5</v>
      </c>
      <c r="M731" s="2">
        <v>0.5</v>
      </c>
      <c r="N731" s="2">
        <v>0</v>
      </c>
      <c r="O731" s="2">
        <v>2</v>
      </c>
      <c r="P731" s="2">
        <v>1</v>
      </c>
      <c r="Q731" s="2">
        <v>0.5</v>
      </c>
      <c r="R731" s="2">
        <v>0.5</v>
      </c>
      <c r="S731" s="2">
        <v>1</v>
      </c>
      <c r="T731" s="2">
        <v>1</v>
      </c>
      <c r="U731" s="2">
        <v>2</v>
      </c>
      <c r="V731" s="2">
        <v>1</v>
      </c>
      <c r="W731" s="2">
        <v>0.5</v>
      </c>
      <c r="X731" s="2">
        <v>1</v>
      </c>
      <c r="Y731" s="2">
        <v>2</v>
      </c>
      <c r="Z731" s="2">
        <v>1</v>
      </c>
      <c r="AA731" s="2">
        <v>1</v>
      </c>
      <c r="AB731" s="2">
        <v>1</v>
      </c>
      <c r="AC731" s="2">
        <v>0.5</v>
      </c>
      <c r="AD731" s="2">
        <v>74</v>
      </c>
      <c r="AE731" s="2">
        <v>3840</v>
      </c>
      <c r="AF731" s="2">
        <v>70</v>
      </c>
      <c r="AG731" s="2">
        <v>530</v>
      </c>
      <c r="AH731" s="2">
        <v>45</v>
      </c>
      <c r="AI731" s="2">
        <v>74</v>
      </c>
      <c r="AJ731" s="1">
        <v>1059860</v>
      </c>
      <c r="AK731" s="1">
        <v>1.8</v>
      </c>
      <c r="AL731" s="1">
        <v>80</v>
      </c>
      <c r="AM731" s="2">
        <v>88.1</v>
      </c>
      <c r="AN731" s="2">
        <f t="shared" si="11"/>
        <v>11.900000000000006</v>
      </c>
      <c r="AO731" s="3">
        <v>730</v>
      </c>
      <c r="AP731" s="3">
        <v>126</v>
      </c>
      <c r="AQ731" s="3">
        <v>116</v>
      </c>
      <c r="AR731" s="3">
        <v>60</v>
      </c>
      <c r="AS731" s="1">
        <v>44</v>
      </c>
      <c r="AT731" s="3">
        <v>7</v>
      </c>
      <c r="AU731" s="3" t="s">
        <v>3051</v>
      </c>
    </row>
    <row r="732" spans="1:47" x14ac:dyDescent="0.3">
      <c r="A732" s="1" t="s">
        <v>2051</v>
      </c>
      <c r="B732" s="1" t="s">
        <v>2050</v>
      </c>
      <c r="C732" s="1" t="s">
        <v>90</v>
      </c>
      <c r="D732" s="1" t="s">
        <v>58</v>
      </c>
      <c r="E732" s="1" t="s">
        <v>2049</v>
      </c>
      <c r="F732" t="s">
        <v>3118</v>
      </c>
      <c r="G732" t="s">
        <v>3246</v>
      </c>
      <c r="H732" t="s">
        <v>3128</v>
      </c>
      <c r="I732" t="s">
        <v>52</v>
      </c>
      <c r="J732" t="s">
        <v>52</v>
      </c>
      <c r="K732" t="s">
        <v>52</v>
      </c>
      <c r="L732" s="2">
        <v>0.5</v>
      </c>
      <c r="M732" s="2">
        <v>1</v>
      </c>
      <c r="N732" s="2">
        <v>1</v>
      </c>
      <c r="O732" s="2">
        <v>2</v>
      </c>
      <c r="P732" s="2">
        <v>1</v>
      </c>
      <c r="Q732" s="2">
        <v>1</v>
      </c>
      <c r="R732" s="2">
        <v>1</v>
      </c>
      <c r="S732" s="2">
        <v>1</v>
      </c>
      <c r="T732" s="2">
        <v>0</v>
      </c>
      <c r="U732" s="2">
        <v>0.5</v>
      </c>
      <c r="V732" s="2">
        <v>0</v>
      </c>
      <c r="W732" s="2">
        <v>2</v>
      </c>
      <c r="X732" s="2">
        <v>1</v>
      </c>
      <c r="Y732" s="2">
        <v>1</v>
      </c>
      <c r="Z732" s="2">
        <v>1</v>
      </c>
      <c r="AA732" s="2">
        <v>2</v>
      </c>
      <c r="AB732" s="2">
        <v>1</v>
      </c>
      <c r="AC732" s="2">
        <v>1</v>
      </c>
      <c r="AD732" s="2">
        <v>75</v>
      </c>
      <c r="AE732" s="2">
        <v>3840</v>
      </c>
      <c r="AF732" s="2">
        <v>70</v>
      </c>
      <c r="AG732" s="2">
        <v>265</v>
      </c>
      <c r="AH732" s="2">
        <v>255</v>
      </c>
      <c r="AI732" s="2">
        <v>30</v>
      </c>
      <c r="AJ732" s="1">
        <v>1000000</v>
      </c>
      <c r="AK732" s="1">
        <v>0.3</v>
      </c>
      <c r="AL732" s="1">
        <v>35</v>
      </c>
      <c r="AM732" s="2">
        <v>50</v>
      </c>
      <c r="AN732" s="2">
        <f t="shared" si="11"/>
        <v>50</v>
      </c>
      <c r="AO732" s="3">
        <v>731</v>
      </c>
      <c r="AP732" s="3">
        <v>30</v>
      </c>
      <c r="AQ732" s="3">
        <v>30</v>
      </c>
      <c r="AR732" s="3">
        <v>65</v>
      </c>
      <c r="AS732" s="1">
        <v>1.2</v>
      </c>
      <c r="AT732" s="3">
        <v>7</v>
      </c>
      <c r="AU732" s="3" t="s">
        <v>3051</v>
      </c>
    </row>
    <row r="733" spans="1:47" x14ac:dyDescent="0.3">
      <c r="A733" s="1" t="s">
        <v>2054</v>
      </c>
      <c r="B733" s="1" t="s">
        <v>2053</v>
      </c>
      <c r="C733" s="1" t="s">
        <v>90</v>
      </c>
      <c r="D733" s="1" t="s">
        <v>58</v>
      </c>
      <c r="E733" s="1" t="s">
        <v>2052</v>
      </c>
      <c r="F733" t="s">
        <v>3118</v>
      </c>
      <c r="G733" t="s">
        <v>3246</v>
      </c>
      <c r="H733" t="s">
        <v>3128</v>
      </c>
      <c r="I733" t="s">
        <v>52</v>
      </c>
      <c r="J733" t="s">
        <v>52</v>
      </c>
      <c r="K733" t="s">
        <v>52</v>
      </c>
      <c r="L733" s="2">
        <v>0.5</v>
      </c>
      <c r="M733" s="2">
        <v>1</v>
      </c>
      <c r="N733" s="2">
        <v>1</v>
      </c>
      <c r="O733" s="2">
        <v>2</v>
      </c>
      <c r="P733" s="2">
        <v>1</v>
      </c>
      <c r="Q733" s="2">
        <v>1</v>
      </c>
      <c r="R733" s="2">
        <v>1</v>
      </c>
      <c r="S733" s="2">
        <v>1</v>
      </c>
      <c r="T733" s="2">
        <v>0</v>
      </c>
      <c r="U733" s="2">
        <v>0.5</v>
      </c>
      <c r="V733" s="2">
        <v>0</v>
      </c>
      <c r="W733" s="2">
        <v>2</v>
      </c>
      <c r="X733" s="2">
        <v>1</v>
      </c>
      <c r="Y733" s="2">
        <v>1</v>
      </c>
      <c r="Z733" s="2">
        <v>1</v>
      </c>
      <c r="AA733" s="2">
        <v>2</v>
      </c>
      <c r="AB733" s="2">
        <v>1</v>
      </c>
      <c r="AC733" s="2">
        <v>1</v>
      </c>
      <c r="AD733" s="2">
        <v>85</v>
      </c>
      <c r="AE733" s="2">
        <v>3840</v>
      </c>
      <c r="AF733" s="2">
        <v>70</v>
      </c>
      <c r="AG733" s="2">
        <v>355</v>
      </c>
      <c r="AH733" s="2">
        <v>120</v>
      </c>
      <c r="AI733" s="2">
        <v>50</v>
      </c>
      <c r="AJ733" s="1">
        <v>1000000</v>
      </c>
      <c r="AK733" s="1">
        <v>0.6</v>
      </c>
      <c r="AL733" s="1">
        <v>55</v>
      </c>
      <c r="AM733" s="2">
        <v>50</v>
      </c>
      <c r="AN733" s="2">
        <f t="shared" si="11"/>
        <v>50</v>
      </c>
      <c r="AO733" s="3">
        <v>732</v>
      </c>
      <c r="AP733" s="3">
        <v>40</v>
      </c>
      <c r="AQ733" s="3">
        <v>50</v>
      </c>
      <c r="AR733" s="3">
        <v>75</v>
      </c>
      <c r="AS733" s="1">
        <v>14.8</v>
      </c>
      <c r="AT733" s="3">
        <v>7</v>
      </c>
      <c r="AU733" s="3" t="s">
        <v>3051</v>
      </c>
    </row>
    <row r="734" spans="1:47" x14ac:dyDescent="0.3">
      <c r="A734" s="1" t="s">
        <v>2057</v>
      </c>
      <c r="B734" s="1" t="s">
        <v>2056</v>
      </c>
      <c r="C734" s="1" t="s">
        <v>90</v>
      </c>
      <c r="D734" s="1" t="s">
        <v>58</v>
      </c>
      <c r="E734" s="1" t="s">
        <v>2055</v>
      </c>
      <c r="F734" t="s">
        <v>3118</v>
      </c>
      <c r="G734" t="s">
        <v>3246</v>
      </c>
      <c r="H734" t="s">
        <v>3184</v>
      </c>
      <c r="I734" t="s">
        <v>52</v>
      </c>
      <c r="J734" t="s">
        <v>52</v>
      </c>
      <c r="K734" t="s">
        <v>52</v>
      </c>
      <c r="L734" s="2">
        <v>0.5</v>
      </c>
      <c r="M734" s="2">
        <v>1</v>
      </c>
      <c r="N734" s="2">
        <v>1</v>
      </c>
      <c r="O734" s="2">
        <v>2</v>
      </c>
      <c r="P734" s="2">
        <v>1</v>
      </c>
      <c r="Q734" s="2">
        <v>1</v>
      </c>
      <c r="R734" s="2">
        <v>1</v>
      </c>
      <c r="S734" s="2">
        <v>1</v>
      </c>
      <c r="T734" s="2">
        <v>0</v>
      </c>
      <c r="U734" s="2">
        <v>0.5</v>
      </c>
      <c r="V734" s="2">
        <v>0</v>
      </c>
      <c r="W734" s="2">
        <v>2</v>
      </c>
      <c r="X734" s="2">
        <v>1</v>
      </c>
      <c r="Y734" s="2">
        <v>1</v>
      </c>
      <c r="Z734" s="2">
        <v>1</v>
      </c>
      <c r="AA734" s="2">
        <v>2</v>
      </c>
      <c r="AB734" s="2">
        <v>1</v>
      </c>
      <c r="AC734" s="2">
        <v>1</v>
      </c>
      <c r="AD734" s="2">
        <v>120</v>
      </c>
      <c r="AE734" s="2">
        <v>3840</v>
      </c>
      <c r="AF734" s="2">
        <v>70</v>
      </c>
      <c r="AG734" s="2">
        <v>485</v>
      </c>
      <c r="AH734" s="2">
        <v>45</v>
      </c>
      <c r="AI734" s="2">
        <v>75</v>
      </c>
      <c r="AJ734" s="1">
        <v>1000000</v>
      </c>
      <c r="AK734" s="1">
        <v>1.1000000000000001</v>
      </c>
      <c r="AL734" s="1">
        <v>80</v>
      </c>
      <c r="AM734" s="2">
        <v>50</v>
      </c>
      <c r="AN734" s="2">
        <f t="shared" si="11"/>
        <v>50</v>
      </c>
      <c r="AO734" s="3">
        <v>733</v>
      </c>
      <c r="AP734" s="3">
        <v>75</v>
      </c>
      <c r="AQ734" s="3">
        <v>75</v>
      </c>
      <c r="AR734" s="3">
        <v>60</v>
      </c>
      <c r="AS734" s="1">
        <v>26</v>
      </c>
      <c r="AT734" s="3">
        <v>7</v>
      </c>
      <c r="AU734" s="3" t="s">
        <v>3051</v>
      </c>
    </row>
    <row r="735" spans="1:47" x14ac:dyDescent="0.3">
      <c r="A735" s="1" t="s">
        <v>2060</v>
      </c>
      <c r="B735" s="1" t="s">
        <v>2059</v>
      </c>
      <c r="C735" s="1" t="s">
        <v>90</v>
      </c>
      <c r="D735" s="1" t="s">
        <v>52</v>
      </c>
      <c r="E735" s="1" t="s">
        <v>2058</v>
      </c>
      <c r="F735" t="s">
        <v>3203</v>
      </c>
      <c r="G735" t="s">
        <v>3199</v>
      </c>
      <c r="H735" t="s">
        <v>3176</v>
      </c>
      <c r="I735" t="s">
        <v>52</v>
      </c>
      <c r="J735" t="s">
        <v>52</v>
      </c>
      <c r="K735" t="s">
        <v>52</v>
      </c>
      <c r="L735" s="2">
        <v>1</v>
      </c>
      <c r="M735" s="2">
        <v>1</v>
      </c>
      <c r="N735" s="2">
        <v>1</v>
      </c>
      <c r="O735" s="2">
        <v>1</v>
      </c>
      <c r="P735" s="2">
        <v>1</v>
      </c>
      <c r="Q735" s="2">
        <v>2</v>
      </c>
      <c r="R735" s="2">
        <v>1</v>
      </c>
      <c r="S735" s="2">
        <v>1</v>
      </c>
      <c r="T735" s="2">
        <v>0</v>
      </c>
      <c r="U735" s="2">
        <v>1</v>
      </c>
      <c r="V735" s="2">
        <v>1</v>
      </c>
      <c r="W735" s="2">
        <v>1</v>
      </c>
      <c r="X735" s="2">
        <v>1</v>
      </c>
      <c r="Y735" s="2">
        <v>1</v>
      </c>
      <c r="Z735" s="2">
        <v>1</v>
      </c>
      <c r="AA735" s="2">
        <v>1</v>
      </c>
      <c r="AB735" s="2">
        <v>1</v>
      </c>
      <c r="AC735" s="2">
        <v>1</v>
      </c>
      <c r="AD735" s="2">
        <v>70</v>
      </c>
      <c r="AE735" s="2">
        <v>3840</v>
      </c>
      <c r="AF735" s="2">
        <v>70</v>
      </c>
      <c r="AG735" s="2">
        <v>253</v>
      </c>
      <c r="AH735" s="2">
        <v>255</v>
      </c>
      <c r="AI735" s="2">
        <v>30</v>
      </c>
      <c r="AJ735" s="1">
        <v>1000000</v>
      </c>
      <c r="AK735" s="1">
        <v>0.4</v>
      </c>
      <c r="AL735" s="1">
        <v>48</v>
      </c>
      <c r="AM735" s="2">
        <v>50</v>
      </c>
      <c r="AN735" s="2">
        <f t="shared" si="11"/>
        <v>50</v>
      </c>
      <c r="AO735" s="3">
        <v>734</v>
      </c>
      <c r="AP735" s="3">
        <v>30</v>
      </c>
      <c r="AQ735" s="3">
        <v>30</v>
      </c>
      <c r="AR735" s="3">
        <v>45</v>
      </c>
      <c r="AS735" s="1">
        <v>6</v>
      </c>
      <c r="AT735" s="3">
        <v>7</v>
      </c>
      <c r="AU735" s="3" t="s">
        <v>3051</v>
      </c>
    </row>
    <row r="736" spans="1:47" x14ac:dyDescent="0.3">
      <c r="A736" s="1" t="s">
        <v>2063</v>
      </c>
      <c r="B736" s="1" t="s">
        <v>2062</v>
      </c>
      <c r="C736" s="1" t="s">
        <v>90</v>
      </c>
      <c r="D736" s="1" t="s">
        <v>52</v>
      </c>
      <c r="E736" s="1" t="s">
        <v>2061</v>
      </c>
      <c r="F736" t="s">
        <v>3203</v>
      </c>
      <c r="G736" t="s">
        <v>3199</v>
      </c>
      <c r="H736" t="s">
        <v>3176</v>
      </c>
      <c r="I736" t="s">
        <v>52</v>
      </c>
      <c r="J736" t="s">
        <v>52</v>
      </c>
      <c r="K736" t="s">
        <v>52</v>
      </c>
      <c r="L736" s="2">
        <v>1</v>
      </c>
      <c r="M736" s="2">
        <v>1</v>
      </c>
      <c r="N736" s="2">
        <v>1</v>
      </c>
      <c r="O736" s="2">
        <v>1</v>
      </c>
      <c r="P736" s="2">
        <v>1</v>
      </c>
      <c r="Q736" s="2">
        <v>2</v>
      </c>
      <c r="R736" s="2">
        <v>1</v>
      </c>
      <c r="S736" s="2">
        <v>1</v>
      </c>
      <c r="T736" s="2">
        <v>0</v>
      </c>
      <c r="U736" s="2">
        <v>1</v>
      </c>
      <c r="V736" s="2">
        <v>1</v>
      </c>
      <c r="W736" s="2">
        <v>1</v>
      </c>
      <c r="X736" s="2">
        <v>1</v>
      </c>
      <c r="Y736" s="2">
        <v>1</v>
      </c>
      <c r="Z736" s="2">
        <v>1</v>
      </c>
      <c r="AA736" s="2">
        <v>1</v>
      </c>
      <c r="AB736" s="2">
        <v>1</v>
      </c>
      <c r="AC736" s="2">
        <v>1</v>
      </c>
      <c r="AD736" s="2">
        <v>110</v>
      </c>
      <c r="AE736" s="2">
        <v>3840</v>
      </c>
      <c r="AF736" s="2">
        <v>70</v>
      </c>
      <c r="AG736" s="2">
        <v>418</v>
      </c>
      <c r="AH736" s="2">
        <v>127</v>
      </c>
      <c r="AI736" s="2">
        <v>60</v>
      </c>
      <c r="AJ736" s="1">
        <v>1000000</v>
      </c>
      <c r="AK736" s="1">
        <v>0.7</v>
      </c>
      <c r="AL736" s="1">
        <v>88</v>
      </c>
      <c r="AM736" s="2">
        <v>50</v>
      </c>
      <c r="AN736" s="2">
        <f t="shared" si="11"/>
        <v>50</v>
      </c>
      <c r="AO736" s="3">
        <v>735</v>
      </c>
      <c r="AP736" s="3">
        <v>55</v>
      </c>
      <c r="AQ736" s="3">
        <v>60</v>
      </c>
      <c r="AR736" s="3">
        <v>45</v>
      </c>
      <c r="AS736" s="1">
        <v>14.2</v>
      </c>
      <c r="AT736" s="3">
        <v>7</v>
      </c>
      <c r="AU736" s="3" t="s">
        <v>3051</v>
      </c>
    </row>
    <row r="737" spans="1:47" x14ac:dyDescent="0.3">
      <c r="A737" s="1" t="s">
        <v>2066</v>
      </c>
      <c r="B737" s="1" t="s">
        <v>2065</v>
      </c>
      <c r="C737" s="1" t="s">
        <v>72</v>
      </c>
      <c r="D737" s="1" t="s">
        <v>52</v>
      </c>
      <c r="E737" s="1" t="s">
        <v>2064</v>
      </c>
      <c r="F737" t="s">
        <v>3093</v>
      </c>
      <c r="G737" t="s">
        <v>52</v>
      </c>
      <c r="H737" t="s">
        <v>52</v>
      </c>
      <c r="I737" t="s">
        <v>52</v>
      </c>
      <c r="J737" t="s">
        <v>52</v>
      </c>
      <c r="K737" t="s">
        <v>52</v>
      </c>
      <c r="L737" s="2">
        <v>1</v>
      </c>
      <c r="M737" s="2">
        <v>1</v>
      </c>
      <c r="N737" s="2">
        <v>1</v>
      </c>
      <c r="O737" s="2">
        <v>1</v>
      </c>
      <c r="P737" s="2">
        <v>1</v>
      </c>
      <c r="Q737" s="2">
        <v>0.5</v>
      </c>
      <c r="R737" s="2">
        <v>2</v>
      </c>
      <c r="S737" s="2">
        <v>2</v>
      </c>
      <c r="T737" s="2">
        <v>1</v>
      </c>
      <c r="U737" s="2">
        <v>0.5</v>
      </c>
      <c r="V737" s="2">
        <v>0.5</v>
      </c>
      <c r="W737" s="2">
        <v>1</v>
      </c>
      <c r="X737" s="2">
        <v>1</v>
      </c>
      <c r="Y737" s="2">
        <v>1</v>
      </c>
      <c r="Z737" s="2">
        <v>1</v>
      </c>
      <c r="AA737" s="2">
        <v>2</v>
      </c>
      <c r="AB737" s="2">
        <v>1</v>
      </c>
      <c r="AC737" s="2">
        <v>1</v>
      </c>
      <c r="AD737" s="2">
        <v>62</v>
      </c>
      <c r="AE737" s="2">
        <v>3840</v>
      </c>
      <c r="AF737" s="2">
        <v>70</v>
      </c>
      <c r="AG737" s="2">
        <v>300</v>
      </c>
      <c r="AH737" s="2">
        <v>255</v>
      </c>
      <c r="AI737" s="2">
        <v>45</v>
      </c>
      <c r="AJ737" s="1">
        <v>1000000</v>
      </c>
      <c r="AK737" s="1">
        <v>0.4</v>
      </c>
      <c r="AL737" s="1">
        <v>47</v>
      </c>
      <c r="AM737" s="2">
        <v>50</v>
      </c>
      <c r="AN737" s="2">
        <f t="shared" si="11"/>
        <v>50</v>
      </c>
      <c r="AO737" s="3">
        <v>736</v>
      </c>
      <c r="AP737" s="3">
        <v>55</v>
      </c>
      <c r="AQ737" s="3">
        <v>45</v>
      </c>
      <c r="AR737" s="3">
        <v>46</v>
      </c>
      <c r="AS737" s="1">
        <v>4.4000000000000004</v>
      </c>
      <c r="AT737" s="3">
        <v>7</v>
      </c>
      <c r="AU737" s="3" t="s">
        <v>3051</v>
      </c>
    </row>
    <row r="738" spans="1:47" x14ac:dyDescent="0.3">
      <c r="A738" s="1" t="s">
        <v>2069</v>
      </c>
      <c r="B738" s="1" t="s">
        <v>2068</v>
      </c>
      <c r="C738" s="1" t="s">
        <v>72</v>
      </c>
      <c r="D738" s="1" t="s">
        <v>115</v>
      </c>
      <c r="E738" s="1" t="s">
        <v>2067</v>
      </c>
      <c r="F738" t="s">
        <v>3094</v>
      </c>
      <c r="G738" t="s">
        <v>52</v>
      </c>
      <c r="H738" t="s">
        <v>52</v>
      </c>
      <c r="I738" t="s">
        <v>52</v>
      </c>
      <c r="J738" t="s">
        <v>52</v>
      </c>
      <c r="K738" t="s">
        <v>52</v>
      </c>
      <c r="L738" s="2">
        <v>1</v>
      </c>
      <c r="M738" s="2">
        <v>1</v>
      </c>
      <c r="N738" s="2">
        <v>1</v>
      </c>
      <c r="O738" s="2">
        <v>0.5</v>
      </c>
      <c r="P738" s="2">
        <v>1</v>
      </c>
      <c r="Q738" s="2">
        <v>0.5</v>
      </c>
      <c r="R738" s="2">
        <v>2</v>
      </c>
      <c r="S738" s="2">
        <v>1</v>
      </c>
      <c r="T738" s="2">
        <v>1</v>
      </c>
      <c r="U738" s="2">
        <v>0.5</v>
      </c>
      <c r="V738" s="2">
        <v>1</v>
      </c>
      <c r="W738" s="2">
        <v>1</v>
      </c>
      <c r="X738" s="2">
        <v>1</v>
      </c>
      <c r="Y738" s="2">
        <v>1</v>
      </c>
      <c r="Z738" s="2">
        <v>1</v>
      </c>
      <c r="AA738" s="2">
        <v>2</v>
      </c>
      <c r="AB738" s="2">
        <v>0.5</v>
      </c>
      <c r="AC738" s="2">
        <v>1</v>
      </c>
      <c r="AD738" s="2">
        <v>82</v>
      </c>
      <c r="AE738" s="2">
        <v>3840</v>
      </c>
      <c r="AF738" s="2">
        <v>70</v>
      </c>
      <c r="AG738" s="2">
        <v>400</v>
      </c>
      <c r="AH738" s="2">
        <v>120</v>
      </c>
      <c r="AI738" s="2">
        <v>95</v>
      </c>
      <c r="AJ738" s="1">
        <v>1000000</v>
      </c>
      <c r="AK738" s="1">
        <v>0.5</v>
      </c>
      <c r="AL738" s="1">
        <v>57</v>
      </c>
      <c r="AM738" s="2">
        <v>50</v>
      </c>
      <c r="AN738" s="2">
        <f t="shared" si="11"/>
        <v>50</v>
      </c>
      <c r="AO738" s="3">
        <v>737</v>
      </c>
      <c r="AP738" s="3">
        <v>55</v>
      </c>
      <c r="AQ738" s="3">
        <v>75</v>
      </c>
      <c r="AR738" s="3">
        <v>36</v>
      </c>
      <c r="AS738" s="1">
        <v>10.5</v>
      </c>
      <c r="AT738" s="3">
        <v>7</v>
      </c>
      <c r="AU738" s="3" t="s">
        <v>3051</v>
      </c>
    </row>
    <row r="739" spans="1:47" x14ac:dyDescent="0.3">
      <c r="A739" s="1" t="s">
        <v>2072</v>
      </c>
      <c r="B739" s="1" t="s">
        <v>2071</v>
      </c>
      <c r="C739" s="1" t="s">
        <v>72</v>
      </c>
      <c r="D739" s="1" t="s">
        <v>115</v>
      </c>
      <c r="E739" s="1" t="s">
        <v>2070</v>
      </c>
      <c r="F739" t="s">
        <v>3055</v>
      </c>
      <c r="G739" t="s">
        <v>52</v>
      </c>
      <c r="H739" t="s">
        <v>52</v>
      </c>
      <c r="I739" t="s">
        <v>52</v>
      </c>
      <c r="J739" t="s">
        <v>52</v>
      </c>
      <c r="K739" t="s">
        <v>52</v>
      </c>
      <c r="L739" s="2">
        <v>1</v>
      </c>
      <c r="M739" s="2">
        <v>1</v>
      </c>
      <c r="N739" s="2">
        <v>1</v>
      </c>
      <c r="O739" s="2">
        <v>0.5</v>
      </c>
      <c r="P739" s="2">
        <v>1</v>
      </c>
      <c r="Q739" s="2">
        <v>0.5</v>
      </c>
      <c r="R739" s="2">
        <v>2</v>
      </c>
      <c r="S739" s="2">
        <v>1</v>
      </c>
      <c r="T739" s="2">
        <v>1</v>
      </c>
      <c r="U739" s="2">
        <v>0.5</v>
      </c>
      <c r="V739" s="2">
        <v>1</v>
      </c>
      <c r="W739" s="2">
        <v>1</v>
      </c>
      <c r="X739" s="2">
        <v>1</v>
      </c>
      <c r="Y739" s="2">
        <v>1</v>
      </c>
      <c r="Z739" s="2">
        <v>1</v>
      </c>
      <c r="AA739" s="2">
        <v>2</v>
      </c>
      <c r="AB739" s="2">
        <v>0.5</v>
      </c>
      <c r="AC739" s="2">
        <v>1</v>
      </c>
      <c r="AD739" s="2">
        <v>70</v>
      </c>
      <c r="AE739" s="2">
        <v>3840</v>
      </c>
      <c r="AF739" s="2">
        <v>70</v>
      </c>
      <c r="AG739" s="2">
        <v>500</v>
      </c>
      <c r="AH739" s="2">
        <v>45</v>
      </c>
      <c r="AI739" s="2">
        <v>90</v>
      </c>
      <c r="AJ739" s="1">
        <v>1000000</v>
      </c>
      <c r="AK739" s="1">
        <v>1.5</v>
      </c>
      <c r="AL739" s="1">
        <v>77</v>
      </c>
      <c r="AM739" s="2">
        <v>50</v>
      </c>
      <c r="AN739" s="2">
        <f t="shared" si="11"/>
        <v>50</v>
      </c>
      <c r="AO739" s="3">
        <v>738</v>
      </c>
      <c r="AP739" s="3">
        <v>145</v>
      </c>
      <c r="AQ739" s="3">
        <v>75</v>
      </c>
      <c r="AR739" s="3">
        <v>43</v>
      </c>
      <c r="AS739" s="1">
        <v>45</v>
      </c>
      <c r="AT739" s="3">
        <v>7</v>
      </c>
      <c r="AU739" s="3" t="s">
        <v>3051</v>
      </c>
    </row>
    <row r="740" spans="1:47" x14ac:dyDescent="0.3">
      <c r="A740" s="1" t="s">
        <v>2075</v>
      </c>
      <c r="B740" s="1" t="s">
        <v>2074</v>
      </c>
      <c r="C740" s="1" t="s">
        <v>197</v>
      </c>
      <c r="D740" s="1" t="s">
        <v>52</v>
      </c>
      <c r="E740" s="1" t="s">
        <v>2073</v>
      </c>
      <c r="F740" t="s">
        <v>3138</v>
      </c>
      <c r="G740" t="s">
        <v>3190</v>
      </c>
      <c r="H740" t="s">
        <v>3240</v>
      </c>
      <c r="I740" t="s">
        <v>52</v>
      </c>
      <c r="J740" t="s">
        <v>52</v>
      </c>
      <c r="K740" t="s">
        <v>52</v>
      </c>
      <c r="L740" s="2">
        <v>0.5</v>
      </c>
      <c r="M740" s="2">
        <v>0.5</v>
      </c>
      <c r="N740" s="2">
        <v>1</v>
      </c>
      <c r="O740" s="2">
        <v>1</v>
      </c>
      <c r="P740" s="2">
        <v>2</v>
      </c>
      <c r="Q740" s="2">
        <v>1</v>
      </c>
      <c r="R740" s="2">
        <v>1</v>
      </c>
      <c r="S740" s="2">
        <v>2</v>
      </c>
      <c r="T740" s="2">
        <v>1</v>
      </c>
      <c r="U740" s="2">
        <v>1</v>
      </c>
      <c r="V740" s="2">
        <v>1</v>
      </c>
      <c r="W740" s="2">
        <v>1</v>
      </c>
      <c r="X740" s="2">
        <v>1</v>
      </c>
      <c r="Y740" s="2">
        <v>1</v>
      </c>
      <c r="Z740" s="2">
        <v>2</v>
      </c>
      <c r="AA740" s="2">
        <v>0.5</v>
      </c>
      <c r="AB740" s="2">
        <v>1</v>
      </c>
      <c r="AC740" s="2">
        <v>1</v>
      </c>
      <c r="AD740" s="2">
        <v>82</v>
      </c>
      <c r="AE740" s="2">
        <v>5120</v>
      </c>
      <c r="AF740" s="2">
        <v>70</v>
      </c>
      <c r="AG740" s="2">
        <v>338</v>
      </c>
      <c r="AH740" s="2">
        <v>225</v>
      </c>
      <c r="AI740" s="2">
        <v>57</v>
      </c>
      <c r="AJ740" s="1">
        <v>1000000</v>
      </c>
      <c r="AK740" s="1">
        <v>0.6</v>
      </c>
      <c r="AL740" s="1">
        <v>47</v>
      </c>
      <c r="AM740" s="2">
        <v>50</v>
      </c>
      <c r="AN740" s="2">
        <f t="shared" si="11"/>
        <v>50</v>
      </c>
      <c r="AO740" s="3">
        <v>739</v>
      </c>
      <c r="AP740" s="3">
        <v>42</v>
      </c>
      <c r="AQ740" s="3">
        <v>47</v>
      </c>
      <c r="AR740" s="3">
        <v>63</v>
      </c>
      <c r="AS740" s="1">
        <v>7</v>
      </c>
      <c r="AT740" s="3">
        <v>7</v>
      </c>
      <c r="AU740" s="3" t="s">
        <v>3051</v>
      </c>
    </row>
    <row r="741" spans="1:47" x14ac:dyDescent="0.3">
      <c r="A741" s="1" t="s">
        <v>2078</v>
      </c>
      <c r="B741" s="1" t="s">
        <v>2077</v>
      </c>
      <c r="C741" s="1" t="s">
        <v>197</v>
      </c>
      <c r="D741" s="1" t="s">
        <v>121</v>
      </c>
      <c r="E741" s="1" t="s">
        <v>2076</v>
      </c>
      <c r="F741" t="s">
        <v>3138</v>
      </c>
      <c r="G741" t="s">
        <v>3190</v>
      </c>
      <c r="H741" t="s">
        <v>3240</v>
      </c>
      <c r="I741" t="s">
        <v>52</v>
      </c>
      <c r="J741" t="s">
        <v>52</v>
      </c>
      <c r="K741" t="s">
        <v>52</v>
      </c>
      <c r="L741" s="2">
        <v>0.5</v>
      </c>
      <c r="M741" s="2">
        <v>0.5</v>
      </c>
      <c r="N741" s="2">
        <v>1</v>
      </c>
      <c r="O741" s="2">
        <v>1</v>
      </c>
      <c r="P741" s="2">
        <v>2</v>
      </c>
      <c r="Q741" s="2">
        <v>2</v>
      </c>
      <c r="R741" s="2">
        <v>2</v>
      </c>
      <c r="S741" s="2">
        <v>2</v>
      </c>
      <c r="T741" s="2">
        <v>1</v>
      </c>
      <c r="U741" s="2">
        <v>1</v>
      </c>
      <c r="V741" s="2">
        <v>1</v>
      </c>
      <c r="W741" s="2">
        <v>0.5</v>
      </c>
      <c r="X741" s="2">
        <v>1</v>
      </c>
      <c r="Y741" s="2">
        <v>1</v>
      </c>
      <c r="Z741" s="2">
        <v>2</v>
      </c>
      <c r="AA741" s="2">
        <v>1</v>
      </c>
      <c r="AB741" s="2">
        <v>2</v>
      </c>
      <c r="AC741" s="2">
        <v>1</v>
      </c>
      <c r="AD741" s="2">
        <v>132</v>
      </c>
      <c r="AE741" s="2">
        <v>5120</v>
      </c>
      <c r="AF741" s="2">
        <v>70</v>
      </c>
      <c r="AG741" s="2">
        <v>478</v>
      </c>
      <c r="AH741" s="2">
        <v>60</v>
      </c>
      <c r="AI741" s="2">
        <v>77</v>
      </c>
      <c r="AJ741" s="1">
        <v>1000000</v>
      </c>
      <c r="AK741" s="1">
        <v>1.7</v>
      </c>
      <c r="AL741" s="1">
        <v>97</v>
      </c>
      <c r="AM741" s="2">
        <v>50</v>
      </c>
      <c r="AN741" s="2">
        <f t="shared" si="11"/>
        <v>50</v>
      </c>
      <c r="AO741" s="3">
        <v>740</v>
      </c>
      <c r="AP741" s="3">
        <v>62</v>
      </c>
      <c r="AQ741" s="3">
        <v>67</v>
      </c>
      <c r="AR741" s="3">
        <v>43</v>
      </c>
      <c r="AS741" s="1">
        <v>180</v>
      </c>
      <c r="AT741" s="3">
        <v>7</v>
      </c>
      <c r="AU741" s="3" t="s">
        <v>3051</v>
      </c>
    </row>
    <row r="742" spans="1:47" x14ac:dyDescent="0.3">
      <c r="A742" s="1" t="s">
        <v>2081</v>
      </c>
      <c r="B742" s="1" t="s">
        <v>2080</v>
      </c>
      <c r="C742" s="1" t="s">
        <v>51</v>
      </c>
      <c r="D742" s="1" t="s">
        <v>58</v>
      </c>
      <c r="E742" s="1" t="s">
        <v>2079</v>
      </c>
      <c r="F742" t="s">
        <v>3095</v>
      </c>
      <c r="G742" t="s">
        <v>52</v>
      </c>
      <c r="H742" t="s">
        <v>52</v>
      </c>
      <c r="I742" t="s">
        <v>52</v>
      </c>
      <c r="J742" t="s">
        <v>52</v>
      </c>
      <c r="K742" t="s">
        <v>52</v>
      </c>
      <c r="L742" s="2">
        <v>0.25</v>
      </c>
      <c r="M742" s="2">
        <v>1</v>
      </c>
      <c r="N742" s="2">
        <v>1</v>
      </c>
      <c r="O742" s="2">
        <v>2</v>
      </c>
      <c r="P742" s="2">
        <v>0.5</v>
      </c>
      <c r="Q742" s="2">
        <v>0.5</v>
      </c>
      <c r="R742" s="2">
        <v>0.5</v>
      </c>
      <c r="S742" s="2">
        <v>1</v>
      </c>
      <c r="T742" s="2">
        <v>1</v>
      </c>
      <c r="U742" s="2">
        <v>0.25</v>
      </c>
      <c r="V742" s="2">
        <v>0</v>
      </c>
      <c r="W742" s="2">
        <v>1</v>
      </c>
      <c r="X742" s="2">
        <v>1</v>
      </c>
      <c r="Y742" s="2">
        <v>1</v>
      </c>
      <c r="Z742" s="2">
        <v>1</v>
      </c>
      <c r="AA742" s="2">
        <v>4</v>
      </c>
      <c r="AB742" s="2">
        <v>0.5</v>
      </c>
      <c r="AC742" s="2">
        <v>2</v>
      </c>
      <c r="AD742" s="2">
        <v>70</v>
      </c>
      <c r="AE742" s="2">
        <v>5120</v>
      </c>
      <c r="AF742" s="2">
        <v>70</v>
      </c>
      <c r="AG742" s="2">
        <v>476</v>
      </c>
      <c r="AH742" s="2">
        <v>45</v>
      </c>
      <c r="AI742" s="2">
        <v>70</v>
      </c>
      <c r="AJ742" s="1">
        <v>1000000</v>
      </c>
      <c r="AK742" s="1">
        <v>0.6</v>
      </c>
      <c r="AL742" s="1">
        <v>75</v>
      </c>
      <c r="AM742" s="2">
        <v>24.6</v>
      </c>
      <c r="AN742" s="2">
        <f t="shared" si="11"/>
        <v>75.400000000000006</v>
      </c>
      <c r="AO742" s="3">
        <v>741</v>
      </c>
      <c r="AP742" s="3">
        <v>98</v>
      </c>
      <c r="AQ742" s="3">
        <v>70</v>
      </c>
      <c r="AR742" s="3">
        <v>93</v>
      </c>
      <c r="AS742" s="1">
        <v>3.4</v>
      </c>
      <c r="AT742" s="3">
        <v>7</v>
      </c>
      <c r="AU742" s="3" t="s">
        <v>3051</v>
      </c>
    </row>
    <row r="743" spans="1:47" x14ac:dyDescent="0.3">
      <c r="A743" s="1" t="s">
        <v>2084</v>
      </c>
      <c r="B743" s="1" t="s">
        <v>2083</v>
      </c>
      <c r="C743" s="1" t="s">
        <v>72</v>
      </c>
      <c r="D743" s="1" t="s">
        <v>141</v>
      </c>
      <c r="E743" s="1" t="s">
        <v>2082</v>
      </c>
      <c r="F743" t="s">
        <v>3167</v>
      </c>
      <c r="G743" t="s">
        <v>3116</v>
      </c>
      <c r="H743" t="s">
        <v>3195</v>
      </c>
      <c r="I743" t="s">
        <v>52</v>
      </c>
      <c r="J743" t="s">
        <v>52</v>
      </c>
      <c r="K743" t="s">
        <v>52</v>
      </c>
      <c r="L743" s="2">
        <v>0.5</v>
      </c>
      <c r="M743" s="2">
        <v>0.5</v>
      </c>
      <c r="N743" s="2">
        <v>0</v>
      </c>
      <c r="O743" s="2">
        <v>1</v>
      </c>
      <c r="P743" s="2">
        <v>1</v>
      </c>
      <c r="Q743" s="2">
        <v>0.25</v>
      </c>
      <c r="R743" s="2">
        <v>2</v>
      </c>
      <c r="S743" s="2">
        <v>2</v>
      </c>
      <c r="T743" s="2">
        <v>1</v>
      </c>
      <c r="U743" s="2">
        <v>0.5</v>
      </c>
      <c r="V743" s="2">
        <v>0.5</v>
      </c>
      <c r="W743" s="2">
        <v>1</v>
      </c>
      <c r="X743" s="2">
        <v>1</v>
      </c>
      <c r="Y743" s="2">
        <v>2</v>
      </c>
      <c r="Z743" s="2">
        <v>1</v>
      </c>
      <c r="AA743" s="2">
        <v>2</v>
      </c>
      <c r="AB743" s="2">
        <v>2</v>
      </c>
      <c r="AC743" s="2">
        <v>1</v>
      </c>
      <c r="AD743" s="2">
        <v>45</v>
      </c>
      <c r="AE743" s="2">
        <v>5120</v>
      </c>
      <c r="AF743" s="2">
        <v>70</v>
      </c>
      <c r="AG743" s="2">
        <v>304</v>
      </c>
      <c r="AH743" s="2">
        <v>190</v>
      </c>
      <c r="AI743" s="2">
        <v>40</v>
      </c>
      <c r="AJ743" s="1">
        <v>1000000</v>
      </c>
      <c r="AK743" s="1">
        <v>0.1</v>
      </c>
      <c r="AL743" s="1">
        <v>40</v>
      </c>
      <c r="AM743" s="2">
        <v>50</v>
      </c>
      <c r="AN743" s="2">
        <f t="shared" si="11"/>
        <v>50</v>
      </c>
      <c r="AO743" s="3">
        <v>742</v>
      </c>
      <c r="AP743" s="3">
        <v>55</v>
      </c>
      <c r="AQ743" s="3">
        <v>40</v>
      </c>
      <c r="AR743" s="3">
        <v>84</v>
      </c>
      <c r="AS743" s="1">
        <v>0.2</v>
      </c>
      <c r="AT743" s="3">
        <v>7</v>
      </c>
      <c r="AU743" s="3" t="s">
        <v>3051</v>
      </c>
    </row>
    <row r="744" spans="1:47" x14ac:dyDescent="0.3">
      <c r="A744" s="1" t="s">
        <v>2086</v>
      </c>
      <c r="B744" s="1" t="s">
        <v>2085</v>
      </c>
      <c r="C744" s="1" t="s">
        <v>72</v>
      </c>
      <c r="D744" s="1" t="s">
        <v>141</v>
      </c>
      <c r="E744" s="1" t="s">
        <v>2082</v>
      </c>
      <c r="F744" t="s">
        <v>3167</v>
      </c>
      <c r="G744" t="s">
        <v>3116</v>
      </c>
      <c r="H744" t="s">
        <v>3195</v>
      </c>
      <c r="I744" t="s">
        <v>52</v>
      </c>
      <c r="J744" t="s">
        <v>52</v>
      </c>
      <c r="K744" t="s">
        <v>52</v>
      </c>
      <c r="L744" s="2">
        <v>0.5</v>
      </c>
      <c r="M744" s="2">
        <v>0.5</v>
      </c>
      <c r="N744" s="2">
        <v>0</v>
      </c>
      <c r="O744" s="2">
        <v>1</v>
      </c>
      <c r="P744" s="2">
        <v>1</v>
      </c>
      <c r="Q744" s="2">
        <v>0.25</v>
      </c>
      <c r="R744" s="2">
        <v>2</v>
      </c>
      <c r="S744" s="2">
        <v>2</v>
      </c>
      <c r="T744" s="2">
        <v>1</v>
      </c>
      <c r="U744" s="2">
        <v>0.5</v>
      </c>
      <c r="V744" s="2">
        <v>0.5</v>
      </c>
      <c r="W744" s="2">
        <v>1</v>
      </c>
      <c r="X744" s="2">
        <v>1</v>
      </c>
      <c r="Y744" s="2">
        <v>2</v>
      </c>
      <c r="Z744" s="2">
        <v>1</v>
      </c>
      <c r="AA744" s="2">
        <v>2</v>
      </c>
      <c r="AB744" s="2">
        <v>2</v>
      </c>
      <c r="AC744" s="2">
        <v>1</v>
      </c>
      <c r="AD744" s="2">
        <v>55</v>
      </c>
      <c r="AE744" s="2">
        <v>5120</v>
      </c>
      <c r="AF744" s="2">
        <v>70</v>
      </c>
      <c r="AG744" s="2">
        <v>464</v>
      </c>
      <c r="AH744" s="2">
        <v>75</v>
      </c>
      <c r="AI744" s="2">
        <v>60</v>
      </c>
      <c r="AJ744" s="1">
        <v>1000000</v>
      </c>
      <c r="AK744" s="1">
        <v>0.2</v>
      </c>
      <c r="AL744" s="1">
        <v>60</v>
      </c>
      <c r="AM744" s="2">
        <v>50</v>
      </c>
      <c r="AN744" s="2">
        <f t="shared" si="11"/>
        <v>50</v>
      </c>
      <c r="AO744" s="3">
        <v>743</v>
      </c>
      <c r="AP744" s="3">
        <v>95</v>
      </c>
      <c r="AQ744" s="3">
        <v>70</v>
      </c>
      <c r="AR744" s="3">
        <v>124</v>
      </c>
      <c r="AS744" s="1">
        <v>0.5</v>
      </c>
      <c r="AT744" s="3">
        <v>7</v>
      </c>
      <c r="AU744" s="3" t="s">
        <v>3051</v>
      </c>
    </row>
    <row r="745" spans="1:47" x14ac:dyDescent="0.3">
      <c r="A745" s="1" t="s">
        <v>2088</v>
      </c>
      <c r="B745" s="1" t="s">
        <v>2087</v>
      </c>
      <c r="C745" s="1" t="s">
        <v>243</v>
      </c>
      <c r="D745" s="1" t="s">
        <v>52</v>
      </c>
      <c r="E745" s="1" t="s">
        <v>200</v>
      </c>
      <c r="F745" t="s">
        <v>3118</v>
      </c>
      <c r="G745" t="s">
        <v>3060</v>
      </c>
      <c r="H745" t="s">
        <v>3171</v>
      </c>
      <c r="I745" t="s">
        <v>52</v>
      </c>
      <c r="J745" t="s">
        <v>52</v>
      </c>
      <c r="K745" t="s">
        <v>52</v>
      </c>
      <c r="L745" s="2">
        <v>1</v>
      </c>
      <c r="M745" s="2">
        <v>1</v>
      </c>
      <c r="N745" s="2">
        <v>1</v>
      </c>
      <c r="O745" s="2">
        <v>1</v>
      </c>
      <c r="P745" s="2">
        <v>1</v>
      </c>
      <c r="Q745" s="2">
        <v>2</v>
      </c>
      <c r="R745" s="2">
        <v>0.5</v>
      </c>
      <c r="S745" s="2">
        <v>0.5</v>
      </c>
      <c r="T745" s="2">
        <v>1</v>
      </c>
      <c r="U745" s="2">
        <v>2</v>
      </c>
      <c r="V745" s="2">
        <v>2</v>
      </c>
      <c r="W745" s="2">
        <v>1</v>
      </c>
      <c r="X745" s="2">
        <v>0.5</v>
      </c>
      <c r="Y745" s="2">
        <v>0.5</v>
      </c>
      <c r="Z745" s="2">
        <v>1</v>
      </c>
      <c r="AA745" s="2">
        <v>1</v>
      </c>
      <c r="AB745" s="2">
        <v>2</v>
      </c>
      <c r="AC745" s="2">
        <v>2</v>
      </c>
      <c r="AD745" s="2">
        <v>65</v>
      </c>
      <c r="AE745" s="2">
        <v>3840</v>
      </c>
      <c r="AF745" s="2">
        <v>70</v>
      </c>
      <c r="AG745" s="2">
        <v>280</v>
      </c>
      <c r="AH745" s="2">
        <v>190</v>
      </c>
      <c r="AI745" s="2">
        <v>40</v>
      </c>
      <c r="AJ745" s="1">
        <v>1000000</v>
      </c>
      <c r="AK745" s="1">
        <v>0.5</v>
      </c>
      <c r="AL745" s="1">
        <v>45</v>
      </c>
      <c r="AM745" s="2">
        <v>50</v>
      </c>
      <c r="AN745" s="2">
        <f t="shared" si="11"/>
        <v>50</v>
      </c>
      <c r="AO745" s="3">
        <v>744</v>
      </c>
      <c r="AP745" s="3">
        <v>30</v>
      </c>
      <c r="AQ745" s="3">
        <v>40</v>
      </c>
      <c r="AR745" s="3">
        <v>60</v>
      </c>
      <c r="AS745" s="1">
        <v>9.1999999999999993</v>
      </c>
      <c r="AT745" s="3">
        <v>7</v>
      </c>
      <c r="AU745" s="3" t="s">
        <v>3051</v>
      </c>
    </row>
    <row r="746" spans="1:47" x14ac:dyDescent="0.3">
      <c r="A746" s="1" t="s">
        <v>2091</v>
      </c>
      <c r="B746" s="1" t="s">
        <v>2090</v>
      </c>
      <c r="C746" s="1" t="s">
        <v>243</v>
      </c>
      <c r="D746" s="1" t="s">
        <v>52</v>
      </c>
      <c r="E746" s="1" t="s">
        <v>2089</v>
      </c>
      <c r="F746" t="s">
        <v>3118</v>
      </c>
      <c r="G746" t="s">
        <v>3180</v>
      </c>
      <c r="H746" t="s">
        <v>3171</v>
      </c>
      <c r="I746" t="s">
        <v>3118</v>
      </c>
      <c r="J746" t="s">
        <v>3060</v>
      </c>
      <c r="K746" t="s">
        <v>3085</v>
      </c>
      <c r="L746" s="2">
        <v>1</v>
      </c>
      <c r="M746" s="2">
        <v>1</v>
      </c>
      <c r="N746" s="2">
        <v>1</v>
      </c>
      <c r="O746" s="2">
        <v>1</v>
      </c>
      <c r="P746" s="2">
        <v>1</v>
      </c>
      <c r="Q746" s="2">
        <v>2</v>
      </c>
      <c r="R746" s="2">
        <v>0.5</v>
      </c>
      <c r="S746" s="2">
        <v>0.5</v>
      </c>
      <c r="T746" s="2">
        <v>1</v>
      </c>
      <c r="U746" s="2">
        <v>2</v>
      </c>
      <c r="V746" s="2">
        <v>2</v>
      </c>
      <c r="W746" s="2">
        <v>1</v>
      </c>
      <c r="X746" s="2">
        <v>0.5</v>
      </c>
      <c r="Y746" s="2">
        <v>0.5</v>
      </c>
      <c r="Z746" s="2">
        <v>1</v>
      </c>
      <c r="AA746" s="2">
        <v>1</v>
      </c>
      <c r="AB746" s="2">
        <v>2</v>
      </c>
      <c r="AC746" s="2">
        <v>2</v>
      </c>
      <c r="AD746" s="2">
        <v>115</v>
      </c>
      <c r="AE746" s="2">
        <v>3840</v>
      </c>
      <c r="AF746" s="2">
        <v>70</v>
      </c>
      <c r="AG746" s="2">
        <v>487</v>
      </c>
      <c r="AH746" s="2">
        <v>90</v>
      </c>
      <c r="AI746" s="2">
        <v>75</v>
      </c>
      <c r="AJ746" s="1">
        <v>1000000</v>
      </c>
      <c r="AK746" s="1">
        <v>0.8</v>
      </c>
      <c r="AL746" s="1">
        <v>85</v>
      </c>
      <c r="AM746" s="2">
        <v>50</v>
      </c>
      <c r="AN746" s="2">
        <f t="shared" si="11"/>
        <v>50</v>
      </c>
      <c r="AO746" s="3">
        <v>745</v>
      </c>
      <c r="AP746" s="3">
        <v>55</v>
      </c>
      <c r="AQ746" s="3">
        <v>75</v>
      </c>
      <c r="AR746" s="3">
        <v>82</v>
      </c>
      <c r="AS746" s="1">
        <v>25</v>
      </c>
      <c r="AT746" s="3">
        <v>7</v>
      </c>
      <c r="AU746" s="3" t="s">
        <v>3051</v>
      </c>
    </row>
    <row r="747" spans="1:47" x14ac:dyDescent="0.3">
      <c r="A747" s="1" t="s">
        <v>2094</v>
      </c>
      <c r="B747" s="1" t="s">
        <v>2093</v>
      </c>
      <c r="C747" s="1" t="s">
        <v>62</v>
      </c>
      <c r="D747" s="1" t="s">
        <v>52</v>
      </c>
      <c r="E747" s="1" t="s">
        <v>2092</v>
      </c>
      <c r="F747" t="s">
        <v>3096</v>
      </c>
      <c r="G747" t="s">
        <v>52</v>
      </c>
      <c r="H747" t="s">
        <v>52</v>
      </c>
      <c r="I747" t="s">
        <v>52</v>
      </c>
      <c r="J747" t="s">
        <v>52</v>
      </c>
      <c r="K747" t="s">
        <v>52</v>
      </c>
      <c r="L747" s="2">
        <v>1</v>
      </c>
      <c r="M747" s="2">
        <v>1</v>
      </c>
      <c r="N747" s="2">
        <v>1</v>
      </c>
      <c r="O747" s="2">
        <v>2</v>
      </c>
      <c r="P747" s="2">
        <v>1</v>
      </c>
      <c r="Q747" s="2">
        <v>1</v>
      </c>
      <c r="R747" s="2">
        <v>0.5</v>
      </c>
      <c r="S747" s="2">
        <v>1</v>
      </c>
      <c r="T747" s="2">
        <v>1</v>
      </c>
      <c r="U747" s="2">
        <v>2</v>
      </c>
      <c r="V747" s="2">
        <v>1</v>
      </c>
      <c r="W747" s="2">
        <v>0.5</v>
      </c>
      <c r="X747" s="2">
        <v>1</v>
      </c>
      <c r="Y747" s="2">
        <v>1</v>
      </c>
      <c r="Z747" s="2">
        <v>1</v>
      </c>
      <c r="AA747" s="2">
        <v>1</v>
      </c>
      <c r="AB747" s="2">
        <v>0.5</v>
      </c>
      <c r="AC747" s="2">
        <v>0.5</v>
      </c>
      <c r="AD747" s="2">
        <v>140</v>
      </c>
      <c r="AE747" s="2">
        <v>3840</v>
      </c>
      <c r="AF747" s="2">
        <v>70</v>
      </c>
      <c r="AG747" s="2">
        <v>620</v>
      </c>
      <c r="AH747" s="2">
        <v>60</v>
      </c>
      <c r="AI747" s="2">
        <v>130</v>
      </c>
      <c r="AJ747" s="1">
        <v>800000</v>
      </c>
      <c r="AK747" s="1">
        <v>0.2</v>
      </c>
      <c r="AL747" s="1">
        <v>45</v>
      </c>
      <c r="AM747" s="2">
        <v>50</v>
      </c>
      <c r="AN747" s="2">
        <f t="shared" si="11"/>
        <v>50</v>
      </c>
      <c r="AO747" s="3">
        <v>746</v>
      </c>
      <c r="AP747" s="3">
        <v>140</v>
      </c>
      <c r="AQ747" s="3">
        <v>135</v>
      </c>
      <c r="AR747" s="3">
        <v>30</v>
      </c>
      <c r="AS747" s="1">
        <v>0.3</v>
      </c>
      <c r="AT747" s="3">
        <v>7</v>
      </c>
      <c r="AU747" s="3" t="s">
        <v>3051</v>
      </c>
    </row>
    <row r="748" spans="1:47" x14ac:dyDescent="0.3">
      <c r="A748" s="1" t="s">
        <v>2097</v>
      </c>
      <c r="B748" s="1" t="s">
        <v>2096</v>
      </c>
      <c r="C748" s="1" t="s">
        <v>43</v>
      </c>
      <c r="D748" s="1" t="s">
        <v>62</v>
      </c>
      <c r="E748" s="1" t="s">
        <v>2095</v>
      </c>
      <c r="F748" t="s">
        <v>3204</v>
      </c>
      <c r="G748" t="s">
        <v>3129</v>
      </c>
      <c r="H748" t="s">
        <v>3242</v>
      </c>
      <c r="I748" t="s">
        <v>52</v>
      </c>
      <c r="J748" t="s">
        <v>52</v>
      </c>
      <c r="K748" t="s">
        <v>52</v>
      </c>
      <c r="L748" s="2">
        <v>0.5</v>
      </c>
      <c r="M748" s="2">
        <v>1</v>
      </c>
      <c r="N748" s="2">
        <v>1</v>
      </c>
      <c r="O748" s="2">
        <v>2</v>
      </c>
      <c r="P748" s="2">
        <v>0.5</v>
      </c>
      <c r="Q748" s="2">
        <v>0.5</v>
      </c>
      <c r="R748" s="2">
        <v>0.5</v>
      </c>
      <c r="S748" s="2">
        <v>1</v>
      </c>
      <c r="T748" s="2">
        <v>1</v>
      </c>
      <c r="U748" s="2">
        <v>1</v>
      </c>
      <c r="V748" s="2">
        <v>2</v>
      </c>
      <c r="W748" s="2">
        <v>0.5</v>
      </c>
      <c r="X748" s="2">
        <v>1</v>
      </c>
      <c r="Y748" s="2">
        <v>0.5</v>
      </c>
      <c r="Z748" s="2">
        <v>2</v>
      </c>
      <c r="AA748" s="2">
        <v>1</v>
      </c>
      <c r="AB748" s="2">
        <v>0.5</v>
      </c>
      <c r="AC748" s="2">
        <v>0.5</v>
      </c>
      <c r="AD748" s="2">
        <v>53</v>
      </c>
      <c r="AE748" s="2">
        <v>5120</v>
      </c>
      <c r="AF748" s="2">
        <v>70</v>
      </c>
      <c r="AG748" s="2">
        <v>305</v>
      </c>
      <c r="AH748" s="2">
        <v>190</v>
      </c>
      <c r="AI748" s="2">
        <v>62</v>
      </c>
      <c r="AJ748" s="1">
        <v>1000000</v>
      </c>
      <c r="AK748" s="1">
        <v>0.4</v>
      </c>
      <c r="AL748" s="1">
        <v>50</v>
      </c>
      <c r="AM748" s="2">
        <v>50</v>
      </c>
      <c r="AN748" s="2">
        <f t="shared" si="11"/>
        <v>50</v>
      </c>
      <c r="AO748" s="3">
        <v>747</v>
      </c>
      <c r="AP748" s="3">
        <v>43</v>
      </c>
      <c r="AQ748" s="3">
        <v>52</v>
      </c>
      <c r="AR748" s="3">
        <v>45</v>
      </c>
      <c r="AS748" s="1">
        <v>8</v>
      </c>
      <c r="AT748" s="3">
        <v>7</v>
      </c>
      <c r="AU748" s="3" t="s">
        <v>3051</v>
      </c>
    </row>
    <row r="749" spans="1:47" x14ac:dyDescent="0.3">
      <c r="A749" s="1" t="s">
        <v>2099</v>
      </c>
      <c r="B749" s="1" t="s">
        <v>2098</v>
      </c>
      <c r="C749" s="1" t="s">
        <v>43</v>
      </c>
      <c r="D749" s="1" t="s">
        <v>62</v>
      </c>
      <c r="E749" s="1" t="s">
        <v>2095</v>
      </c>
      <c r="F749" t="s">
        <v>3204</v>
      </c>
      <c r="G749" t="s">
        <v>3129</v>
      </c>
      <c r="H749" t="s">
        <v>3242</v>
      </c>
      <c r="I749" t="s">
        <v>52</v>
      </c>
      <c r="J749" t="s">
        <v>52</v>
      </c>
      <c r="K749" t="s">
        <v>52</v>
      </c>
      <c r="L749" s="2">
        <v>0.5</v>
      </c>
      <c r="M749" s="2">
        <v>1</v>
      </c>
      <c r="N749" s="2">
        <v>1</v>
      </c>
      <c r="O749" s="2">
        <v>2</v>
      </c>
      <c r="P749" s="2">
        <v>0.5</v>
      </c>
      <c r="Q749" s="2">
        <v>0.5</v>
      </c>
      <c r="R749" s="2">
        <v>0.5</v>
      </c>
      <c r="S749" s="2">
        <v>1</v>
      </c>
      <c r="T749" s="2">
        <v>1</v>
      </c>
      <c r="U749" s="2">
        <v>1</v>
      </c>
      <c r="V749" s="2">
        <v>2</v>
      </c>
      <c r="W749" s="2">
        <v>0.5</v>
      </c>
      <c r="X749" s="2">
        <v>1</v>
      </c>
      <c r="Y749" s="2">
        <v>0.5</v>
      </c>
      <c r="Z749" s="2">
        <v>2</v>
      </c>
      <c r="AA749" s="2">
        <v>1</v>
      </c>
      <c r="AB749" s="2">
        <v>0.5</v>
      </c>
      <c r="AC749" s="2">
        <v>0.5</v>
      </c>
      <c r="AD749" s="2">
        <v>63</v>
      </c>
      <c r="AE749" s="2">
        <v>5120</v>
      </c>
      <c r="AF749" s="2">
        <v>70</v>
      </c>
      <c r="AG749" s="2">
        <v>495</v>
      </c>
      <c r="AH749" s="2">
        <v>75</v>
      </c>
      <c r="AI749" s="2">
        <v>152</v>
      </c>
      <c r="AJ749" s="1">
        <v>1000000</v>
      </c>
      <c r="AK749" s="1">
        <v>0.7</v>
      </c>
      <c r="AL749" s="1">
        <v>50</v>
      </c>
      <c r="AM749" s="2">
        <v>50</v>
      </c>
      <c r="AN749" s="2">
        <f t="shared" si="11"/>
        <v>50</v>
      </c>
      <c r="AO749" s="3">
        <v>748</v>
      </c>
      <c r="AP749" s="3">
        <v>53</v>
      </c>
      <c r="AQ749" s="3">
        <v>142</v>
      </c>
      <c r="AR749" s="3">
        <v>35</v>
      </c>
      <c r="AS749" s="1">
        <v>14.5</v>
      </c>
      <c r="AT749" s="3">
        <v>7</v>
      </c>
      <c r="AU749" s="3" t="s">
        <v>3051</v>
      </c>
    </row>
    <row r="750" spans="1:47" x14ac:dyDescent="0.3">
      <c r="A750" s="1" t="s">
        <v>2102</v>
      </c>
      <c r="B750" s="1" t="s">
        <v>2101</v>
      </c>
      <c r="C750" s="1" t="s">
        <v>120</v>
      </c>
      <c r="D750" s="1" t="s">
        <v>52</v>
      </c>
      <c r="E750" s="1" t="s">
        <v>2100</v>
      </c>
      <c r="F750" t="s">
        <v>3140</v>
      </c>
      <c r="G750" t="s">
        <v>3283</v>
      </c>
      <c r="H750" t="s">
        <v>3126</v>
      </c>
      <c r="I750" t="s">
        <v>52</v>
      </c>
      <c r="J750" t="s">
        <v>52</v>
      </c>
      <c r="K750" t="s">
        <v>52</v>
      </c>
      <c r="L750" s="2">
        <v>1</v>
      </c>
      <c r="M750" s="2">
        <v>1</v>
      </c>
      <c r="N750" s="2">
        <v>1</v>
      </c>
      <c r="O750" s="2">
        <v>0</v>
      </c>
      <c r="P750" s="2">
        <v>1</v>
      </c>
      <c r="Q750" s="2">
        <v>1</v>
      </c>
      <c r="R750" s="2">
        <v>1</v>
      </c>
      <c r="S750" s="2">
        <v>1</v>
      </c>
      <c r="T750" s="2">
        <v>1</v>
      </c>
      <c r="U750" s="2">
        <v>2</v>
      </c>
      <c r="V750" s="2">
        <v>1</v>
      </c>
      <c r="W750" s="2">
        <v>2</v>
      </c>
      <c r="X750" s="2">
        <v>1</v>
      </c>
      <c r="Y750" s="2">
        <v>0.5</v>
      </c>
      <c r="Z750" s="2">
        <v>1</v>
      </c>
      <c r="AA750" s="2">
        <v>0.5</v>
      </c>
      <c r="AB750" s="2">
        <v>1</v>
      </c>
      <c r="AC750" s="2">
        <v>2</v>
      </c>
      <c r="AD750" s="2">
        <v>100</v>
      </c>
      <c r="AE750" s="2">
        <v>5120</v>
      </c>
      <c r="AF750" s="2">
        <v>70</v>
      </c>
      <c r="AG750" s="2">
        <v>385</v>
      </c>
      <c r="AH750" s="2">
        <v>190</v>
      </c>
      <c r="AI750" s="2">
        <v>70</v>
      </c>
      <c r="AJ750" s="1">
        <v>1000000</v>
      </c>
      <c r="AK750" s="1">
        <v>1</v>
      </c>
      <c r="AL750" s="1">
        <v>70</v>
      </c>
      <c r="AM750" s="2">
        <v>50</v>
      </c>
      <c r="AN750" s="2">
        <f t="shared" si="11"/>
        <v>50</v>
      </c>
      <c r="AO750" s="3">
        <v>749</v>
      </c>
      <c r="AP750" s="3">
        <v>45</v>
      </c>
      <c r="AQ750" s="3">
        <v>55</v>
      </c>
      <c r="AR750" s="3">
        <v>45</v>
      </c>
      <c r="AS750" s="1">
        <v>110</v>
      </c>
      <c r="AT750" s="3">
        <v>7</v>
      </c>
      <c r="AU750" s="3" t="s">
        <v>3051</v>
      </c>
    </row>
    <row r="751" spans="1:47" x14ac:dyDescent="0.3">
      <c r="A751" s="1" t="s">
        <v>2105</v>
      </c>
      <c r="B751" s="1" t="s">
        <v>2104</v>
      </c>
      <c r="C751" s="1" t="s">
        <v>120</v>
      </c>
      <c r="D751" s="1" t="s">
        <v>52</v>
      </c>
      <c r="E751" s="1" t="s">
        <v>2103</v>
      </c>
      <c r="F751" t="s">
        <v>3140</v>
      </c>
      <c r="G751" t="s">
        <v>3283</v>
      </c>
      <c r="H751" t="s">
        <v>3126</v>
      </c>
      <c r="I751" t="s">
        <v>52</v>
      </c>
      <c r="J751" t="s">
        <v>52</v>
      </c>
      <c r="K751" t="s">
        <v>52</v>
      </c>
      <c r="L751" s="2">
        <v>1</v>
      </c>
      <c r="M751" s="2">
        <v>1</v>
      </c>
      <c r="N751" s="2">
        <v>1</v>
      </c>
      <c r="O751" s="2">
        <v>0</v>
      </c>
      <c r="P751" s="2">
        <v>1</v>
      </c>
      <c r="Q751" s="2">
        <v>1</v>
      </c>
      <c r="R751" s="2">
        <v>1</v>
      </c>
      <c r="S751" s="2">
        <v>1</v>
      </c>
      <c r="T751" s="2">
        <v>1</v>
      </c>
      <c r="U751" s="2">
        <v>2</v>
      </c>
      <c r="V751" s="2">
        <v>1</v>
      </c>
      <c r="W751" s="2">
        <v>2</v>
      </c>
      <c r="X751" s="2">
        <v>1</v>
      </c>
      <c r="Y751" s="2">
        <v>0.5</v>
      </c>
      <c r="Z751" s="2">
        <v>1</v>
      </c>
      <c r="AA751" s="2">
        <v>0.5</v>
      </c>
      <c r="AB751" s="2">
        <v>1</v>
      </c>
      <c r="AC751" s="2">
        <v>2</v>
      </c>
      <c r="AD751" s="2">
        <v>125</v>
      </c>
      <c r="AE751" s="2">
        <v>5120</v>
      </c>
      <c r="AF751" s="2">
        <v>70</v>
      </c>
      <c r="AG751" s="2">
        <v>500</v>
      </c>
      <c r="AH751" s="2">
        <v>60</v>
      </c>
      <c r="AI751" s="2">
        <v>100</v>
      </c>
      <c r="AJ751" s="1">
        <v>1000000</v>
      </c>
      <c r="AK751" s="1">
        <v>2.5</v>
      </c>
      <c r="AL751" s="1">
        <v>100</v>
      </c>
      <c r="AM751" s="2">
        <v>50</v>
      </c>
      <c r="AN751" s="2">
        <f t="shared" si="11"/>
        <v>50</v>
      </c>
      <c r="AO751" s="3">
        <v>750</v>
      </c>
      <c r="AP751" s="3">
        <v>55</v>
      </c>
      <c r="AQ751" s="3">
        <v>85</v>
      </c>
      <c r="AR751" s="3">
        <v>35</v>
      </c>
      <c r="AS751" s="1">
        <v>920</v>
      </c>
      <c r="AT751" s="3">
        <v>7</v>
      </c>
      <c r="AU751" s="3" t="s">
        <v>3051</v>
      </c>
    </row>
    <row r="752" spans="1:47" x14ac:dyDescent="0.3">
      <c r="A752" s="1" t="s">
        <v>2108</v>
      </c>
      <c r="B752" s="1" t="s">
        <v>2107</v>
      </c>
      <c r="C752" s="1" t="s">
        <v>62</v>
      </c>
      <c r="D752" s="1" t="s">
        <v>72</v>
      </c>
      <c r="E752" s="1" t="s">
        <v>2106</v>
      </c>
      <c r="F752" t="s">
        <v>3205</v>
      </c>
      <c r="G752" t="s">
        <v>3092</v>
      </c>
      <c r="H752" t="s">
        <v>52</v>
      </c>
      <c r="I752" t="s">
        <v>52</v>
      </c>
      <c r="J752" t="s">
        <v>52</v>
      </c>
      <c r="K752" t="s">
        <v>52</v>
      </c>
      <c r="L752" s="2">
        <v>1</v>
      </c>
      <c r="M752" s="2">
        <v>1</v>
      </c>
      <c r="N752" s="2">
        <v>1</v>
      </c>
      <c r="O752" s="2">
        <v>2</v>
      </c>
      <c r="P752" s="2">
        <v>1</v>
      </c>
      <c r="Q752" s="2">
        <v>0.5</v>
      </c>
      <c r="R752" s="2">
        <v>1</v>
      </c>
      <c r="S752" s="2">
        <v>2</v>
      </c>
      <c r="T752" s="2">
        <v>1</v>
      </c>
      <c r="U752" s="2">
        <v>1</v>
      </c>
      <c r="V752" s="2">
        <v>0.5</v>
      </c>
      <c r="W752" s="2">
        <v>0.5</v>
      </c>
      <c r="X752" s="2">
        <v>1</v>
      </c>
      <c r="Y752" s="2">
        <v>1</v>
      </c>
      <c r="Z752" s="2">
        <v>1</v>
      </c>
      <c r="AA752" s="2">
        <v>2</v>
      </c>
      <c r="AB752" s="2">
        <v>0.5</v>
      </c>
      <c r="AC752" s="2">
        <v>0.5</v>
      </c>
      <c r="AD752" s="2">
        <v>40</v>
      </c>
      <c r="AE752" s="2">
        <v>3840</v>
      </c>
      <c r="AF752" s="2">
        <v>70</v>
      </c>
      <c r="AG752" s="2">
        <v>269</v>
      </c>
      <c r="AH752" s="2">
        <v>200</v>
      </c>
      <c r="AI752" s="2">
        <v>52</v>
      </c>
      <c r="AJ752" s="1">
        <v>1000000</v>
      </c>
      <c r="AK752" s="1">
        <v>0.3</v>
      </c>
      <c r="AL752" s="1">
        <v>38</v>
      </c>
      <c r="AM752" s="2">
        <v>50</v>
      </c>
      <c r="AN752" s="2">
        <f t="shared" si="11"/>
        <v>50</v>
      </c>
      <c r="AO752" s="3">
        <v>751</v>
      </c>
      <c r="AP752" s="3">
        <v>40</v>
      </c>
      <c r="AQ752" s="3">
        <v>72</v>
      </c>
      <c r="AR752" s="3">
        <v>27</v>
      </c>
      <c r="AS752" s="1">
        <v>4</v>
      </c>
      <c r="AT752" s="3">
        <v>7</v>
      </c>
      <c r="AU752" s="3" t="s">
        <v>3051</v>
      </c>
    </row>
    <row r="753" spans="1:47" x14ac:dyDescent="0.3">
      <c r="A753" s="1" t="s">
        <v>2110</v>
      </c>
      <c r="B753" s="1" t="s">
        <v>2109</v>
      </c>
      <c r="C753" s="1" t="s">
        <v>62</v>
      </c>
      <c r="D753" s="1" t="s">
        <v>72</v>
      </c>
      <c r="E753" s="1" t="s">
        <v>2106</v>
      </c>
      <c r="F753" t="s">
        <v>3205</v>
      </c>
      <c r="G753" t="s">
        <v>3092</v>
      </c>
      <c r="H753" t="s">
        <v>52</v>
      </c>
      <c r="I753" t="s">
        <v>52</v>
      </c>
      <c r="J753" t="s">
        <v>52</v>
      </c>
      <c r="K753" t="s">
        <v>52</v>
      </c>
      <c r="L753" s="2">
        <v>1</v>
      </c>
      <c r="M753" s="2">
        <v>1</v>
      </c>
      <c r="N753" s="2">
        <v>1</v>
      </c>
      <c r="O753" s="2">
        <v>2</v>
      </c>
      <c r="P753" s="2">
        <v>1</v>
      </c>
      <c r="Q753" s="2">
        <v>0.5</v>
      </c>
      <c r="R753" s="2">
        <v>1</v>
      </c>
      <c r="S753" s="2">
        <v>2</v>
      </c>
      <c r="T753" s="2">
        <v>1</v>
      </c>
      <c r="U753" s="2">
        <v>1</v>
      </c>
      <c r="V753" s="2">
        <v>0.5</v>
      </c>
      <c r="W753" s="2">
        <v>0.5</v>
      </c>
      <c r="X753" s="2">
        <v>1</v>
      </c>
      <c r="Y753" s="2">
        <v>1</v>
      </c>
      <c r="Z753" s="2">
        <v>1</v>
      </c>
      <c r="AA753" s="2">
        <v>2</v>
      </c>
      <c r="AB753" s="2">
        <v>0.5</v>
      </c>
      <c r="AC753" s="2">
        <v>0.5</v>
      </c>
      <c r="AD753" s="2">
        <v>70</v>
      </c>
      <c r="AE753" s="2">
        <v>3840</v>
      </c>
      <c r="AF753" s="2">
        <v>70</v>
      </c>
      <c r="AG753" s="2">
        <v>454</v>
      </c>
      <c r="AH753" s="2">
        <v>100</v>
      </c>
      <c r="AI753" s="2">
        <v>92</v>
      </c>
      <c r="AJ753" s="1">
        <v>1000000</v>
      </c>
      <c r="AK753" s="1">
        <v>1.8</v>
      </c>
      <c r="AL753" s="1">
        <v>68</v>
      </c>
      <c r="AM753" s="2">
        <v>50</v>
      </c>
      <c r="AN753" s="2">
        <f t="shared" si="11"/>
        <v>50</v>
      </c>
      <c r="AO753" s="3">
        <v>752</v>
      </c>
      <c r="AP753" s="3">
        <v>50</v>
      </c>
      <c r="AQ753" s="3">
        <v>132</v>
      </c>
      <c r="AR753" s="3">
        <v>42</v>
      </c>
      <c r="AS753" s="1">
        <v>82</v>
      </c>
      <c r="AT753" s="3">
        <v>7</v>
      </c>
      <c r="AU753" s="3" t="s">
        <v>3051</v>
      </c>
    </row>
    <row r="754" spans="1:47" x14ac:dyDescent="0.3">
      <c r="A754" s="1" t="s">
        <v>2113</v>
      </c>
      <c r="B754" s="1" t="s">
        <v>2112</v>
      </c>
      <c r="C754" s="1" t="s">
        <v>42</v>
      </c>
      <c r="D754" s="1" t="s">
        <v>52</v>
      </c>
      <c r="E754" s="1" t="s">
        <v>2111</v>
      </c>
      <c r="F754" t="s">
        <v>3174</v>
      </c>
      <c r="G754" t="s">
        <v>3196</v>
      </c>
      <c r="H754" t="s">
        <v>52</v>
      </c>
      <c r="I754" t="s">
        <v>52</v>
      </c>
      <c r="J754" t="s">
        <v>52</v>
      </c>
      <c r="K754" t="s">
        <v>52</v>
      </c>
      <c r="L754" s="2">
        <v>2</v>
      </c>
      <c r="M754" s="2">
        <v>1</v>
      </c>
      <c r="N754" s="2">
        <v>1</v>
      </c>
      <c r="O754" s="2">
        <v>0.5</v>
      </c>
      <c r="P754" s="2">
        <v>1</v>
      </c>
      <c r="Q754" s="2">
        <v>1</v>
      </c>
      <c r="R754" s="2">
        <v>2</v>
      </c>
      <c r="S754" s="2">
        <v>2</v>
      </c>
      <c r="T754" s="2">
        <v>1</v>
      </c>
      <c r="U754" s="2">
        <v>0.5</v>
      </c>
      <c r="V754" s="2">
        <v>0.5</v>
      </c>
      <c r="W754" s="2">
        <v>2</v>
      </c>
      <c r="X754" s="2">
        <v>1</v>
      </c>
      <c r="Y754" s="2">
        <v>2</v>
      </c>
      <c r="Z754" s="2">
        <v>1</v>
      </c>
      <c r="AA754" s="2">
        <v>1</v>
      </c>
      <c r="AB754" s="2">
        <v>1</v>
      </c>
      <c r="AC754" s="2">
        <v>0.5</v>
      </c>
      <c r="AD754" s="2">
        <v>55</v>
      </c>
      <c r="AE754" s="2">
        <v>5120</v>
      </c>
      <c r="AF754" s="2">
        <v>70</v>
      </c>
      <c r="AG754" s="2">
        <v>250</v>
      </c>
      <c r="AH754" s="2">
        <v>190</v>
      </c>
      <c r="AI754" s="2">
        <v>35</v>
      </c>
      <c r="AJ754" s="1">
        <v>1000000</v>
      </c>
      <c r="AK754" s="1">
        <v>0.3</v>
      </c>
      <c r="AL754" s="1">
        <v>40</v>
      </c>
      <c r="AM754" s="2">
        <v>50</v>
      </c>
      <c r="AN754" s="2">
        <f t="shared" si="11"/>
        <v>50</v>
      </c>
      <c r="AO754" s="3">
        <v>753</v>
      </c>
      <c r="AP754" s="3">
        <v>50</v>
      </c>
      <c r="AQ754" s="3">
        <v>35</v>
      </c>
      <c r="AR754" s="3">
        <v>35</v>
      </c>
      <c r="AS754" s="1">
        <v>1.5</v>
      </c>
      <c r="AT754" s="3">
        <v>7</v>
      </c>
      <c r="AU754" s="3" t="s">
        <v>3051</v>
      </c>
    </row>
    <row r="755" spans="1:47" x14ac:dyDescent="0.3">
      <c r="A755" s="1" t="s">
        <v>2116</v>
      </c>
      <c r="B755" s="1" t="s">
        <v>2115</v>
      </c>
      <c r="C755" s="1" t="s">
        <v>42</v>
      </c>
      <c r="D755" s="1" t="s">
        <v>52</v>
      </c>
      <c r="E755" s="1" t="s">
        <v>2114</v>
      </c>
      <c r="F755" t="s">
        <v>3174</v>
      </c>
      <c r="G755" t="s">
        <v>3196</v>
      </c>
      <c r="H755" t="s">
        <v>52</v>
      </c>
      <c r="I755" t="s">
        <v>52</v>
      </c>
      <c r="J755" t="s">
        <v>52</v>
      </c>
      <c r="K755" t="s">
        <v>52</v>
      </c>
      <c r="L755" s="2">
        <v>2</v>
      </c>
      <c r="M755" s="2">
        <v>1</v>
      </c>
      <c r="N755" s="2">
        <v>1</v>
      </c>
      <c r="O755" s="2">
        <v>0.5</v>
      </c>
      <c r="P755" s="2">
        <v>1</v>
      </c>
      <c r="Q755" s="2">
        <v>1</v>
      </c>
      <c r="R755" s="2">
        <v>2</v>
      </c>
      <c r="S755" s="2">
        <v>2</v>
      </c>
      <c r="T755" s="2">
        <v>1</v>
      </c>
      <c r="U755" s="2">
        <v>0.5</v>
      </c>
      <c r="V755" s="2">
        <v>0.5</v>
      </c>
      <c r="W755" s="2">
        <v>2</v>
      </c>
      <c r="X755" s="2">
        <v>1</v>
      </c>
      <c r="Y755" s="2">
        <v>2</v>
      </c>
      <c r="Z755" s="2">
        <v>1</v>
      </c>
      <c r="AA755" s="2">
        <v>1</v>
      </c>
      <c r="AB755" s="2">
        <v>1</v>
      </c>
      <c r="AC755" s="2">
        <v>0.5</v>
      </c>
      <c r="AD755" s="2">
        <v>105</v>
      </c>
      <c r="AE755" s="2">
        <v>5120</v>
      </c>
      <c r="AF755" s="2">
        <v>70</v>
      </c>
      <c r="AG755" s="2">
        <v>480</v>
      </c>
      <c r="AH755" s="2">
        <v>75</v>
      </c>
      <c r="AI755" s="2">
        <v>90</v>
      </c>
      <c r="AJ755" s="1">
        <v>1000000</v>
      </c>
      <c r="AK755" s="1">
        <v>0.9</v>
      </c>
      <c r="AL755" s="1">
        <v>70</v>
      </c>
      <c r="AM755" s="2">
        <v>50</v>
      </c>
      <c r="AN755" s="2">
        <f t="shared" si="11"/>
        <v>50</v>
      </c>
      <c r="AO755" s="3">
        <v>754</v>
      </c>
      <c r="AP755" s="3">
        <v>80</v>
      </c>
      <c r="AQ755" s="3">
        <v>90</v>
      </c>
      <c r="AR755" s="3">
        <v>45</v>
      </c>
      <c r="AS755" s="1">
        <v>18.5</v>
      </c>
      <c r="AT755" s="3">
        <v>7</v>
      </c>
      <c r="AU755" s="3" t="s">
        <v>3051</v>
      </c>
    </row>
    <row r="756" spans="1:47" x14ac:dyDescent="0.3">
      <c r="A756" s="1" t="s">
        <v>2119</v>
      </c>
      <c r="B756" s="1" t="s">
        <v>2118</v>
      </c>
      <c r="C756" s="1" t="s">
        <v>42</v>
      </c>
      <c r="D756" s="1" t="s">
        <v>141</v>
      </c>
      <c r="E756" s="1" t="s">
        <v>2117</v>
      </c>
      <c r="F756" t="s">
        <v>3144</v>
      </c>
      <c r="G756" t="s">
        <v>3127</v>
      </c>
      <c r="H756" t="s">
        <v>3224</v>
      </c>
      <c r="I756" t="s">
        <v>52</v>
      </c>
      <c r="J756" t="s">
        <v>52</v>
      </c>
      <c r="K756" t="s">
        <v>52</v>
      </c>
      <c r="L756" s="2">
        <v>1</v>
      </c>
      <c r="M756" s="2">
        <v>0.5</v>
      </c>
      <c r="N756" s="2">
        <v>0</v>
      </c>
      <c r="O756" s="2">
        <v>0.5</v>
      </c>
      <c r="P756" s="2">
        <v>1</v>
      </c>
      <c r="Q756" s="2">
        <v>0.5</v>
      </c>
      <c r="R756" s="2">
        <v>2</v>
      </c>
      <c r="S756" s="2">
        <v>2</v>
      </c>
      <c r="T756" s="2">
        <v>1</v>
      </c>
      <c r="U756" s="2">
        <v>0.5</v>
      </c>
      <c r="V756" s="2">
        <v>0.5</v>
      </c>
      <c r="W756" s="2">
        <v>2</v>
      </c>
      <c r="X756" s="2">
        <v>1</v>
      </c>
      <c r="Y756" s="2">
        <v>4</v>
      </c>
      <c r="Z756" s="2">
        <v>1</v>
      </c>
      <c r="AA756" s="2">
        <v>1</v>
      </c>
      <c r="AB756" s="2">
        <v>2</v>
      </c>
      <c r="AC756" s="2">
        <v>0.5</v>
      </c>
      <c r="AD756" s="2">
        <v>35</v>
      </c>
      <c r="AE756" s="2">
        <v>5120</v>
      </c>
      <c r="AF756" s="2">
        <v>70</v>
      </c>
      <c r="AG756" s="2">
        <v>285</v>
      </c>
      <c r="AH756" s="2">
        <v>190</v>
      </c>
      <c r="AI756" s="2">
        <v>55</v>
      </c>
      <c r="AJ756" s="1">
        <v>1000000</v>
      </c>
      <c r="AK756" s="1">
        <v>0.2</v>
      </c>
      <c r="AL756" s="1">
        <v>40</v>
      </c>
      <c r="AM756" s="2">
        <v>50</v>
      </c>
      <c r="AN756" s="2">
        <f t="shared" si="11"/>
        <v>50</v>
      </c>
      <c r="AO756" s="3">
        <v>755</v>
      </c>
      <c r="AP756" s="3">
        <v>65</v>
      </c>
      <c r="AQ756" s="3">
        <v>75</v>
      </c>
      <c r="AR756" s="3">
        <v>15</v>
      </c>
      <c r="AS756" s="1">
        <v>1.5</v>
      </c>
      <c r="AT756" s="3">
        <v>7</v>
      </c>
      <c r="AU756" s="3" t="s">
        <v>3051</v>
      </c>
    </row>
    <row r="757" spans="1:47" x14ac:dyDescent="0.3">
      <c r="A757" s="1" t="s">
        <v>2121</v>
      </c>
      <c r="B757" s="1" t="s">
        <v>2120</v>
      </c>
      <c r="C757" s="1" t="s">
        <v>42</v>
      </c>
      <c r="D757" s="1" t="s">
        <v>141</v>
      </c>
      <c r="E757" s="1" t="s">
        <v>2117</v>
      </c>
      <c r="F757" t="s">
        <v>3144</v>
      </c>
      <c r="G757" t="s">
        <v>3127</v>
      </c>
      <c r="H757" t="s">
        <v>3224</v>
      </c>
      <c r="I757" t="s">
        <v>52</v>
      </c>
      <c r="J757" t="s">
        <v>52</v>
      </c>
      <c r="K757" t="s">
        <v>52</v>
      </c>
      <c r="L757" s="2">
        <v>1</v>
      </c>
      <c r="M757" s="2">
        <v>0.5</v>
      </c>
      <c r="N757" s="2">
        <v>0</v>
      </c>
      <c r="O757" s="2">
        <v>0.5</v>
      </c>
      <c r="P757" s="2">
        <v>1</v>
      </c>
      <c r="Q757" s="2">
        <v>0.5</v>
      </c>
      <c r="R757" s="2">
        <v>2</v>
      </c>
      <c r="S757" s="2">
        <v>2</v>
      </c>
      <c r="T757" s="2">
        <v>1</v>
      </c>
      <c r="U757" s="2">
        <v>0.5</v>
      </c>
      <c r="V757" s="2">
        <v>0.5</v>
      </c>
      <c r="W757" s="2">
        <v>2</v>
      </c>
      <c r="X757" s="2">
        <v>1</v>
      </c>
      <c r="Y757" s="2">
        <v>4</v>
      </c>
      <c r="Z757" s="2">
        <v>1</v>
      </c>
      <c r="AA757" s="2">
        <v>1</v>
      </c>
      <c r="AB757" s="2">
        <v>2</v>
      </c>
      <c r="AC757" s="2">
        <v>0.5</v>
      </c>
      <c r="AD757" s="2">
        <v>45</v>
      </c>
      <c r="AE757" s="2">
        <v>5120</v>
      </c>
      <c r="AF757" s="2">
        <v>70</v>
      </c>
      <c r="AG757" s="2">
        <v>405</v>
      </c>
      <c r="AH757" s="2">
        <v>75</v>
      </c>
      <c r="AI757" s="2">
        <v>80</v>
      </c>
      <c r="AJ757" s="1">
        <v>1000000</v>
      </c>
      <c r="AK757" s="1">
        <v>1</v>
      </c>
      <c r="AL757" s="1">
        <v>60</v>
      </c>
      <c r="AM757" s="2">
        <v>50</v>
      </c>
      <c r="AN757" s="2">
        <f t="shared" si="11"/>
        <v>50</v>
      </c>
      <c r="AO757" s="3">
        <v>756</v>
      </c>
      <c r="AP757" s="3">
        <v>90</v>
      </c>
      <c r="AQ757" s="3">
        <v>100</v>
      </c>
      <c r="AR757" s="3">
        <v>30</v>
      </c>
      <c r="AS757" s="1">
        <v>11.5</v>
      </c>
      <c r="AT757" s="3">
        <v>7</v>
      </c>
      <c r="AU757" s="3" t="s">
        <v>3051</v>
      </c>
    </row>
    <row r="758" spans="1:47" x14ac:dyDescent="0.3">
      <c r="A758" s="1" t="s">
        <v>2124</v>
      </c>
      <c r="B758" s="1" t="s">
        <v>2123</v>
      </c>
      <c r="C758" s="1" t="s">
        <v>43</v>
      </c>
      <c r="D758" s="1" t="s">
        <v>51</v>
      </c>
      <c r="E758" s="1" t="s">
        <v>2122</v>
      </c>
      <c r="F758" t="s">
        <v>3206</v>
      </c>
      <c r="G758" t="s">
        <v>3133</v>
      </c>
      <c r="H758" t="s">
        <v>52</v>
      </c>
      <c r="I758" t="s">
        <v>52</v>
      </c>
      <c r="J758" t="s">
        <v>52</v>
      </c>
      <c r="K758" t="s">
        <v>52</v>
      </c>
      <c r="L758" s="2">
        <v>0.25</v>
      </c>
      <c r="M758" s="2">
        <v>1</v>
      </c>
      <c r="N758" s="2">
        <v>1</v>
      </c>
      <c r="O758" s="2">
        <v>1</v>
      </c>
      <c r="P758" s="2">
        <v>0.25</v>
      </c>
      <c r="Q758" s="2">
        <v>0.5</v>
      </c>
      <c r="R758" s="2">
        <v>0.5</v>
      </c>
      <c r="S758" s="2">
        <v>1</v>
      </c>
      <c r="T758" s="2">
        <v>1</v>
      </c>
      <c r="U758" s="2">
        <v>0.25</v>
      </c>
      <c r="V758" s="2">
        <v>4</v>
      </c>
      <c r="W758" s="2">
        <v>0.5</v>
      </c>
      <c r="X758" s="2">
        <v>1</v>
      </c>
      <c r="Y758" s="2">
        <v>0.5</v>
      </c>
      <c r="Z758" s="2">
        <v>2</v>
      </c>
      <c r="AA758" s="2">
        <v>2</v>
      </c>
      <c r="AB758" s="2">
        <v>0.5</v>
      </c>
      <c r="AC758" s="2">
        <v>2</v>
      </c>
      <c r="AD758" s="2">
        <v>44</v>
      </c>
      <c r="AE758" s="2">
        <v>5120</v>
      </c>
      <c r="AF758" s="2">
        <v>70</v>
      </c>
      <c r="AG758" s="2">
        <v>320</v>
      </c>
      <c r="AH758" s="2">
        <v>120</v>
      </c>
      <c r="AI758" s="2">
        <v>40</v>
      </c>
      <c r="AJ758" s="1">
        <v>1000000</v>
      </c>
      <c r="AK758" s="1">
        <v>0.6</v>
      </c>
      <c r="AL758" s="1">
        <v>48</v>
      </c>
      <c r="AM758" s="2">
        <v>88.1</v>
      </c>
      <c r="AN758" s="2">
        <f t="shared" si="11"/>
        <v>11.900000000000006</v>
      </c>
      <c r="AO758" s="3">
        <v>757</v>
      </c>
      <c r="AP758" s="3">
        <v>71</v>
      </c>
      <c r="AQ758" s="3">
        <v>40</v>
      </c>
      <c r="AR758" s="3">
        <v>77</v>
      </c>
      <c r="AS758" s="1">
        <v>4.8</v>
      </c>
      <c r="AT758" s="3">
        <v>7</v>
      </c>
      <c r="AU758" s="3" t="s">
        <v>3051</v>
      </c>
    </row>
    <row r="759" spans="1:47" x14ac:dyDescent="0.3">
      <c r="A759" s="1" t="s">
        <v>2126</v>
      </c>
      <c r="B759" s="1" t="s">
        <v>2125</v>
      </c>
      <c r="C759" s="1" t="s">
        <v>43</v>
      </c>
      <c r="D759" s="1" t="s">
        <v>51</v>
      </c>
      <c r="E759" s="1" t="s">
        <v>2122</v>
      </c>
      <c r="F759" t="s">
        <v>3206</v>
      </c>
      <c r="G759" t="s">
        <v>3133</v>
      </c>
      <c r="H759" t="s">
        <v>52</v>
      </c>
      <c r="I759" t="s">
        <v>52</v>
      </c>
      <c r="J759" t="s">
        <v>52</v>
      </c>
      <c r="K759" t="s">
        <v>52</v>
      </c>
      <c r="L759" s="2">
        <v>0.25</v>
      </c>
      <c r="M759" s="2">
        <v>1</v>
      </c>
      <c r="N759" s="2">
        <v>1</v>
      </c>
      <c r="O759" s="2">
        <v>1</v>
      </c>
      <c r="P759" s="2">
        <v>0.25</v>
      </c>
      <c r="Q759" s="2">
        <v>0.5</v>
      </c>
      <c r="R759" s="2">
        <v>0.5</v>
      </c>
      <c r="S759" s="2">
        <v>1</v>
      </c>
      <c r="T759" s="2">
        <v>1</v>
      </c>
      <c r="U759" s="2">
        <v>0.25</v>
      </c>
      <c r="V759" s="2">
        <v>4</v>
      </c>
      <c r="W759" s="2">
        <v>0.5</v>
      </c>
      <c r="X759" s="2">
        <v>1</v>
      </c>
      <c r="Y759" s="2">
        <v>0.5</v>
      </c>
      <c r="Z759" s="2">
        <v>2</v>
      </c>
      <c r="AA759" s="2">
        <v>2</v>
      </c>
      <c r="AB759" s="2">
        <v>0.5</v>
      </c>
      <c r="AC759" s="2">
        <v>2</v>
      </c>
      <c r="AD759" s="2">
        <v>64</v>
      </c>
      <c r="AE759" s="2">
        <v>5120</v>
      </c>
      <c r="AF759" s="2">
        <v>70</v>
      </c>
      <c r="AG759" s="2">
        <v>480</v>
      </c>
      <c r="AH759" s="2">
        <v>45</v>
      </c>
      <c r="AI759" s="2">
        <v>60</v>
      </c>
      <c r="AJ759" s="1">
        <v>1000000</v>
      </c>
      <c r="AK759" s="1">
        <v>1.2</v>
      </c>
      <c r="AL759" s="1">
        <v>68</v>
      </c>
      <c r="AM759" s="2">
        <v>0</v>
      </c>
      <c r="AN759" s="2">
        <f t="shared" si="11"/>
        <v>100</v>
      </c>
      <c r="AO759" s="3">
        <v>758</v>
      </c>
      <c r="AP759" s="3">
        <v>111</v>
      </c>
      <c r="AQ759" s="3">
        <v>60</v>
      </c>
      <c r="AR759" s="3">
        <v>117</v>
      </c>
      <c r="AS759" s="1">
        <v>22.2</v>
      </c>
      <c r="AT759" s="3">
        <v>7</v>
      </c>
      <c r="AU759" s="3" t="s">
        <v>3051</v>
      </c>
    </row>
    <row r="760" spans="1:47" x14ac:dyDescent="0.3">
      <c r="A760" s="1" t="s">
        <v>2129</v>
      </c>
      <c r="B760" s="1" t="s">
        <v>2128</v>
      </c>
      <c r="C760" s="1" t="s">
        <v>90</v>
      </c>
      <c r="D760" s="1" t="s">
        <v>197</v>
      </c>
      <c r="E760" s="1" t="s">
        <v>2127</v>
      </c>
      <c r="F760" t="s">
        <v>3207</v>
      </c>
      <c r="G760" t="s">
        <v>3270</v>
      </c>
      <c r="H760" t="s">
        <v>3124</v>
      </c>
      <c r="I760" t="s">
        <v>52</v>
      </c>
      <c r="J760" t="s">
        <v>52</v>
      </c>
      <c r="K760" t="s">
        <v>52</v>
      </c>
      <c r="L760" s="2">
        <v>0.5</v>
      </c>
      <c r="M760" s="2">
        <v>0.5</v>
      </c>
      <c r="N760" s="2">
        <v>1</v>
      </c>
      <c r="O760" s="2">
        <v>1</v>
      </c>
      <c r="P760" s="2">
        <v>2</v>
      </c>
      <c r="Q760" s="2">
        <v>2</v>
      </c>
      <c r="R760" s="2">
        <v>1</v>
      </c>
      <c r="S760" s="2">
        <v>2</v>
      </c>
      <c r="T760" s="2">
        <v>0</v>
      </c>
      <c r="U760" s="2">
        <v>1</v>
      </c>
      <c r="V760" s="2">
        <v>1</v>
      </c>
      <c r="W760" s="2">
        <v>1</v>
      </c>
      <c r="X760" s="2">
        <v>1</v>
      </c>
      <c r="Y760" s="2">
        <v>1</v>
      </c>
      <c r="Z760" s="2">
        <v>2</v>
      </c>
      <c r="AA760" s="2">
        <v>0.5</v>
      </c>
      <c r="AB760" s="2">
        <v>1</v>
      </c>
      <c r="AC760" s="2">
        <v>1</v>
      </c>
      <c r="AD760" s="2">
        <v>75</v>
      </c>
      <c r="AE760" s="2">
        <v>3840</v>
      </c>
      <c r="AF760" s="2">
        <v>70</v>
      </c>
      <c r="AG760" s="2">
        <v>340</v>
      </c>
      <c r="AH760" s="2">
        <v>140</v>
      </c>
      <c r="AI760" s="2">
        <v>50</v>
      </c>
      <c r="AJ760" s="1">
        <v>1000000</v>
      </c>
      <c r="AK760" s="1">
        <v>0.5</v>
      </c>
      <c r="AL760" s="1">
        <v>70</v>
      </c>
      <c r="AM760" s="2">
        <v>50</v>
      </c>
      <c r="AN760" s="2">
        <f t="shared" si="11"/>
        <v>50</v>
      </c>
      <c r="AO760" s="3">
        <v>759</v>
      </c>
      <c r="AP760" s="3">
        <v>45</v>
      </c>
      <c r="AQ760" s="3">
        <v>50</v>
      </c>
      <c r="AR760" s="3">
        <v>50</v>
      </c>
      <c r="AS760" s="1">
        <v>6.8</v>
      </c>
      <c r="AT760" s="3">
        <v>7</v>
      </c>
      <c r="AU760" s="3" t="s">
        <v>3051</v>
      </c>
    </row>
    <row r="761" spans="1:47" x14ac:dyDescent="0.3">
      <c r="A761" s="1" t="s">
        <v>2132</v>
      </c>
      <c r="B761" s="1" t="s">
        <v>2131</v>
      </c>
      <c r="C761" s="1" t="s">
        <v>90</v>
      </c>
      <c r="D761" s="1" t="s">
        <v>197</v>
      </c>
      <c r="E761" s="1" t="s">
        <v>2130</v>
      </c>
      <c r="F761" t="s">
        <v>3207</v>
      </c>
      <c r="G761" t="s">
        <v>3270</v>
      </c>
      <c r="H761" t="s">
        <v>3228</v>
      </c>
      <c r="I761" t="s">
        <v>52</v>
      </c>
      <c r="J761" t="s">
        <v>52</v>
      </c>
      <c r="K761" t="s">
        <v>52</v>
      </c>
      <c r="L761" s="2">
        <v>0.5</v>
      </c>
      <c r="M761" s="2">
        <v>0.5</v>
      </c>
      <c r="N761" s="2">
        <v>1</v>
      </c>
      <c r="O761" s="2">
        <v>1</v>
      </c>
      <c r="P761" s="2">
        <v>2</v>
      </c>
      <c r="Q761" s="2">
        <v>2</v>
      </c>
      <c r="R761" s="2">
        <v>1</v>
      </c>
      <c r="S761" s="2">
        <v>2</v>
      </c>
      <c r="T761" s="2">
        <v>0</v>
      </c>
      <c r="U761" s="2">
        <v>1</v>
      </c>
      <c r="V761" s="2">
        <v>1</v>
      </c>
      <c r="W761" s="2">
        <v>1</v>
      </c>
      <c r="X761" s="2">
        <v>1</v>
      </c>
      <c r="Y761" s="2">
        <v>1</v>
      </c>
      <c r="Z761" s="2">
        <v>2</v>
      </c>
      <c r="AA761" s="2">
        <v>0.5</v>
      </c>
      <c r="AB761" s="2">
        <v>1</v>
      </c>
      <c r="AC761" s="2">
        <v>1</v>
      </c>
      <c r="AD761" s="2">
        <v>125</v>
      </c>
      <c r="AE761" s="2">
        <v>3840</v>
      </c>
      <c r="AF761" s="2">
        <v>70</v>
      </c>
      <c r="AG761" s="2">
        <v>500</v>
      </c>
      <c r="AH761" s="2">
        <v>70</v>
      </c>
      <c r="AI761" s="2">
        <v>80</v>
      </c>
      <c r="AJ761" s="1">
        <v>1000000</v>
      </c>
      <c r="AK761" s="1">
        <v>2.1</v>
      </c>
      <c r="AL761" s="1">
        <v>120</v>
      </c>
      <c r="AM761" s="2">
        <v>50</v>
      </c>
      <c r="AN761" s="2">
        <f t="shared" si="11"/>
        <v>50</v>
      </c>
      <c r="AO761" s="3">
        <v>760</v>
      </c>
      <c r="AP761" s="3">
        <v>55</v>
      </c>
      <c r="AQ761" s="3">
        <v>60</v>
      </c>
      <c r="AR761" s="3">
        <v>60</v>
      </c>
      <c r="AS761" s="1">
        <v>135</v>
      </c>
      <c r="AT761" s="3">
        <v>7</v>
      </c>
      <c r="AU761" s="3" t="s">
        <v>3051</v>
      </c>
    </row>
    <row r="762" spans="1:47" x14ac:dyDescent="0.3">
      <c r="A762" s="1" t="s">
        <v>2134</v>
      </c>
      <c r="B762" s="1" t="s">
        <v>2133</v>
      </c>
      <c r="C762" s="1" t="s">
        <v>42</v>
      </c>
      <c r="D762" s="1" t="s">
        <v>52</v>
      </c>
      <c r="E762" s="1" t="s">
        <v>1016</v>
      </c>
      <c r="F762" t="s">
        <v>3174</v>
      </c>
      <c r="G762" t="s">
        <v>3133</v>
      </c>
      <c r="H762" t="s">
        <v>3195</v>
      </c>
      <c r="I762" t="s">
        <v>52</v>
      </c>
      <c r="J762" t="s">
        <v>52</v>
      </c>
      <c r="K762" t="s">
        <v>52</v>
      </c>
      <c r="L762" s="2">
        <v>2</v>
      </c>
      <c r="M762" s="2">
        <v>1</v>
      </c>
      <c r="N762" s="2">
        <v>1</v>
      </c>
      <c r="O762" s="2">
        <v>0.5</v>
      </c>
      <c r="P762" s="2">
        <v>1</v>
      </c>
      <c r="Q762" s="2">
        <v>1</v>
      </c>
      <c r="R762" s="2">
        <v>2</v>
      </c>
      <c r="S762" s="2">
        <v>2</v>
      </c>
      <c r="T762" s="2">
        <v>1</v>
      </c>
      <c r="U762" s="2">
        <v>0.5</v>
      </c>
      <c r="V762" s="2">
        <v>0.5</v>
      </c>
      <c r="W762" s="2">
        <v>2</v>
      </c>
      <c r="X762" s="2">
        <v>1</v>
      </c>
      <c r="Y762" s="2">
        <v>2</v>
      </c>
      <c r="Z762" s="2">
        <v>1</v>
      </c>
      <c r="AA762" s="2">
        <v>1</v>
      </c>
      <c r="AB762" s="2">
        <v>1</v>
      </c>
      <c r="AC762" s="2">
        <v>0.5</v>
      </c>
      <c r="AD762" s="2">
        <v>30</v>
      </c>
      <c r="AE762" s="2">
        <v>5120</v>
      </c>
      <c r="AF762" s="2">
        <v>70</v>
      </c>
      <c r="AG762" s="2">
        <v>210</v>
      </c>
      <c r="AH762" s="2">
        <v>235</v>
      </c>
      <c r="AI762" s="2">
        <v>38</v>
      </c>
      <c r="AJ762" s="1">
        <v>1059860</v>
      </c>
      <c r="AK762" s="1">
        <v>0.3</v>
      </c>
      <c r="AL762" s="1">
        <v>42</v>
      </c>
      <c r="AM762" s="2">
        <v>0</v>
      </c>
      <c r="AN762" s="2">
        <f t="shared" si="11"/>
        <v>100</v>
      </c>
      <c r="AO762" s="3">
        <v>761</v>
      </c>
      <c r="AP762" s="3">
        <v>30</v>
      </c>
      <c r="AQ762" s="3">
        <v>38</v>
      </c>
      <c r="AR762" s="3">
        <v>32</v>
      </c>
      <c r="AS762" s="1">
        <v>3.2</v>
      </c>
      <c r="AT762" s="3">
        <v>7</v>
      </c>
      <c r="AU762" s="3" t="s">
        <v>3051</v>
      </c>
    </row>
    <row r="763" spans="1:47" x14ac:dyDescent="0.3">
      <c r="A763" s="1" t="s">
        <v>2136</v>
      </c>
      <c r="B763" s="1" t="s">
        <v>2135</v>
      </c>
      <c r="C763" s="1" t="s">
        <v>42</v>
      </c>
      <c r="D763" s="1" t="s">
        <v>52</v>
      </c>
      <c r="E763" s="1" t="s">
        <v>1016</v>
      </c>
      <c r="F763" t="s">
        <v>3174</v>
      </c>
      <c r="G763" t="s">
        <v>3133</v>
      </c>
      <c r="H763" t="s">
        <v>3195</v>
      </c>
      <c r="I763" t="s">
        <v>52</v>
      </c>
      <c r="J763" t="s">
        <v>52</v>
      </c>
      <c r="K763" t="s">
        <v>52</v>
      </c>
      <c r="L763" s="2">
        <v>2</v>
      </c>
      <c r="M763" s="2">
        <v>1</v>
      </c>
      <c r="N763" s="2">
        <v>1</v>
      </c>
      <c r="O763" s="2">
        <v>0.5</v>
      </c>
      <c r="P763" s="2">
        <v>1</v>
      </c>
      <c r="Q763" s="2">
        <v>1</v>
      </c>
      <c r="R763" s="2">
        <v>2</v>
      </c>
      <c r="S763" s="2">
        <v>2</v>
      </c>
      <c r="T763" s="2">
        <v>1</v>
      </c>
      <c r="U763" s="2">
        <v>0.5</v>
      </c>
      <c r="V763" s="2">
        <v>0.5</v>
      </c>
      <c r="W763" s="2">
        <v>2</v>
      </c>
      <c r="X763" s="2">
        <v>1</v>
      </c>
      <c r="Y763" s="2">
        <v>2</v>
      </c>
      <c r="Z763" s="2">
        <v>1</v>
      </c>
      <c r="AA763" s="2">
        <v>1</v>
      </c>
      <c r="AB763" s="2">
        <v>1</v>
      </c>
      <c r="AC763" s="2">
        <v>0.5</v>
      </c>
      <c r="AD763" s="2">
        <v>40</v>
      </c>
      <c r="AE763" s="2">
        <v>5120</v>
      </c>
      <c r="AF763" s="2">
        <v>70</v>
      </c>
      <c r="AG763" s="2">
        <v>290</v>
      </c>
      <c r="AH763" s="2">
        <v>120</v>
      </c>
      <c r="AI763" s="2">
        <v>48</v>
      </c>
      <c r="AJ763" s="1">
        <v>1059860</v>
      </c>
      <c r="AK763" s="1">
        <v>0.7</v>
      </c>
      <c r="AL763" s="1">
        <v>52</v>
      </c>
      <c r="AM763" s="2">
        <v>0</v>
      </c>
      <c r="AN763" s="2">
        <f t="shared" si="11"/>
        <v>100</v>
      </c>
      <c r="AO763" s="3">
        <v>762</v>
      </c>
      <c r="AP763" s="3">
        <v>40</v>
      </c>
      <c r="AQ763" s="3">
        <v>48</v>
      </c>
      <c r="AR763" s="3">
        <v>62</v>
      </c>
      <c r="AS763" s="1">
        <v>8.1999999999999993</v>
      </c>
      <c r="AT763" s="3">
        <v>7</v>
      </c>
      <c r="AU763" s="3" t="s">
        <v>3051</v>
      </c>
    </row>
    <row r="764" spans="1:47" x14ac:dyDescent="0.3">
      <c r="A764" s="1" t="s">
        <v>2138</v>
      </c>
      <c r="B764" s="1" t="s">
        <v>2137</v>
      </c>
      <c r="C764" s="1" t="s">
        <v>42</v>
      </c>
      <c r="D764" s="1" t="s">
        <v>52</v>
      </c>
      <c r="E764" s="1" t="s">
        <v>1016</v>
      </c>
      <c r="F764" t="s">
        <v>3174</v>
      </c>
      <c r="G764" t="s">
        <v>3284</v>
      </c>
      <c r="H764" t="s">
        <v>3195</v>
      </c>
      <c r="I764" t="s">
        <v>52</v>
      </c>
      <c r="J764" t="s">
        <v>52</v>
      </c>
      <c r="K764" t="s">
        <v>52</v>
      </c>
      <c r="L764" s="2">
        <v>2</v>
      </c>
      <c r="M764" s="2">
        <v>1</v>
      </c>
      <c r="N764" s="2">
        <v>1</v>
      </c>
      <c r="O764" s="2">
        <v>0.5</v>
      </c>
      <c r="P764" s="2">
        <v>1</v>
      </c>
      <c r="Q764" s="2">
        <v>1</v>
      </c>
      <c r="R764" s="2">
        <v>2</v>
      </c>
      <c r="S764" s="2">
        <v>2</v>
      </c>
      <c r="T764" s="2">
        <v>1</v>
      </c>
      <c r="U764" s="2">
        <v>0.5</v>
      </c>
      <c r="V764" s="2">
        <v>0.5</v>
      </c>
      <c r="W764" s="2">
        <v>2</v>
      </c>
      <c r="X764" s="2">
        <v>1</v>
      </c>
      <c r="Y764" s="2">
        <v>2</v>
      </c>
      <c r="Z764" s="2">
        <v>1</v>
      </c>
      <c r="AA764" s="2">
        <v>1</v>
      </c>
      <c r="AB764" s="2">
        <v>1</v>
      </c>
      <c r="AC764" s="2">
        <v>0.5</v>
      </c>
      <c r="AD764" s="2">
        <v>120</v>
      </c>
      <c r="AE764" s="2">
        <v>5120</v>
      </c>
      <c r="AF764" s="2">
        <v>70</v>
      </c>
      <c r="AG764" s="2">
        <v>510</v>
      </c>
      <c r="AH764" s="2">
        <v>45</v>
      </c>
      <c r="AI764" s="2">
        <v>98</v>
      </c>
      <c r="AJ764" s="1">
        <v>1059860</v>
      </c>
      <c r="AK764" s="1">
        <v>1.2</v>
      </c>
      <c r="AL764" s="1">
        <v>72</v>
      </c>
      <c r="AM764" s="2">
        <v>0</v>
      </c>
      <c r="AN764" s="2">
        <f t="shared" si="11"/>
        <v>100</v>
      </c>
      <c r="AO764" s="3">
        <v>763</v>
      </c>
      <c r="AP764" s="3">
        <v>50</v>
      </c>
      <c r="AQ764" s="3">
        <v>98</v>
      </c>
      <c r="AR764" s="3">
        <v>72</v>
      </c>
      <c r="AS764" s="1">
        <v>21.4</v>
      </c>
      <c r="AT764" s="3">
        <v>7</v>
      </c>
      <c r="AU764" s="3" t="s">
        <v>3051</v>
      </c>
    </row>
    <row r="765" spans="1:47" x14ac:dyDescent="0.3">
      <c r="A765" s="1" t="s">
        <v>2141</v>
      </c>
      <c r="B765" s="1" t="s">
        <v>2140</v>
      </c>
      <c r="C765" s="1" t="s">
        <v>141</v>
      </c>
      <c r="D765" s="1" t="s">
        <v>52</v>
      </c>
      <c r="E765" s="1" t="s">
        <v>2139</v>
      </c>
      <c r="F765" t="s">
        <v>3193</v>
      </c>
      <c r="G765" t="s">
        <v>3285</v>
      </c>
      <c r="H765" t="s">
        <v>3058</v>
      </c>
      <c r="I765" t="s">
        <v>52</v>
      </c>
      <c r="J765" t="s">
        <v>52</v>
      </c>
      <c r="K765" t="s">
        <v>52</v>
      </c>
      <c r="L765" s="2">
        <v>0.5</v>
      </c>
      <c r="M765" s="2">
        <v>0.5</v>
      </c>
      <c r="N765" s="2">
        <v>0</v>
      </c>
      <c r="O765" s="2">
        <v>1</v>
      </c>
      <c r="P765" s="2">
        <v>1</v>
      </c>
      <c r="Q765" s="2">
        <v>0.5</v>
      </c>
      <c r="R765" s="2">
        <v>1</v>
      </c>
      <c r="S765" s="2">
        <v>1</v>
      </c>
      <c r="T765" s="2">
        <v>1</v>
      </c>
      <c r="U765" s="2">
        <v>1</v>
      </c>
      <c r="V765" s="2">
        <v>1</v>
      </c>
      <c r="W765" s="2">
        <v>1</v>
      </c>
      <c r="X765" s="2">
        <v>1</v>
      </c>
      <c r="Y765" s="2">
        <v>2</v>
      </c>
      <c r="Z765" s="2">
        <v>1</v>
      </c>
      <c r="AA765" s="2">
        <v>1</v>
      </c>
      <c r="AB765" s="2">
        <v>2</v>
      </c>
      <c r="AC765" s="2">
        <v>1</v>
      </c>
      <c r="AD765" s="2">
        <v>52</v>
      </c>
      <c r="AE765" s="2">
        <v>5120</v>
      </c>
      <c r="AF765" s="2">
        <v>70</v>
      </c>
      <c r="AG765" s="2">
        <v>485</v>
      </c>
      <c r="AH765" s="2">
        <v>60</v>
      </c>
      <c r="AI765" s="2">
        <v>90</v>
      </c>
      <c r="AJ765" s="1">
        <v>800000</v>
      </c>
      <c r="AK765" s="1">
        <v>0.1</v>
      </c>
      <c r="AL765" s="1">
        <v>51</v>
      </c>
      <c r="AM765" s="2">
        <v>24.6</v>
      </c>
      <c r="AN765" s="2">
        <f t="shared" si="11"/>
        <v>75.400000000000006</v>
      </c>
      <c r="AO765" s="3">
        <v>764</v>
      </c>
      <c r="AP765" s="3">
        <v>82</v>
      </c>
      <c r="AQ765" s="3">
        <v>110</v>
      </c>
      <c r="AR765" s="3">
        <v>100</v>
      </c>
      <c r="AS765" s="1">
        <v>0.3</v>
      </c>
      <c r="AT765" s="3">
        <v>7</v>
      </c>
      <c r="AU765" s="3" t="s">
        <v>3051</v>
      </c>
    </row>
    <row r="766" spans="1:47" x14ac:dyDescent="0.3">
      <c r="A766" s="1" t="s">
        <v>2144</v>
      </c>
      <c r="B766" s="1" t="s">
        <v>2143</v>
      </c>
      <c r="C766" s="1" t="s">
        <v>90</v>
      </c>
      <c r="D766" s="1" t="s">
        <v>216</v>
      </c>
      <c r="E766" s="1" t="s">
        <v>2142</v>
      </c>
      <c r="F766" t="s">
        <v>3126</v>
      </c>
      <c r="G766" t="s">
        <v>3189</v>
      </c>
      <c r="H766" t="s">
        <v>3275</v>
      </c>
      <c r="I766" t="s">
        <v>52</v>
      </c>
      <c r="J766" t="s">
        <v>52</v>
      </c>
      <c r="K766" t="s">
        <v>52</v>
      </c>
      <c r="L766" s="2">
        <v>2</v>
      </c>
      <c r="M766" s="2">
        <v>2</v>
      </c>
      <c r="N766" s="2">
        <v>1</v>
      </c>
      <c r="O766" s="2">
        <v>1</v>
      </c>
      <c r="P766" s="2">
        <v>1</v>
      </c>
      <c r="Q766" s="2">
        <v>1</v>
      </c>
      <c r="R766" s="2">
        <v>1</v>
      </c>
      <c r="S766" s="2">
        <v>1</v>
      </c>
      <c r="T766" s="2">
        <v>0</v>
      </c>
      <c r="U766" s="2">
        <v>1</v>
      </c>
      <c r="V766" s="2">
        <v>1</v>
      </c>
      <c r="W766" s="2">
        <v>1</v>
      </c>
      <c r="X766" s="2">
        <v>1</v>
      </c>
      <c r="Y766" s="2">
        <v>1</v>
      </c>
      <c r="Z766" s="2">
        <v>0.5</v>
      </c>
      <c r="AA766" s="2">
        <v>1</v>
      </c>
      <c r="AB766" s="2">
        <v>1</v>
      </c>
      <c r="AC766" s="2">
        <v>1</v>
      </c>
      <c r="AD766" s="2">
        <v>60</v>
      </c>
      <c r="AE766" s="2">
        <v>5120</v>
      </c>
      <c r="AF766" s="2">
        <v>70</v>
      </c>
      <c r="AG766" s="2">
        <v>490</v>
      </c>
      <c r="AH766" s="2">
        <v>45</v>
      </c>
      <c r="AI766" s="2">
        <v>80</v>
      </c>
      <c r="AJ766" s="1">
        <v>1250000</v>
      </c>
      <c r="AK766" s="1">
        <v>1.5</v>
      </c>
      <c r="AL766" s="1">
        <v>90</v>
      </c>
      <c r="AM766" s="2">
        <v>50</v>
      </c>
      <c r="AN766" s="2">
        <f t="shared" si="11"/>
        <v>50</v>
      </c>
      <c r="AO766" s="3">
        <v>765</v>
      </c>
      <c r="AP766" s="3">
        <v>90</v>
      </c>
      <c r="AQ766" s="3">
        <v>110</v>
      </c>
      <c r="AR766" s="3">
        <v>60</v>
      </c>
      <c r="AS766" s="1">
        <v>76</v>
      </c>
      <c r="AT766" s="3">
        <v>7</v>
      </c>
      <c r="AU766" s="3" t="s">
        <v>3051</v>
      </c>
    </row>
    <row r="767" spans="1:47" x14ac:dyDescent="0.3">
      <c r="A767" s="1" t="s">
        <v>2147</v>
      </c>
      <c r="B767" s="1" t="s">
        <v>2146</v>
      </c>
      <c r="C767" s="1" t="s">
        <v>197</v>
      </c>
      <c r="D767" s="1" t="s">
        <v>52</v>
      </c>
      <c r="E767" s="1" t="s">
        <v>2145</v>
      </c>
      <c r="F767" t="s">
        <v>3208</v>
      </c>
      <c r="G767" t="s">
        <v>3191</v>
      </c>
      <c r="H767" t="s">
        <v>52</v>
      </c>
      <c r="I767" t="s">
        <v>52</v>
      </c>
      <c r="J767" t="s">
        <v>52</v>
      </c>
      <c r="K767" t="s">
        <v>52</v>
      </c>
      <c r="L767" s="2">
        <v>0.5</v>
      </c>
      <c r="M767" s="2">
        <v>0.5</v>
      </c>
      <c r="N767" s="2">
        <v>1</v>
      </c>
      <c r="O767" s="2">
        <v>1</v>
      </c>
      <c r="P767" s="2">
        <v>2</v>
      </c>
      <c r="Q767" s="2">
        <v>1</v>
      </c>
      <c r="R767" s="2">
        <v>1</v>
      </c>
      <c r="S767" s="2">
        <v>2</v>
      </c>
      <c r="T767" s="2">
        <v>1</v>
      </c>
      <c r="U767" s="2">
        <v>1</v>
      </c>
      <c r="V767" s="2">
        <v>1</v>
      </c>
      <c r="W767" s="2">
        <v>1</v>
      </c>
      <c r="X767" s="2">
        <v>1</v>
      </c>
      <c r="Y767" s="2">
        <v>1</v>
      </c>
      <c r="Z767" s="2">
        <v>2</v>
      </c>
      <c r="AA767" s="2">
        <v>0.5</v>
      </c>
      <c r="AB767" s="2">
        <v>1</v>
      </c>
      <c r="AC767" s="2">
        <v>1</v>
      </c>
      <c r="AD767" s="2">
        <v>120</v>
      </c>
      <c r="AE767" s="2">
        <v>5120</v>
      </c>
      <c r="AF767" s="2">
        <v>70</v>
      </c>
      <c r="AG767" s="2">
        <v>490</v>
      </c>
      <c r="AH767" s="2">
        <v>45</v>
      </c>
      <c r="AI767" s="2">
        <v>90</v>
      </c>
      <c r="AJ767" s="1">
        <v>1250000</v>
      </c>
      <c r="AK767" s="1">
        <v>2</v>
      </c>
      <c r="AL767" s="1">
        <v>100</v>
      </c>
      <c r="AM767" s="2">
        <v>50</v>
      </c>
      <c r="AN767" s="2">
        <f t="shared" si="11"/>
        <v>50</v>
      </c>
      <c r="AO767" s="3">
        <v>766</v>
      </c>
      <c r="AP767" s="3">
        <v>40</v>
      </c>
      <c r="AQ767" s="3">
        <v>60</v>
      </c>
      <c r="AR767" s="3">
        <v>80</v>
      </c>
      <c r="AS767" s="1">
        <v>82.8</v>
      </c>
      <c r="AT767" s="3">
        <v>7</v>
      </c>
      <c r="AU767" s="3" t="s">
        <v>3051</v>
      </c>
    </row>
    <row r="768" spans="1:47" x14ac:dyDescent="0.3">
      <c r="A768" s="1" t="s">
        <v>2150</v>
      </c>
      <c r="B768" s="1" t="s">
        <v>2149</v>
      </c>
      <c r="C768" s="1" t="s">
        <v>72</v>
      </c>
      <c r="D768" s="1" t="s">
        <v>62</v>
      </c>
      <c r="E768" s="1" t="s">
        <v>2148</v>
      </c>
      <c r="F768" t="s">
        <v>3097</v>
      </c>
      <c r="G768" t="s">
        <v>52</v>
      </c>
      <c r="H768" t="s">
        <v>52</v>
      </c>
      <c r="I768" t="s">
        <v>52</v>
      </c>
      <c r="J768" t="s">
        <v>52</v>
      </c>
      <c r="K768" t="s">
        <v>52</v>
      </c>
      <c r="L768" s="2">
        <v>1</v>
      </c>
      <c r="M768" s="2">
        <v>1</v>
      </c>
      <c r="N768" s="2">
        <v>1</v>
      </c>
      <c r="O768" s="2">
        <v>2</v>
      </c>
      <c r="P768" s="2">
        <v>1</v>
      </c>
      <c r="Q768" s="2">
        <v>0.5</v>
      </c>
      <c r="R768" s="2">
        <v>1</v>
      </c>
      <c r="S768" s="2">
        <v>2</v>
      </c>
      <c r="T768" s="2">
        <v>1</v>
      </c>
      <c r="U768" s="2">
        <v>1</v>
      </c>
      <c r="V768" s="2">
        <v>0.5</v>
      </c>
      <c r="W768" s="2">
        <v>0.5</v>
      </c>
      <c r="X768" s="2">
        <v>1</v>
      </c>
      <c r="Y768" s="2">
        <v>1</v>
      </c>
      <c r="Z768" s="2">
        <v>1</v>
      </c>
      <c r="AA768" s="2">
        <v>2</v>
      </c>
      <c r="AB768" s="2">
        <v>0.5</v>
      </c>
      <c r="AC768" s="2">
        <v>0.5</v>
      </c>
      <c r="AD768" s="2">
        <v>35</v>
      </c>
      <c r="AE768" s="2">
        <v>5120</v>
      </c>
      <c r="AF768" s="2">
        <v>70</v>
      </c>
      <c r="AG768" s="2">
        <v>230</v>
      </c>
      <c r="AH768" s="2">
        <v>90</v>
      </c>
      <c r="AI768" s="2">
        <v>40</v>
      </c>
      <c r="AJ768" s="1">
        <v>1000000</v>
      </c>
      <c r="AK768" s="1">
        <v>0.5</v>
      </c>
      <c r="AL768" s="1">
        <v>25</v>
      </c>
      <c r="AM768" s="2">
        <v>50</v>
      </c>
      <c r="AN768" s="2">
        <f t="shared" si="11"/>
        <v>50</v>
      </c>
      <c r="AO768" s="3">
        <v>767</v>
      </c>
      <c r="AP768" s="3">
        <v>20</v>
      </c>
      <c r="AQ768" s="3">
        <v>30</v>
      </c>
      <c r="AR768" s="3">
        <v>80</v>
      </c>
      <c r="AS768" s="1">
        <v>12</v>
      </c>
      <c r="AT768" s="3">
        <v>7</v>
      </c>
      <c r="AU768" s="3" t="s">
        <v>3051</v>
      </c>
    </row>
    <row r="769" spans="1:47" x14ac:dyDescent="0.3">
      <c r="A769" s="1" t="s">
        <v>2153</v>
      </c>
      <c r="B769" s="1" t="s">
        <v>2152</v>
      </c>
      <c r="C769" s="1" t="s">
        <v>72</v>
      </c>
      <c r="D769" s="1" t="s">
        <v>62</v>
      </c>
      <c r="E769" s="1" t="s">
        <v>2151</v>
      </c>
      <c r="F769" t="s">
        <v>3098</v>
      </c>
      <c r="G769" t="s">
        <v>52</v>
      </c>
      <c r="H769" t="s">
        <v>52</v>
      </c>
      <c r="I769" t="s">
        <v>52</v>
      </c>
      <c r="J769" t="s">
        <v>52</v>
      </c>
      <c r="K769" t="s">
        <v>52</v>
      </c>
      <c r="L769" s="2">
        <v>1</v>
      </c>
      <c r="M769" s="2">
        <v>1</v>
      </c>
      <c r="N769" s="2">
        <v>1</v>
      </c>
      <c r="O769" s="2">
        <v>2</v>
      </c>
      <c r="P769" s="2">
        <v>1</v>
      </c>
      <c r="Q769" s="2">
        <v>0.5</v>
      </c>
      <c r="R769" s="2">
        <v>1</v>
      </c>
      <c r="S769" s="2">
        <v>2</v>
      </c>
      <c r="T769" s="2">
        <v>1</v>
      </c>
      <c r="U769" s="2">
        <v>1</v>
      </c>
      <c r="V769" s="2">
        <v>0.5</v>
      </c>
      <c r="W769" s="2">
        <v>0.5</v>
      </c>
      <c r="X769" s="2">
        <v>1</v>
      </c>
      <c r="Y769" s="2">
        <v>1</v>
      </c>
      <c r="Z769" s="2">
        <v>1</v>
      </c>
      <c r="AA769" s="2">
        <v>2</v>
      </c>
      <c r="AB769" s="2">
        <v>0.5</v>
      </c>
      <c r="AC769" s="2">
        <v>0.5</v>
      </c>
      <c r="AD769" s="2">
        <v>125</v>
      </c>
      <c r="AE769" s="2">
        <v>5120</v>
      </c>
      <c r="AF769" s="2">
        <v>70</v>
      </c>
      <c r="AG769" s="2">
        <v>530</v>
      </c>
      <c r="AH769" s="2">
        <v>45</v>
      </c>
      <c r="AI769" s="2">
        <v>140</v>
      </c>
      <c r="AJ769" s="1">
        <v>1000000</v>
      </c>
      <c r="AK769" s="1">
        <v>2</v>
      </c>
      <c r="AL769" s="1">
        <v>75</v>
      </c>
      <c r="AM769" s="2">
        <v>50</v>
      </c>
      <c r="AN769" s="2">
        <f t="shared" si="11"/>
        <v>50</v>
      </c>
      <c r="AO769" s="3">
        <v>768</v>
      </c>
      <c r="AP769" s="3">
        <v>60</v>
      </c>
      <c r="AQ769" s="3">
        <v>90</v>
      </c>
      <c r="AR769" s="3">
        <v>40</v>
      </c>
      <c r="AS769" s="1">
        <v>108</v>
      </c>
      <c r="AT769" s="3">
        <v>7</v>
      </c>
      <c r="AU769" s="3" t="s">
        <v>3051</v>
      </c>
    </row>
    <row r="770" spans="1:47" x14ac:dyDescent="0.3">
      <c r="A770" s="1" t="s">
        <v>2156</v>
      </c>
      <c r="B770" s="1" t="s">
        <v>2155</v>
      </c>
      <c r="C770" s="1" t="s">
        <v>293</v>
      </c>
      <c r="D770" s="1" t="s">
        <v>120</v>
      </c>
      <c r="E770" s="1" t="s">
        <v>2154</v>
      </c>
      <c r="F770" t="s">
        <v>3209</v>
      </c>
      <c r="G770" t="s">
        <v>3122</v>
      </c>
      <c r="H770" t="s">
        <v>52</v>
      </c>
      <c r="I770" t="s">
        <v>52</v>
      </c>
      <c r="J770" t="s">
        <v>52</v>
      </c>
      <c r="K770" t="s">
        <v>52</v>
      </c>
      <c r="L770" s="2">
        <v>0.5</v>
      </c>
      <c r="M770" s="2">
        <v>2</v>
      </c>
      <c r="N770" s="2">
        <v>1</v>
      </c>
      <c r="O770" s="2">
        <v>0</v>
      </c>
      <c r="P770" s="2">
        <v>1</v>
      </c>
      <c r="Q770" s="2">
        <v>0</v>
      </c>
      <c r="R770" s="2">
        <v>1</v>
      </c>
      <c r="S770" s="2">
        <v>1</v>
      </c>
      <c r="T770" s="2">
        <v>2</v>
      </c>
      <c r="U770" s="2">
        <v>2</v>
      </c>
      <c r="V770" s="2">
        <v>1</v>
      </c>
      <c r="W770" s="2">
        <v>2</v>
      </c>
      <c r="X770" s="2">
        <v>0</v>
      </c>
      <c r="Y770" s="2">
        <v>0.25</v>
      </c>
      <c r="Z770" s="2">
        <v>1</v>
      </c>
      <c r="AA770" s="2">
        <v>0.5</v>
      </c>
      <c r="AB770" s="2">
        <v>1</v>
      </c>
      <c r="AC770" s="2">
        <v>2</v>
      </c>
      <c r="AD770" s="2">
        <v>55</v>
      </c>
      <c r="AE770" s="2">
        <v>3840</v>
      </c>
      <c r="AF770" s="2">
        <v>70</v>
      </c>
      <c r="AG770" s="2">
        <v>320</v>
      </c>
      <c r="AH770" s="2">
        <v>140</v>
      </c>
      <c r="AI770" s="2">
        <v>80</v>
      </c>
      <c r="AJ770" s="1">
        <v>1000000</v>
      </c>
      <c r="AK770" s="1">
        <v>0.5</v>
      </c>
      <c r="AL770" s="1">
        <v>55</v>
      </c>
      <c r="AM770" s="2">
        <v>50</v>
      </c>
      <c r="AN770" s="2">
        <f t="shared" si="11"/>
        <v>50</v>
      </c>
      <c r="AO770" s="3">
        <v>769</v>
      </c>
      <c r="AP770" s="3">
        <v>70</v>
      </c>
      <c r="AQ770" s="3">
        <v>45</v>
      </c>
      <c r="AR770" s="3">
        <v>15</v>
      </c>
      <c r="AS770" s="1">
        <v>70</v>
      </c>
      <c r="AT770" s="3">
        <v>7</v>
      </c>
      <c r="AU770" s="3" t="s">
        <v>3051</v>
      </c>
    </row>
    <row r="771" spans="1:47" x14ac:dyDescent="0.3">
      <c r="A771" s="1" t="s">
        <v>2159</v>
      </c>
      <c r="B771" s="1" t="s">
        <v>2158</v>
      </c>
      <c r="C771" s="1" t="s">
        <v>293</v>
      </c>
      <c r="D771" s="1" t="s">
        <v>120</v>
      </c>
      <c r="E771" s="1" t="s">
        <v>2157</v>
      </c>
      <c r="F771" t="s">
        <v>3209</v>
      </c>
      <c r="G771" t="s">
        <v>3122</v>
      </c>
      <c r="H771" t="s">
        <v>52</v>
      </c>
      <c r="I771" t="s">
        <v>52</v>
      </c>
      <c r="J771" t="s">
        <v>52</v>
      </c>
      <c r="K771" t="s">
        <v>52</v>
      </c>
      <c r="L771" s="2">
        <v>0.5</v>
      </c>
      <c r="M771" s="2">
        <v>2</v>
      </c>
      <c r="N771" s="2">
        <v>1</v>
      </c>
      <c r="O771" s="2">
        <v>0</v>
      </c>
      <c r="P771" s="2">
        <v>1</v>
      </c>
      <c r="Q771" s="2">
        <v>0</v>
      </c>
      <c r="R771" s="2">
        <v>1</v>
      </c>
      <c r="S771" s="2">
        <v>1</v>
      </c>
      <c r="T771" s="2">
        <v>2</v>
      </c>
      <c r="U771" s="2">
        <v>2</v>
      </c>
      <c r="V771" s="2">
        <v>1</v>
      </c>
      <c r="W771" s="2">
        <v>2</v>
      </c>
      <c r="X771" s="2">
        <v>0</v>
      </c>
      <c r="Y771" s="2">
        <v>0.25</v>
      </c>
      <c r="Z771" s="2">
        <v>1</v>
      </c>
      <c r="AA771" s="2">
        <v>0.5</v>
      </c>
      <c r="AB771" s="2">
        <v>1</v>
      </c>
      <c r="AC771" s="2">
        <v>2</v>
      </c>
      <c r="AD771" s="2">
        <v>75</v>
      </c>
      <c r="AE771" s="2">
        <v>3840</v>
      </c>
      <c r="AF771" s="2">
        <v>70</v>
      </c>
      <c r="AG771" s="2">
        <v>480</v>
      </c>
      <c r="AH771" s="2">
        <v>60</v>
      </c>
      <c r="AI771" s="2">
        <v>110</v>
      </c>
      <c r="AJ771" s="1">
        <v>1000000</v>
      </c>
      <c r="AK771" s="1">
        <v>1.3</v>
      </c>
      <c r="AL771" s="1">
        <v>85</v>
      </c>
      <c r="AM771" s="2">
        <v>50</v>
      </c>
      <c r="AN771" s="2">
        <f t="shared" ref="AN771:AN802" si="12">IF(AM771="","",100-AM771)</f>
        <v>50</v>
      </c>
      <c r="AO771" s="3">
        <v>770</v>
      </c>
      <c r="AP771" s="3">
        <v>100</v>
      </c>
      <c r="AQ771" s="3">
        <v>75</v>
      </c>
      <c r="AR771" s="3">
        <v>35</v>
      </c>
      <c r="AS771" s="1">
        <v>250</v>
      </c>
      <c r="AT771" s="3">
        <v>7</v>
      </c>
      <c r="AU771" s="3" t="s">
        <v>3051</v>
      </c>
    </row>
    <row r="772" spans="1:47" x14ac:dyDescent="0.3">
      <c r="A772" s="1" t="s">
        <v>2162</v>
      </c>
      <c r="B772" s="1" t="s">
        <v>2161</v>
      </c>
      <c r="C772" s="1" t="s">
        <v>62</v>
      </c>
      <c r="D772" s="1" t="s">
        <v>52</v>
      </c>
      <c r="E772" s="1" t="s">
        <v>2160</v>
      </c>
      <c r="F772" t="s">
        <v>3210</v>
      </c>
      <c r="G772" t="s">
        <v>3106</v>
      </c>
      <c r="H772" t="s">
        <v>52</v>
      </c>
      <c r="I772" t="s">
        <v>52</v>
      </c>
      <c r="J772" t="s">
        <v>52</v>
      </c>
      <c r="K772" t="s">
        <v>52</v>
      </c>
      <c r="L772" s="2">
        <v>1</v>
      </c>
      <c r="M772" s="2">
        <v>1</v>
      </c>
      <c r="N772" s="2">
        <v>1</v>
      </c>
      <c r="O772" s="2">
        <v>2</v>
      </c>
      <c r="P772" s="2">
        <v>1</v>
      </c>
      <c r="Q772" s="2">
        <v>1</v>
      </c>
      <c r="R772" s="2">
        <v>0.5</v>
      </c>
      <c r="S772" s="2">
        <v>1</v>
      </c>
      <c r="T772" s="2">
        <v>1</v>
      </c>
      <c r="U772" s="2">
        <v>2</v>
      </c>
      <c r="V772" s="2">
        <v>1</v>
      </c>
      <c r="W772" s="2">
        <v>0.5</v>
      </c>
      <c r="X772" s="2">
        <v>1</v>
      </c>
      <c r="Y772" s="2">
        <v>1</v>
      </c>
      <c r="Z772" s="2">
        <v>1</v>
      </c>
      <c r="AA772" s="2">
        <v>1</v>
      </c>
      <c r="AB772" s="2">
        <v>0.5</v>
      </c>
      <c r="AC772" s="2">
        <v>0.5</v>
      </c>
      <c r="AD772" s="2">
        <v>60</v>
      </c>
      <c r="AE772" s="2">
        <v>3840</v>
      </c>
      <c r="AF772" s="2">
        <v>70</v>
      </c>
      <c r="AG772" s="2">
        <v>410</v>
      </c>
      <c r="AH772" s="2">
        <v>60</v>
      </c>
      <c r="AI772" s="2">
        <v>130</v>
      </c>
      <c r="AJ772" s="1">
        <v>800000</v>
      </c>
      <c r="AK772" s="1">
        <v>0.3</v>
      </c>
      <c r="AL772" s="1">
        <v>55</v>
      </c>
      <c r="AM772" s="2">
        <v>50</v>
      </c>
      <c r="AN772" s="2">
        <f t="shared" si="12"/>
        <v>50</v>
      </c>
      <c r="AO772" s="3">
        <v>771</v>
      </c>
      <c r="AP772" s="3">
        <v>30</v>
      </c>
      <c r="AQ772" s="3">
        <v>130</v>
      </c>
      <c r="AR772" s="3">
        <v>5</v>
      </c>
      <c r="AS772" s="1">
        <v>1.2</v>
      </c>
      <c r="AT772" s="3">
        <v>7</v>
      </c>
      <c r="AU772" s="3" t="s">
        <v>3051</v>
      </c>
    </row>
    <row r="773" spans="1:47" x14ac:dyDescent="0.3">
      <c r="A773" s="1" t="s">
        <v>2165</v>
      </c>
      <c r="B773" s="1" t="s">
        <v>2164</v>
      </c>
      <c r="C773" s="1" t="s">
        <v>90</v>
      </c>
      <c r="D773" s="1" t="s">
        <v>52</v>
      </c>
      <c r="E773" s="1" t="s">
        <v>2163</v>
      </c>
      <c r="F773" t="s">
        <v>3099</v>
      </c>
      <c r="G773" t="s">
        <v>52</v>
      </c>
      <c r="H773" t="s">
        <v>52</v>
      </c>
      <c r="I773" t="s">
        <v>52</v>
      </c>
      <c r="J773" t="s">
        <v>52</v>
      </c>
      <c r="K773" t="s">
        <v>52</v>
      </c>
      <c r="L773" s="2">
        <v>1</v>
      </c>
      <c r="M773" s="2">
        <v>1</v>
      </c>
      <c r="N773" s="2">
        <v>1</v>
      </c>
      <c r="O773" s="2">
        <v>1</v>
      </c>
      <c r="P773" s="2">
        <v>1</v>
      </c>
      <c r="Q773" s="2">
        <v>2</v>
      </c>
      <c r="R773" s="2">
        <v>1</v>
      </c>
      <c r="S773" s="2">
        <v>1</v>
      </c>
      <c r="T773" s="2">
        <v>0</v>
      </c>
      <c r="U773" s="2">
        <v>1</v>
      </c>
      <c r="V773" s="2">
        <v>1</v>
      </c>
      <c r="W773" s="2">
        <v>1</v>
      </c>
      <c r="X773" s="2">
        <v>1</v>
      </c>
      <c r="Y773" s="2">
        <v>1</v>
      </c>
      <c r="Z773" s="2">
        <v>1</v>
      </c>
      <c r="AA773" s="2">
        <v>1</v>
      </c>
      <c r="AB773" s="2">
        <v>1</v>
      </c>
      <c r="AC773" s="2">
        <v>1</v>
      </c>
      <c r="AD773" s="2">
        <v>95</v>
      </c>
      <c r="AE773" s="2">
        <v>30720</v>
      </c>
      <c r="AF773" s="2">
        <v>0</v>
      </c>
      <c r="AG773" s="2">
        <v>534</v>
      </c>
      <c r="AH773" s="2">
        <v>3</v>
      </c>
      <c r="AI773" s="2">
        <v>95</v>
      </c>
      <c r="AJ773" s="1">
        <v>1250000</v>
      </c>
      <c r="AK773" s="1">
        <v>1.9</v>
      </c>
      <c r="AL773" s="1">
        <v>95</v>
      </c>
      <c r="AM773" s="2" t="s">
        <v>52</v>
      </c>
      <c r="AN773" s="2" t="str">
        <f t="shared" si="12"/>
        <v/>
      </c>
      <c r="AO773" s="3">
        <v>772</v>
      </c>
      <c r="AP773" s="3">
        <v>95</v>
      </c>
      <c r="AQ773" s="3">
        <v>95</v>
      </c>
      <c r="AR773" s="3">
        <v>59</v>
      </c>
      <c r="AS773" s="1">
        <v>120.5</v>
      </c>
      <c r="AT773" s="3">
        <v>7</v>
      </c>
      <c r="AU773" s="3" t="s">
        <v>3051</v>
      </c>
    </row>
    <row r="774" spans="1:47" x14ac:dyDescent="0.3">
      <c r="A774" s="1" t="s">
        <v>2167</v>
      </c>
      <c r="B774" s="1" t="s">
        <v>2166</v>
      </c>
      <c r="C774" s="1" t="s">
        <v>90</v>
      </c>
      <c r="D774" s="1" t="s">
        <v>52</v>
      </c>
      <c r="E774" s="1" t="s">
        <v>2163</v>
      </c>
      <c r="F774" t="s">
        <v>3100</v>
      </c>
      <c r="G774" t="s">
        <v>52</v>
      </c>
      <c r="H774" t="s">
        <v>52</v>
      </c>
      <c r="I774" t="s">
        <v>52</v>
      </c>
      <c r="J774" t="s">
        <v>52</v>
      </c>
      <c r="K774" t="s">
        <v>52</v>
      </c>
      <c r="L774" s="2">
        <v>1</v>
      </c>
      <c r="M774" s="2">
        <v>1</v>
      </c>
      <c r="N774" s="2">
        <v>1</v>
      </c>
      <c r="O774" s="2">
        <v>1</v>
      </c>
      <c r="P774" s="2">
        <v>1</v>
      </c>
      <c r="Q774" s="2">
        <v>2</v>
      </c>
      <c r="R774" s="2">
        <v>1</v>
      </c>
      <c r="S774" s="2">
        <v>1</v>
      </c>
      <c r="T774" s="2">
        <v>0</v>
      </c>
      <c r="U774" s="2">
        <v>1</v>
      </c>
      <c r="V774" s="2">
        <v>1</v>
      </c>
      <c r="W774" s="2">
        <v>1</v>
      </c>
      <c r="X774" s="2">
        <v>1</v>
      </c>
      <c r="Y774" s="2">
        <v>1</v>
      </c>
      <c r="Z774" s="2">
        <v>1</v>
      </c>
      <c r="AA774" s="2">
        <v>1</v>
      </c>
      <c r="AB774" s="2">
        <v>1</v>
      </c>
      <c r="AC774" s="2">
        <v>1</v>
      </c>
      <c r="AD774" s="2">
        <v>95</v>
      </c>
      <c r="AE774" s="2">
        <v>30720</v>
      </c>
      <c r="AF774" s="2">
        <v>0</v>
      </c>
      <c r="AG774" s="2">
        <v>570</v>
      </c>
      <c r="AH774" s="2">
        <v>3</v>
      </c>
      <c r="AI774" s="2">
        <v>95</v>
      </c>
      <c r="AJ774" s="1">
        <v>1250000</v>
      </c>
      <c r="AK774" s="1">
        <v>2.2999999999999998</v>
      </c>
      <c r="AL774" s="1">
        <v>95</v>
      </c>
      <c r="AM774" s="2" t="s">
        <v>52</v>
      </c>
      <c r="AN774" s="2" t="str">
        <f t="shared" si="12"/>
        <v/>
      </c>
      <c r="AO774" s="3">
        <v>773</v>
      </c>
      <c r="AP774" s="3">
        <v>95</v>
      </c>
      <c r="AQ774" s="3">
        <v>95</v>
      </c>
      <c r="AR774" s="3">
        <v>95</v>
      </c>
      <c r="AS774" s="1">
        <v>100.5</v>
      </c>
      <c r="AT774" s="3">
        <v>7</v>
      </c>
      <c r="AU774" s="3" t="s">
        <v>3051</v>
      </c>
    </row>
    <row r="775" spans="1:47" x14ac:dyDescent="0.3">
      <c r="A775" s="1" t="s">
        <v>2170</v>
      </c>
      <c r="B775" s="1" t="s">
        <v>2169</v>
      </c>
      <c r="C775" s="1" t="s">
        <v>243</v>
      </c>
      <c r="D775" s="1" t="s">
        <v>58</v>
      </c>
      <c r="E775" s="1" t="s">
        <v>2168</v>
      </c>
      <c r="F775" t="s">
        <v>3101</v>
      </c>
      <c r="G775" t="s">
        <v>52</v>
      </c>
      <c r="H775" t="s">
        <v>52</v>
      </c>
      <c r="I775" t="s">
        <v>52</v>
      </c>
      <c r="J775" t="s">
        <v>52</v>
      </c>
      <c r="K775" t="s">
        <v>52</v>
      </c>
      <c r="L775" s="2">
        <v>0.5</v>
      </c>
      <c r="M775" s="2">
        <v>1</v>
      </c>
      <c r="N775" s="2">
        <v>1</v>
      </c>
      <c r="O775" s="2">
        <v>2</v>
      </c>
      <c r="P775" s="2">
        <v>1</v>
      </c>
      <c r="Q775" s="2">
        <v>1</v>
      </c>
      <c r="R775" s="2">
        <v>0.5</v>
      </c>
      <c r="S775" s="2">
        <v>0.5</v>
      </c>
      <c r="T775" s="2">
        <v>1</v>
      </c>
      <c r="U775" s="2">
        <v>1</v>
      </c>
      <c r="V775" s="2">
        <v>0</v>
      </c>
      <c r="W775" s="2">
        <v>2</v>
      </c>
      <c r="X775" s="2">
        <v>0.5</v>
      </c>
      <c r="Y775" s="2">
        <v>0.5</v>
      </c>
      <c r="Z775" s="2">
        <v>1</v>
      </c>
      <c r="AA775" s="2">
        <v>2</v>
      </c>
      <c r="AB775" s="2">
        <v>2</v>
      </c>
      <c r="AC775" s="2">
        <v>2</v>
      </c>
      <c r="AD775" s="2">
        <v>100</v>
      </c>
      <c r="AE775" s="2">
        <v>6400</v>
      </c>
      <c r="AF775" s="2">
        <v>70</v>
      </c>
      <c r="AG775" s="2">
        <v>500</v>
      </c>
      <c r="AH775" s="2"/>
      <c r="AI775" s="2">
        <v>60</v>
      </c>
      <c r="AJ775" s="1">
        <v>1059860</v>
      </c>
      <c r="AK775" s="1">
        <v>0.3</v>
      </c>
      <c r="AL775" s="1">
        <v>60</v>
      </c>
      <c r="AM775" s="2" t="s">
        <v>52</v>
      </c>
      <c r="AN775" s="2" t="str">
        <f t="shared" si="12"/>
        <v/>
      </c>
      <c r="AO775" s="3">
        <v>774</v>
      </c>
      <c r="AP775" s="3">
        <v>100</v>
      </c>
      <c r="AQ775" s="3">
        <v>60</v>
      </c>
      <c r="AR775" s="3">
        <v>120</v>
      </c>
      <c r="AS775" s="1">
        <v>40</v>
      </c>
      <c r="AT775" s="3">
        <v>7</v>
      </c>
      <c r="AU775" s="3" t="s">
        <v>3051</v>
      </c>
    </row>
    <row r="776" spans="1:47" x14ac:dyDescent="0.3">
      <c r="A776" s="1" t="s">
        <v>2172</v>
      </c>
      <c r="B776" s="1" t="s">
        <v>2171</v>
      </c>
      <c r="C776" s="1" t="s">
        <v>90</v>
      </c>
      <c r="D776" s="1" t="s">
        <v>52</v>
      </c>
      <c r="E776" s="1" t="s">
        <v>1466</v>
      </c>
      <c r="F776" t="s">
        <v>3102</v>
      </c>
      <c r="G776" t="s">
        <v>52</v>
      </c>
      <c r="H776" t="s">
        <v>52</v>
      </c>
      <c r="I776" t="s">
        <v>52</v>
      </c>
      <c r="J776" t="s">
        <v>52</v>
      </c>
      <c r="K776" t="s">
        <v>52</v>
      </c>
      <c r="L776" s="2">
        <v>1</v>
      </c>
      <c r="M776" s="2">
        <v>1</v>
      </c>
      <c r="N776" s="2">
        <v>1</v>
      </c>
      <c r="O776" s="2">
        <v>1</v>
      </c>
      <c r="P776" s="2">
        <v>1</v>
      </c>
      <c r="Q776" s="2">
        <v>2</v>
      </c>
      <c r="R776" s="2">
        <v>1</v>
      </c>
      <c r="S776" s="2">
        <v>1</v>
      </c>
      <c r="T776" s="2">
        <v>0</v>
      </c>
      <c r="U776" s="2">
        <v>1</v>
      </c>
      <c r="V776" s="2">
        <v>1</v>
      </c>
      <c r="W776" s="2">
        <v>1</v>
      </c>
      <c r="X776" s="2">
        <v>1</v>
      </c>
      <c r="Y776" s="2">
        <v>1</v>
      </c>
      <c r="Z776" s="2">
        <v>1</v>
      </c>
      <c r="AA776" s="2">
        <v>1</v>
      </c>
      <c r="AB776" s="2">
        <v>1</v>
      </c>
      <c r="AC776" s="2">
        <v>1</v>
      </c>
      <c r="AD776" s="2">
        <v>115</v>
      </c>
      <c r="AE776" s="2">
        <v>5120</v>
      </c>
      <c r="AF776" s="2">
        <v>70</v>
      </c>
      <c r="AG776" s="2">
        <v>480</v>
      </c>
      <c r="AH776" s="2">
        <v>45</v>
      </c>
      <c r="AI776" s="2">
        <v>65</v>
      </c>
      <c r="AJ776" s="1">
        <v>1250000</v>
      </c>
      <c r="AK776" s="1">
        <v>0.4</v>
      </c>
      <c r="AL776" s="1">
        <v>65</v>
      </c>
      <c r="AM776" s="2">
        <v>50</v>
      </c>
      <c r="AN776" s="2">
        <f t="shared" si="12"/>
        <v>50</v>
      </c>
      <c r="AO776" s="3">
        <v>775</v>
      </c>
      <c r="AP776" s="3">
        <v>75</v>
      </c>
      <c r="AQ776" s="3">
        <v>95</v>
      </c>
      <c r="AR776" s="3">
        <v>65</v>
      </c>
      <c r="AS776" s="1">
        <v>19.899999999999999</v>
      </c>
      <c r="AT776" s="3">
        <v>7</v>
      </c>
      <c r="AU776" s="3" t="s">
        <v>3051</v>
      </c>
    </row>
    <row r="777" spans="1:47" x14ac:dyDescent="0.3">
      <c r="A777" s="1" t="s">
        <v>2175</v>
      </c>
      <c r="B777" s="1" t="s">
        <v>2174</v>
      </c>
      <c r="C777" s="1" t="s">
        <v>51</v>
      </c>
      <c r="D777" s="1" t="s">
        <v>443</v>
      </c>
      <c r="E777" s="1" t="s">
        <v>2173</v>
      </c>
      <c r="F777" t="s">
        <v>3103</v>
      </c>
      <c r="G777" t="s">
        <v>52</v>
      </c>
      <c r="H777" t="s">
        <v>52</v>
      </c>
      <c r="I777" t="s">
        <v>52</v>
      </c>
      <c r="J777" t="s">
        <v>52</v>
      </c>
      <c r="K777" t="s">
        <v>52</v>
      </c>
      <c r="L777" s="2">
        <v>0.5</v>
      </c>
      <c r="M777" s="2">
        <v>1</v>
      </c>
      <c r="N777" s="2">
        <v>2</v>
      </c>
      <c r="O777" s="2">
        <v>0.5</v>
      </c>
      <c r="P777" s="2">
        <v>1</v>
      </c>
      <c r="Q777" s="2">
        <v>1</v>
      </c>
      <c r="R777" s="2">
        <v>0.25</v>
      </c>
      <c r="S777" s="2">
        <v>1</v>
      </c>
      <c r="T777" s="2">
        <v>1</v>
      </c>
      <c r="U777" s="2">
        <v>0.25</v>
      </c>
      <c r="V777" s="2">
        <v>2</v>
      </c>
      <c r="W777" s="2">
        <v>1</v>
      </c>
      <c r="X777" s="2">
        <v>1</v>
      </c>
      <c r="Y777" s="2">
        <v>1</v>
      </c>
      <c r="Z777" s="2">
        <v>1</v>
      </c>
      <c r="AA777" s="2">
        <v>2</v>
      </c>
      <c r="AB777" s="2">
        <v>0.5</v>
      </c>
      <c r="AC777" s="2">
        <v>1</v>
      </c>
      <c r="AD777" s="2">
        <v>78</v>
      </c>
      <c r="AE777" s="2">
        <v>5120</v>
      </c>
      <c r="AF777" s="2">
        <v>70</v>
      </c>
      <c r="AG777" s="2">
        <v>485</v>
      </c>
      <c r="AH777" s="2">
        <v>70</v>
      </c>
      <c r="AI777" s="2">
        <v>135</v>
      </c>
      <c r="AJ777" s="1">
        <v>1000000</v>
      </c>
      <c r="AK777" s="1">
        <v>2</v>
      </c>
      <c r="AL777" s="1">
        <v>60</v>
      </c>
      <c r="AM777" s="2">
        <v>50</v>
      </c>
      <c r="AN777" s="2">
        <f t="shared" si="12"/>
        <v>50</v>
      </c>
      <c r="AO777" s="3">
        <v>776</v>
      </c>
      <c r="AP777" s="3">
        <v>91</v>
      </c>
      <c r="AQ777" s="3">
        <v>85</v>
      </c>
      <c r="AR777" s="3">
        <v>36</v>
      </c>
      <c r="AS777" s="1">
        <v>212</v>
      </c>
      <c r="AT777" s="3">
        <v>7</v>
      </c>
      <c r="AU777" s="3" t="s">
        <v>3051</v>
      </c>
    </row>
    <row r="778" spans="1:47" x14ac:dyDescent="0.3">
      <c r="A778" s="1" t="s">
        <v>2178</v>
      </c>
      <c r="B778" s="1" t="s">
        <v>2177</v>
      </c>
      <c r="C778" s="1" t="s">
        <v>115</v>
      </c>
      <c r="D778" s="1" t="s">
        <v>263</v>
      </c>
      <c r="E778" s="1" t="s">
        <v>2176</v>
      </c>
      <c r="F778" t="s">
        <v>3078</v>
      </c>
      <c r="G778" t="s">
        <v>3141</v>
      </c>
      <c r="H778" t="s">
        <v>3107</v>
      </c>
      <c r="I778" t="s">
        <v>52</v>
      </c>
      <c r="J778" t="s">
        <v>52</v>
      </c>
      <c r="K778" t="s">
        <v>52</v>
      </c>
      <c r="L778" s="2">
        <v>0.5</v>
      </c>
      <c r="M778" s="2">
        <v>1</v>
      </c>
      <c r="N778" s="2">
        <v>0.5</v>
      </c>
      <c r="O778" s="2">
        <v>0.5</v>
      </c>
      <c r="P778" s="2">
        <v>0.5</v>
      </c>
      <c r="Q778" s="2">
        <v>2</v>
      </c>
      <c r="R778" s="2">
        <v>2</v>
      </c>
      <c r="S778" s="2">
        <v>0.25</v>
      </c>
      <c r="T778" s="2">
        <v>1</v>
      </c>
      <c r="U778" s="2">
        <v>0.5</v>
      </c>
      <c r="V778" s="2">
        <v>4</v>
      </c>
      <c r="W778" s="2">
        <v>0.5</v>
      </c>
      <c r="X778" s="2">
        <v>0.5</v>
      </c>
      <c r="Y778" s="2">
        <v>0</v>
      </c>
      <c r="Z778" s="2">
        <v>0.5</v>
      </c>
      <c r="AA778" s="2">
        <v>0.5</v>
      </c>
      <c r="AB778" s="2">
        <v>0.25</v>
      </c>
      <c r="AC778" s="2">
        <v>1</v>
      </c>
      <c r="AD778" s="2">
        <v>98</v>
      </c>
      <c r="AE778" s="2">
        <v>2560</v>
      </c>
      <c r="AF778" s="2">
        <v>70</v>
      </c>
      <c r="AG778" s="2">
        <v>435</v>
      </c>
      <c r="AH778" s="2">
        <v>180</v>
      </c>
      <c r="AI778" s="2">
        <v>63</v>
      </c>
      <c r="AJ778" s="1">
        <v>1000000</v>
      </c>
      <c r="AK778" s="1">
        <v>0.3</v>
      </c>
      <c r="AL778" s="1">
        <v>65</v>
      </c>
      <c r="AM778" s="2">
        <v>50</v>
      </c>
      <c r="AN778" s="2">
        <f t="shared" si="12"/>
        <v>50</v>
      </c>
      <c r="AO778" s="3">
        <v>777</v>
      </c>
      <c r="AP778" s="3">
        <v>40</v>
      </c>
      <c r="AQ778" s="3">
        <v>73</v>
      </c>
      <c r="AR778" s="3">
        <v>96</v>
      </c>
      <c r="AS778" s="1">
        <v>3.3</v>
      </c>
      <c r="AT778" s="3">
        <v>7</v>
      </c>
      <c r="AU778" s="3" t="s">
        <v>3051</v>
      </c>
    </row>
    <row r="779" spans="1:47" x14ac:dyDescent="0.3">
      <c r="A779" s="1" t="s">
        <v>2181</v>
      </c>
      <c r="B779" s="1" t="s">
        <v>2180</v>
      </c>
      <c r="C779" s="1" t="s">
        <v>293</v>
      </c>
      <c r="D779" s="1" t="s">
        <v>141</v>
      </c>
      <c r="E779" s="1" t="s">
        <v>2179</v>
      </c>
      <c r="F779" t="s">
        <v>3104</v>
      </c>
      <c r="G779" t="s">
        <v>52</v>
      </c>
      <c r="H779" t="s">
        <v>52</v>
      </c>
      <c r="I779" t="s">
        <v>52</v>
      </c>
      <c r="J779" t="s">
        <v>52</v>
      </c>
      <c r="K779" t="s">
        <v>52</v>
      </c>
      <c r="L779" s="2">
        <v>0.25</v>
      </c>
      <c r="M779" s="2">
        <v>1</v>
      </c>
      <c r="N779" s="2">
        <v>0</v>
      </c>
      <c r="O779" s="2">
        <v>1</v>
      </c>
      <c r="P779" s="2">
        <v>1</v>
      </c>
      <c r="Q779" s="2">
        <v>0</v>
      </c>
      <c r="R779" s="2">
        <v>1</v>
      </c>
      <c r="S779" s="2">
        <v>1</v>
      </c>
      <c r="T779" s="2">
        <v>2</v>
      </c>
      <c r="U779" s="2">
        <v>1</v>
      </c>
      <c r="V779" s="2">
        <v>1</v>
      </c>
      <c r="W779" s="2">
        <v>1</v>
      </c>
      <c r="X779" s="2">
        <v>0</v>
      </c>
      <c r="Y779" s="2">
        <v>1</v>
      </c>
      <c r="Z779" s="2">
        <v>1</v>
      </c>
      <c r="AA779" s="2">
        <v>1</v>
      </c>
      <c r="AB779" s="2">
        <v>2</v>
      </c>
      <c r="AC779" s="2">
        <v>1</v>
      </c>
      <c r="AD779" s="2">
        <v>90</v>
      </c>
      <c r="AE779" s="2">
        <v>5120</v>
      </c>
      <c r="AF779" s="2">
        <v>70</v>
      </c>
      <c r="AG779" s="2">
        <v>476</v>
      </c>
      <c r="AH779" s="2">
        <v>45</v>
      </c>
      <c r="AI779" s="2">
        <v>80</v>
      </c>
      <c r="AJ779" s="1">
        <v>1000000</v>
      </c>
      <c r="AK779" s="1">
        <v>0.2</v>
      </c>
      <c r="AL779" s="1">
        <v>55</v>
      </c>
      <c r="AM779" s="2">
        <v>50</v>
      </c>
      <c r="AN779" s="2">
        <f t="shared" si="12"/>
        <v>50</v>
      </c>
      <c r="AO779" s="3">
        <v>778</v>
      </c>
      <c r="AP779" s="3">
        <v>50</v>
      </c>
      <c r="AQ779" s="3">
        <v>105</v>
      </c>
      <c r="AR779" s="3">
        <v>96</v>
      </c>
      <c r="AS779" s="1">
        <v>0.7</v>
      </c>
      <c r="AT779" s="3">
        <v>7</v>
      </c>
      <c r="AU779" s="3" t="s">
        <v>3051</v>
      </c>
    </row>
    <row r="780" spans="1:47" x14ac:dyDescent="0.3">
      <c r="A780" s="1" t="s">
        <v>2184</v>
      </c>
      <c r="B780" s="1" t="s">
        <v>2183</v>
      </c>
      <c r="C780" s="1" t="s">
        <v>62</v>
      </c>
      <c r="D780" s="1" t="s">
        <v>216</v>
      </c>
      <c r="E780" s="1" t="s">
        <v>2182</v>
      </c>
      <c r="F780" t="s">
        <v>3211</v>
      </c>
      <c r="G780" t="s">
        <v>3199</v>
      </c>
      <c r="H780" t="s">
        <v>3235</v>
      </c>
      <c r="I780" t="s">
        <v>52</v>
      </c>
      <c r="J780" t="s">
        <v>52</v>
      </c>
      <c r="K780" t="s">
        <v>52</v>
      </c>
      <c r="L780" s="2">
        <v>2</v>
      </c>
      <c r="M780" s="2">
        <v>2</v>
      </c>
      <c r="N780" s="2">
        <v>1</v>
      </c>
      <c r="O780" s="2">
        <v>2</v>
      </c>
      <c r="P780" s="2">
        <v>1</v>
      </c>
      <c r="Q780" s="2">
        <v>0.5</v>
      </c>
      <c r="R780" s="2">
        <v>0.5</v>
      </c>
      <c r="S780" s="2">
        <v>1</v>
      </c>
      <c r="T780" s="2">
        <v>2</v>
      </c>
      <c r="U780" s="2">
        <v>2</v>
      </c>
      <c r="V780" s="2">
        <v>1</v>
      </c>
      <c r="W780" s="2">
        <v>0.5</v>
      </c>
      <c r="X780" s="2">
        <v>1</v>
      </c>
      <c r="Y780" s="2">
        <v>1</v>
      </c>
      <c r="Z780" s="2">
        <v>0.5</v>
      </c>
      <c r="AA780" s="2">
        <v>1</v>
      </c>
      <c r="AB780" s="2">
        <v>0.5</v>
      </c>
      <c r="AC780" s="2">
        <v>0.5</v>
      </c>
      <c r="AD780" s="2">
        <v>105</v>
      </c>
      <c r="AE780" s="2">
        <v>3840</v>
      </c>
      <c r="AF780" s="2">
        <v>70</v>
      </c>
      <c r="AG780" s="2">
        <v>475</v>
      </c>
      <c r="AH780" s="2">
        <v>80</v>
      </c>
      <c r="AI780" s="2">
        <v>70</v>
      </c>
      <c r="AJ780" s="1">
        <v>1000000</v>
      </c>
      <c r="AK780" s="1">
        <v>0.9</v>
      </c>
      <c r="AL780" s="1">
        <v>68</v>
      </c>
      <c r="AM780" s="2">
        <v>50</v>
      </c>
      <c r="AN780" s="2">
        <f t="shared" si="12"/>
        <v>50</v>
      </c>
      <c r="AO780" s="3">
        <v>779</v>
      </c>
      <c r="AP780" s="3">
        <v>70</v>
      </c>
      <c r="AQ780" s="3">
        <v>70</v>
      </c>
      <c r="AR780" s="3">
        <v>92</v>
      </c>
      <c r="AS780" s="1">
        <v>19</v>
      </c>
      <c r="AT780" s="3">
        <v>7</v>
      </c>
      <c r="AU780" s="3" t="s">
        <v>3051</v>
      </c>
    </row>
    <row r="781" spans="1:47" x14ac:dyDescent="0.3">
      <c r="A781" s="1" t="s">
        <v>2187</v>
      </c>
      <c r="B781" s="1" t="s">
        <v>2186</v>
      </c>
      <c r="C781" s="1" t="s">
        <v>90</v>
      </c>
      <c r="D781" s="1" t="s">
        <v>443</v>
      </c>
      <c r="E781" s="1" t="s">
        <v>2185</v>
      </c>
      <c r="F781" t="s">
        <v>3212</v>
      </c>
      <c r="G781" t="s">
        <v>3194</v>
      </c>
      <c r="H781" t="s">
        <v>3239</v>
      </c>
      <c r="I781" t="s">
        <v>52</v>
      </c>
      <c r="J781" t="s">
        <v>52</v>
      </c>
      <c r="K781" t="s">
        <v>52</v>
      </c>
      <c r="L781" s="2">
        <v>1</v>
      </c>
      <c r="M781" s="2">
        <v>1</v>
      </c>
      <c r="N781" s="2">
        <v>2</v>
      </c>
      <c r="O781" s="2">
        <v>0.5</v>
      </c>
      <c r="P781" s="2">
        <v>2</v>
      </c>
      <c r="Q781" s="2">
        <v>2</v>
      </c>
      <c r="R781" s="2">
        <v>0.5</v>
      </c>
      <c r="S781" s="2">
        <v>1</v>
      </c>
      <c r="T781" s="2">
        <v>0</v>
      </c>
      <c r="U781" s="2">
        <v>0.5</v>
      </c>
      <c r="V781" s="2">
        <v>1</v>
      </c>
      <c r="W781" s="2">
        <v>2</v>
      </c>
      <c r="X781" s="2">
        <v>1</v>
      </c>
      <c r="Y781" s="2">
        <v>1</v>
      </c>
      <c r="Z781" s="2">
        <v>1</v>
      </c>
      <c r="AA781" s="2">
        <v>1</v>
      </c>
      <c r="AB781" s="2">
        <v>1</v>
      </c>
      <c r="AC781" s="2">
        <v>0.5</v>
      </c>
      <c r="AD781" s="2">
        <v>60</v>
      </c>
      <c r="AE781" s="2">
        <v>5120</v>
      </c>
      <c r="AF781" s="2">
        <v>70</v>
      </c>
      <c r="AG781" s="2">
        <v>485</v>
      </c>
      <c r="AH781" s="2">
        <v>70</v>
      </c>
      <c r="AI781" s="2">
        <v>85</v>
      </c>
      <c r="AJ781" s="1">
        <v>1000000</v>
      </c>
      <c r="AK781" s="1">
        <v>3</v>
      </c>
      <c r="AL781" s="1">
        <v>78</v>
      </c>
      <c r="AM781" s="2">
        <v>50</v>
      </c>
      <c r="AN781" s="2">
        <f t="shared" si="12"/>
        <v>50</v>
      </c>
      <c r="AO781" s="3">
        <v>780</v>
      </c>
      <c r="AP781" s="3">
        <v>135</v>
      </c>
      <c r="AQ781" s="3">
        <v>91</v>
      </c>
      <c r="AR781" s="3">
        <v>36</v>
      </c>
      <c r="AS781" s="1">
        <v>185</v>
      </c>
      <c r="AT781" s="3">
        <v>7</v>
      </c>
      <c r="AU781" s="3" t="s">
        <v>3051</v>
      </c>
    </row>
    <row r="782" spans="1:47" x14ac:dyDescent="0.3">
      <c r="A782" s="1" t="s">
        <v>2190</v>
      </c>
      <c r="B782" s="1" t="s">
        <v>2189</v>
      </c>
      <c r="C782" s="1" t="s">
        <v>293</v>
      </c>
      <c r="D782" s="1" t="s">
        <v>42</v>
      </c>
      <c r="E782" s="1" t="s">
        <v>2188</v>
      </c>
      <c r="F782" t="s">
        <v>3105</v>
      </c>
      <c r="G782" t="s">
        <v>52</v>
      </c>
      <c r="H782" t="s">
        <v>52</v>
      </c>
      <c r="I782" t="s">
        <v>52</v>
      </c>
      <c r="J782" t="s">
        <v>52</v>
      </c>
      <c r="K782" t="s">
        <v>52</v>
      </c>
      <c r="L782" s="2">
        <v>1</v>
      </c>
      <c r="M782" s="2">
        <v>2</v>
      </c>
      <c r="N782" s="2">
        <v>1</v>
      </c>
      <c r="O782" s="2">
        <v>0.5</v>
      </c>
      <c r="P782" s="2">
        <v>1</v>
      </c>
      <c r="Q782" s="2">
        <v>0</v>
      </c>
      <c r="R782" s="2">
        <v>2</v>
      </c>
      <c r="S782" s="2">
        <v>2</v>
      </c>
      <c r="T782" s="2">
        <v>2</v>
      </c>
      <c r="U782" s="2">
        <v>0.5</v>
      </c>
      <c r="V782" s="2">
        <v>0.5</v>
      </c>
      <c r="W782" s="2">
        <v>2</v>
      </c>
      <c r="X782" s="2">
        <v>0</v>
      </c>
      <c r="Y782" s="2">
        <v>1</v>
      </c>
      <c r="Z782" s="2">
        <v>1</v>
      </c>
      <c r="AA782" s="2">
        <v>1</v>
      </c>
      <c r="AB782" s="2">
        <v>1</v>
      </c>
      <c r="AC782" s="2">
        <v>0.5</v>
      </c>
      <c r="AD782" s="2">
        <v>131</v>
      </c>
      <c r="AE782" s="2">
        <v>6400</v>
      </c>
      <c r="AF782" s="2">
        <v>70</v>
      </c>
      <c r="AG782" s="2">
        <v>517</v>
      </c>
      <c r="AH782" s="2">
        <v>25</v>
      </c>
      <c r="AI782" s="2">
        <v>100</v>
      </c>
      <c r="AJ782" s="1">
        <v>1000000</v>
      </c>
      <c r="AK782" s="1">
        <v>3.9</v>
      </c>
      <c r="AL782" s="1">
        <v>70</v>
      </c>
      <c r="AM782" s="2" t="s">
        <v>52</v>
      </c>
      <c r="AN782" s="2" t="str">
        <f t="shared" si="12"/>
        <v/>
      </c>
      <c r="AO782" s="3">
        <v>781</v>
      </c>
      <c r="AP782" s="3">
        <v>86</v>
      </c>
      <c r="AQ782" s="3">
        <v>90</v>
      </c>
      <c r="AR782" s="3">
        <v>40</v>
      </c>
      <c r="AS782" s="1">
        <v>210</v>
      </c>
      <c r="AT782" s="3">
        <v>7</v>
      </c>
      <c r="AU782" s="3" t="s">
        <v>3051</v>
      </c>
    </row>
    <row r="783" spans="1:47" x14ac:dyDescent="0.3">
      <c r="A783" s="1" t="s">
        <v>2193</v>
      </c>
      <c r="B783" s="1" t="s">
        <v>2192</v>
      </c>
      <c r="C783" s="1" t="s">
        <v>443</v>
      </c>
      <c r="D783" s="1" t="s">
        <v>52</v>
      </c>
      <c r="E783" s="1" t="s">
        <v>2191</v>
      </c>
      <c r="F783" t="s">
        <v>3213</v>
      </c>
      <c r="G783" t="s">
        <v>3139</v>
      </c>
      <c r="H783" t="s">
        <v>3187</v>
      </c>
      <c r="I783" t="s">
        <v>52</v>
      </c>
      <c r="J783" t="s">
        <v>52</v>
      </c>
      <c r="K783" t="s">
        <v>52</v>
      </c>
      <c r="L783" s="2">
        <v>1</v>
      </c>
      <c r="M783" s="2">
        <v>1</v>
      </c>
      <c r="N783" s="2">
        <v>2</v>
      </c>
      <c r="O783" s="2">
        <v>0.5</v>
      </c>
      <c r="P783" s="2">
        <v>2</v>
      </c>
      <c r="Q783" s="2">
        <v>1</v>
      </c>
      <c r="R783" s="2">
        <v>0.5</v>
      </c>
      <c r="S783" s="2">
        <v>1</v>
      </c>
      <c r="T783" s="2">
        <v>1</v>
      </c>
      <c r="U783" s="2">
        <v>0.5</v>
      </c>
      <c r="V783" s="2">
        <v>1</v>
      </c>
      <c r="W783" s="2">
        <v>2</v>
      </c>
      <c r="X783" s="2">
        <v>1</v>
      </c>
      <c r="Y783" s="2">
        <v>1</v>
      </c>
      <c r="Z783" s="2">
        <v>1</v>
      </c>
      <c r="AA783" s="2">
        <v>1</v>
      </c>
      <c r="AB783" s="2">
        <v>1</v>
      </c>
      <c r="AC783" s="2">
        <v>0.5</v>
      </c>
      <c r="AD783" s="2">
        <v>55</v>
      </c>
      <c r="AE783" s="2">
        <v>10240</v>
      </c>
      <c r="AF783" s="2">
        <v>70</v>
      </c>
      <c r="AG783" s="2">
        <v>300</v>
      </c>
      <c r="AH783" s="2">
        <v>45</v>
      </c>
      <c r="AI783" s="2">
        <v>65</v>
      </c>
      <c r="AJ783" s="1">
        <v>1250000</v>
      </c>
      <c r="AK783" s="1">
        <v>0.6</v>
      </c>
      <c r="AL783" s="1">
        <v>45</v>
      </c>
      <c r="AM783" s="2">
        <v>50</v>
      </c>
      <c r="AN783" s="2">
        <f t="shared" si="12"/>
        <v>50</v>
      </c>
      <c r="AO783" s="3">
        <v>782</v>
      </c>
      <c r="AP783" s="3">
        <v>45</v>
      </c>
      <c r="AQ783" s="3">
        <v>45</v>
      </c>
      <c r="AR783" s="3">
        <v>45</v>
      </c>
      <c r="AS783" s="1">
        <v>29.7</v>
      </c>
      <c r="AT783" s="3">
        <v>7</v>
      </c>
      <c r="AU783" s="3" t="s">
        <v>3051</v>
      </c>
    </row>
    <row r="784" spans="1:47" x14ac:dyDescent="0.3">
      <c r="A784" s="1" t="s">
        <v>2195</v>
      </c>
      <c r="B784" s="1" t="s">
        <v>2194</v>
      </c>
      <c r="C784" s="1" t="s">
        <v>443</v>
      </c>
      <c r="D784" s="1" t="s">
        <v>197</v>
      </c>
      <c r="E784" s="1" t="s">
        <v>2191</v>
      </c>
      <c r="F784" t="s">
        <v>3213</v>
      </c>
      <c r="G784" t="s">
        <v>3139</v>
      </c>
      <c r="H784" t="s">
        <v>3187</v>
      </c>
      <c r="I784" t="s">
        <v>52</v>
      </c>
      <c r="J784" t="s">
        <v>52</v>
      </c>
      <c r="K784" t="s">
        <v>52</v>
      </c>
      <c r="L784" s="2">
        <v>0.5</v>
      </c>
      <c r="M784" s="2">
        <v>0.5</v>
      </c>
      <c r="N784" s="2">
        <v>2</v>
      </c>
      <c r="O784" s="2">
        <v>0.5</v>
      </c>
      <c r="P784" s="2">
        <v>4</v>
      </c>
      <c r="Q784" s="2">
        <v>1</v>
      </c>
      <c r="R784" s="2">
        <v>0.5</v>
      </c>
      <c r="S784" s="2">
        <v>2</v>
      </c>
      <c r="T784" s="2">
        <v>1</v>
      </c>
      <c r="U784" s="2">
        <v>0.5</v>
      </c>
      <c r="V784" s="2">
        <v>1</v>
      </c>
      <c r="W784" s="2">
        <v>2</v>
      </c>
      <c r="X784" s="2">
        <v>1</v>
      </c>
      <c r="Y784" s="2">
        <v>1</v>
      </c>
      <c r="Z784" s="2">
        <v>2</v>
      </c>
      <c r="AA784" s="2">
        <v>0.5</v>
      </c>
      <c r="AB784" s="2">
        <v>1</v>
      </c>
      <c r="AC784" s="2">
        <v>0.5</v>
      </c>
      <c r="AD784" s="2">
        <v>75</v>
      </c>
      <c r="AE784" s="2">
        <v>10240</v>
      </c>
      <c r="AF784" s="2">
        <v>70</v>
      </c>
      <c r="AG784" s="2">
        <v>420</v>
      </c>
      <c r="AH784" s="2">
        <v>45</v>
      </c>
      <c r="AI784" s="2">
        <v>90</v>
      </c>
      <c r="AJ784" s="1">
        <v>1250000</v>
      </c>
      <c r="AK784" s="1">
        <v>1.2</v>
      </c>
      <c r="AL784" s="1">
        <v>55</v>
      </c>
      <c r="AM784" s="2">
        <v>50</v>
      </c>
      <c r="AN784" s="2">
        <f t="shared" si="12"/>
        <v>50</v>
      </c>
      <c r="AO784" s="3">
        <v>783</v>
      </c>
      <c r="AP784" s="3">
        <v>65</v>
      </c>
      <c r="AQ784" s="3">
        <v>70</v>
      </c>
      <c r="AR784" s="3">
        <v>65</v>
      </c>
      <c r="AS784" s="1">
        <v>47</v>
      </c>
      <c r="AT784" s="3">
        <v>7</v>
      </c>
      <c r="AU784" s="3" t="s">
        <v>3051</v>
      </c>
    </row>
    <row r="785" spans="1:47" x14ac:dyDescent="0.3">
      <c r="A785" s="1" t="s">
        <v>2197</v>
      </c>
      <c r="B785" s="1" t="s">
        <v>2196</v>
      </c>
      <c r="C785" s="1" t="s">
        <v>443</v>
      </c>
      <c r="D785" s="1" t="s">
        <v>197</v>
      </c>
      <c r="E785" s="1" t="s">
        <v>2191</v>
      </c>
      <c r="F785" t="s">
        <v>3213</v>
      </c>
      <c r="G785" t="s">
        <v>3139</v>
      </c>
      <c r="H785" t="s">
        <v>3187</v>
      </c>
      <c r="I785" t="s">
        <v>52</v>
      </c>
      <c r="J785" t="s">
        <v>52</v>
      </c>
      <c r="K785" t="s">
        <v>52</v>
      </c>
      <c r="L785" s="2">
        <v>0.5</v>
      </c>
      <c r="M785" s="2">
        <v>0.5</v>
      </c>
      <c r="N785" s="2">
        <v>2</v>
      </c>
      <c r="O785" s="2">
        <v>0.5</v>
      </c>
      <c r="P785" s="2">
        <v>4</v>
      </c>
      <c r="Q785" s="2">
        <v>1</v>
      </c>
      <c r="R785" s="2">
        <v>0.5</v>
      </c>
      <c r="S785" s="2">
        <v>2</v>
      </c>
      <c r="T785" s="2">
        <v>1</v>
      </c>
      <c r="U785" s="2">
        <v>0.5</v>
      </c>
      <c r="V785" s="2">
        <v>1</v>
      </c>
      <c r="W785" s="2">
        <v>2</v>
      </c>
      <c r="X785" s="2">
        <v>1</v>
      </c>
      <c r="Y785" s="2">
        <v>1</v>
      </c>
      <c r="Z785" s="2">
        <v>2</v>
      </c>
      <c r="AA785" s="2">
        <v>0.5</v>
      </c>
      <c r="AB785" s="2">
        <v>1</v>
      </c>
      <c r="AC785" s="2">
        <v>0.5</v>
      </c>
      <c r="AD785" s="2">
        <v>110</v>
      </c>
      <c r="AE785" s="2">
        <v>10240</v>
      </c>
      <c r="AF785" s="2">
        <v>70</v>
      </c>
      <c r="AG785" s="2">
        <v>600</v>
      </c>
      <c r="AH785" s="2">
        <v>45</v>
      </c>
      <c r="AI785" s="2">
        <v>125</v>
      </c>
      <c r="AJ785" s="1">
        <v>1250000</v>
      </c>
      <c r="AK785" s="1">
        <v>1.6</v>
      </c>
      <c r="AL785" s="1">
        <v>75</v>
      </c>
      <c r="AM785" s="2">
        <v>50</v>
      </c>
      <c r="AN785" s="2">
        <f t="shared" si="12"/>
        <v>50</v>
      </c>
      <c r="AO785" s="3">
        <v>784</v>
      </c>
      <c r="AP785" s="3">
        <v>100</v>
      </c>
      <c r="AQ785" s="3">
        <v>105</v>
      </c>
      <c r="AR785" s="3">
        <v>85</v>
      </c>
      <c r="AS785" s="1">
        <v>78.2</v>
      </c>
      <c r="AT785" s="3">
        <v>7</v>
      </c>
      <c r="AU785" s="3" t="s">
        <v>3051</v>
      </c>
    </row>
    <row r="786" spans="1:47" x14ac:dyDescent="0.3">
      <c r="A786" s="1" t="s">
        <v>2200</v>
      </c>
      <c r="B786" s="1" t="s">
        <v>2199</v>
      </c>
      <c r="C786" s="1" t="s">
        <v>115</v>
      </c>
      <c r="D786" s="1" t="s">
        <v>141</v>
      </c>
      <c r="E786" s="1" t="s">
        <v>2198</v>
      </c>
      <c r="F786" t="s">
        <v>3214</v>
      </c>
      <c r="G786" t="s">
        <v>3189</v>
      </c>
      <c r="H786" t="s">
        <v>52</v>
      </c>
      <c r="I786" t="s">
        <v>52</v>
      </c>
      <c r="J786" t="s">
        <v>52</v>
      </c>
      <c r="K786" t="s">
        <v>52</v>
      </c>
      <c r="L786" s="2">
        <v>0.5</v>
      </c>
      <c r="M786" s="2">
        <v>0.5</v>
      </c>
      <c r="N786" s="2">
        <v>0</v>
      </c>
      <c r="O786" s="2">
        <v>0.5</v>
      </c>
      <c r="P786" s="2">
        <v>1</v>
      </c>
      <c r="Q786" s="2">
        <v>0.5</v>
      </c>
      <c r="R786" s="2">
        <v>1</v>
      </c>
      <c r="S786" s="2">
        <v>0.5</v>
      </c>
      <c r="T786" s="2">
        <v>1</v>
      </c>
      <c r="U786" s="2">
        <v>1</v>
      </c>
      <c r="V786" s="2">
        <v>2</v>
      </c>
      <c r="W786" s="2">
        <v>1</v>
      </c>
      <c r="X786" s="2">
        <v>1</v>
      </c>
      <c r="Y786" s="2">
        <v>2</v>
      </c>
      <c r="Z786" s="2">
        <v>1</v>
      </c>
      <c r="AA786" s="2">
        <v>1</v>
      </c>
      <c r="AB786" s="2">
        <v>1</v>
      </c>
      <c r="AC786" s="2">
        <v>1</v>
      </c>
      <c r="AD786" s="2">
        <v>115</v>
      </c>
      <c r="AE786" s="2">
        <v>3840</v>
      </c>
      <c r="AF786" s="2">
        <v>70</v>
      </c>
      <c r="AG786" s="2">
        <v>570</v>
      </c>
      <c r="AH786" s="2">
        <v>3</v>
      </c>
      <c r="AI786" s="2">
        <v>85</v>
      </c>
      <c r="AJ786" s="1">
        <v>1250000</v>
      </c>
      <c r="AK786" s="1">
        <v>1.8</v>
      </c>
      <c r="AL786" s="1">
        <v>70</v>
      </c>
      <c r="AM786" s="2" t="s">
        <v>52</v>
      </c>
      <c r="AN786" s="2" t="str">
        <f t="shared" si="12"/>
        <v/>
      </c>
      <c r="AO786" s="3">
        <v>785</v>
      </c>
      <c r="AP786" s="3">
        <v>95</v>
      </c>
      <c r="AQ786" s="3">
        <v>75</v>
      </c>
      <c r="AR786" s="3">
        <v>130</v>
      </c>
      <c r="AS786" s="1">
        <v>20.5</v>
      </c>
      <c r="AT786" s="3">
        <v>7</v>
      </c>
      <c r="AU786" s="3" t="s">
        <v>3052</v>
      </c>
    </row>
    <row r="787" spans="1:47" x14ac:dyDescent="0.3">
      <c r="A787" s="1" t="s">
        <v>2202</v>
      </c>
      <c r="B787" s="1" t="s">
        <v>2201</v>
      </c>
      <c r="C787" s="1" t="s">
        <v>216</v>
      </c>
      <c r="D787" s="1" t="s">
        <v>141</v>
      </c>
      <c r="E787" s="1" t="s">
        <v>2198</v>
      </c>
      <c r="F787" t="s">
        <v>3215</v>
      </c>
      <c r="G787" t="s">
        <v>3189</v>
      </c>
      <c r="H787" t="s">
        <v>52</v>
      </c>
      <c r="I787" t="s">
        <v>52</v>
      </c>
      <c r="J787" t="s">
        <v>52</v>
      </c>
      <c r="K787" t="s">
        <v>52</v>
      </c>
      <c r="L787" s="2">
        <v>1</v>
      </c>
      <c r="M787" s="2">
        <v>1</v>
      </c>
      <c r="N787" s="2">
        <v>0</v>
      </c>
      <c r="O787" s="2">
        <v>1</v>
      </c>
      <c r="P787" s="2">
        <v>1</v>
      </c>
      <c r="Q787" s="2">
        <v>0.25</v>
      </c>
      <c r="R787" s="2">
        <v>1</v>
      </c>
      <c r="S787" s="2">
        <v>1</v>
      </c>
      <c r="T787" s="2">
        <v>2</v>
      </c>
      <c r="U787" s="2">
        <v>1</v>
      </c>
      <c r="V787" s="2">
        <v>1</v>
      </c>
      <c r="W787" s="2">
        <v>1</v>
      </c>
      <c r="X787" s="2">
        <v>1</v>
      </c>
      <c r="Y787" s="2">
        <v>2</v>
      </c>
      <c r="Z787" s="2">
        <v>0.5</v>
      </c>
      <c r="AA787" s="2">
        <v>1</v>
      </c>
      <c r="AB787" s="2">
        <v>2</v>
      </c>
      <c r="AC787" s="2">
        <v>1</v>
      </c>
      <c r="AD787" s="2">
        <v>85</v>
      </c>
      <c r="AE787" s="2">
        <v>3840</v>
      </c>
      <c r="AF787" s="2">
        <v>70</v>
      </c>
      <c r="AG787" s="2">
        <v>570</v>
      </c>
      <c r="AH787" s="2">
        <v>3</v>
      </c>
      <c r="AI787" s="2">
        <v>75</v>
      </c>
      <c r="AJ787" s="1">
        <v>1250000</v>
      </c>
      <c r="AK787" s="1">
        <v>1.2</v>
      </c>
      <c r="AL787" s="1">
        <v>70</v>
      </c>
      <c r="AM787" s="2" t="s">
        <v>52</v>
      </c>
      <c r="AN787" s="2" t="str">
        <f t="shared" si="12"/>
        <v/>
      </c>
      <c r="AO787" s="3">
        <v>786</v>
      </c>
      <c r="AP787" s="3">
        <v>130</v>
      </c>
      <c r="AQ787" s="3">
        <v>115</v>
      </c>
      <c r="AR787" s="3">
        <v>95</v>
      </c>
      <c r="AS787" s="1">
        <v>18.600000000000001</v>
      </c>
      <c r="AT787" s="3">
        <v>7</v>
      </c>
      <c r="AU787" s="3" t="s">
        <v>3052</v>
      </c>
    </row>
    <row r="788" spans="1:47" x14ac:dyDescent="0.3">
      <c r="A788" s="1" t="s">
        <v>2204</v>
      </c>
      <c r="B788" s="1" t="s">
        <v>2203</v>
      </c>
      <c r="C788" s="1" t="s">
        <v>42</v>
      </c>
      <c r="D788" s="1" t="s">
        <v>141</v>
      </c>
      <c r="E788" s="1" t="s">
        <v>2198</v>
      </c>
      <c r="F788" t="s">
        <v>3216</v>
      </c>
      <c r="G788" t="s">
        <v>3189</v>
      </c>
      <c r="H788" t="s">
        <v>52</v>
      </c>
      <c r="I788" t="s">
        <v>52</v>
      </c>
      <c r="J788" t="s">
        <v>52</v>
      </c>
      <c r="K788" t="s">
        <v>52</v>
      </c>
      <c r="L788" s="2">
        <v>1</v>
      </c>
      <c r="M788" s="2">
        <v>0.5</v>
      </c>
      <c r="N788" s="2">
        <v>0</v>
      </c>
      <c r="O788" s="2">
        <v>0.5</v>
      </c>
      <c r="P788" s="2">
        <v>1</v>
      </c>
      <c r="Q788" s="2">
        <v>0.5</v>
      </c>
      <c r="R788" s="2">
        <v>2</v>
      </c>
      <c r="S788" s="2">
        <v>2</v>
      </c>
      <c r="T788" s="2">
        <v>1</v>
      </c>
      <c r="U788" s="2">
        <v>0.5</v>
      </c>
      <c r="V788" s="2">
        <v>0.5</v>
      </c>
      <c r="W788" s="2">
        <v>2</v>
      </c>
      <c r="X788" s="2">
        <v>1</v>
      </c>
      <c r="Y788" s="2">
        <v>4</v>
      </c>
      <c r="Z788" s="2">
        <v>1</v>
      </c>
      <c r="AA788" s="2">
        <v>1</v>
      </c>
      <c r="AB788" s="2">
        <v>2</v>
      </c>
      <c r="AC788" s="2">
        <v>0.5</v>
      </c>
      <c r="AD788" s="2">
        <v>130</v>
      </c>
      <c r="AE788" s="2">
        <v>3840</v>
      </c>
      <c r="AF788" s="2">
        <v>70</v>
      </c>
      <c r="AG788" s="2">
        <v>570</v>
      </c>
      <c r="AH788" s="2">
        <v>3</v>
      </c>
      <c r="AI788" s="2">
        <v>115</v>
      </c>
      <c r="AJ788" s="1">
        <v>1250000</v>
      </c>
      <c r="AK788" s="1">
        <v>1.9</v>
      </c>
      <c r="AL788" s="1">
        <v>70</v>
      </c>
      <c r="AM788" s="2" t="s">
        <v>52</v>
      </c>
      <c r="AN788" s="2" t="str">
        <f t="shared" si="12"/>
        <v/>
      </c>
      <c r="AO788" s="3">
        <v>787</v>
      </c>
      <c r="AP788" s="3">
        <v>85</v>
      </c>
      <c r="AQ788" s="3">
        <v>95</v>
      </c>
      <c r="AR788" s="3">
        <v>75</v>
      </c>
      <c r="AS788" s="1">
        <v>45.5</v>
      </c>
      <c r="AT788" s="3">
        <v>7</v>
      </c>
      <c r="AU788" s="3" t="s">
        <v>3052</v>
      </c>
    </row>
    <row r="789" spans="1:47" x14ac:dyDescent="0.3">
      <c r="A789" s="1" t="s">
        <v>2206</v>
      </c>
      <c r="B789" s="1" t="s">
        <v>2205</v>
      </c>
      <c r="C789" s="1" t="s">
        <v>62</v>
      </c>
      <c r="D789" s="1" t="s">
        <v>141</v>
      </c>
      <c r="E789" s="1" t="s">
        <v>2198</v>
      </c>
      <c r="F789" t="s">
        <v>3217</v>
      </c>
      <c r="G789" t="s">
        <v>3189</v>
      </c>
      <c r="H789" t="s">
        <v>52</v>
      </c>
      <c r="I789" t="s">
        <v>52</v>
      </c>
      <c r="J789" t="s">
        <v>52</v>
      </c>
      <c r="K789" t="s">
        <v>52</v>
      </c>
      <c r="L789" s="2">
        <v>0.5</v>
      </c>
      <c r="M789" s="2">
        <v>0.5</v>
      </c>
      <c r="N789" s="2">
        <v>0</v>
      </c>
      <c r="O789" s="2">
        <v>2</v>
      </c>
      <c r="P789" s="2">
        <v>1</v>
      </c>
      <c r="Q789" s="2">
        <v>0.5</v>
      </c>
      <c r="R789" s="2">
        <v>0.5</v>
      </c>
      <c r="S789" s="2">
        <v>1</v>
      </c>
      <c r="T789" s="2">
        <v>1</v>
      </c>
      <c r="U789" s="2">
        <v>2</v>
      </c>
      <c r="V789" s="2">
        <v>1</v>
      </c>
      <c r="W789" s="2">
        <v>0.5</v>
      </c>
      <c r="X789" s="2">
        <v>1</v>
      </c>
      <c r="Y789" s="2">
        <v>2</v>
      </c>
      <c r="Z789" s="2">
        <v>1</v>
      </c>
      <c r="AA789" s="2">
        <v>1</v>
      </c>
      <c r="AB789" s="2">
        <v>1</v>
      </c>
      <c r="AC789" s="2">
        <v>0.5</v>
      </c>
      <c r="AD789" s="2">
        <v>75</v>
      </c>
      <c r="AE789" s="2">
        <v>3840</v>
      </c>
      <c r="AF789" s="2">
        <v>70</v>
      </c>
      <c r="AG789" s="2">
        <v>570</v>
      </c>
      <c r="AH789" s="2">
        <v>3</v>
      </c>
      <c r="AI789" s="2">
        <v>115</v>
      </c>
      <c r="AJ789" s="1">
        <v>1250000</v>
      </c>
      <c r="AK789" s="1">
        <v>1.3</v>
      </c>
      <c r="AL789" s="1">
        <v>70</v>
      </c>
      <c r="AM789" s="2" t="s">
        <v>52</v>
      </c>
      <c r="AN789" s="2" t="str">
        <f t="shared" si="12"/>
        <v/>
      </c>
      <c r="AO789" s="3">
        <v>788</v>
      </c>
      <c r="AP789" s="3">
        <v>95</v>
      </c>
      <c r="AQ789" s="3">
        <v>130</v>
      </c>
      <c r="AR789" s="3">
        <v>85</v>
      </c>
      <c r="AS789" s="1">
        <v>21.2</v>
      </c>
      <c r="AT789" s="3">
        <v>7</v>
      </c>
      <c r="AU789" s="3" t="s">
        <v>3052</v>
      </c>
    </row>
    <row r="790" spans="1:47" x14ac:dyDescent="0.3">
      <c r="A790" s="1" t="s">
        <v>2209</v>
      </c>
      <c r="B790" s="1" t="s">
        <v>2208</v>
      </c>
      <c r="C790" s="1" t="s">
        <v>216</v>
      </c>
      <c r="D790" s="1" t="s">
        <v>52</v>
      </c>
      <c r="E790" s="1" t="s">
        <v>2207</v>
      </c>
      <c r="F790" t="s">
        <v>3106</v>
      </c>
      <c r="G790" t="s">
        <v>52</v>
      </c>
      <c r="H790" t="s">
        <v>52</v>
      </c>
      <c r="I790" t="s">
        <v>52</v>
      </c>
      <c r="J790" t="s">
        <v>52</v>
      </c>
      <c r="K790" t="s">
        <v>52</v>
      </c>
      <c r="L790" s="2">
        <v>2</v>
      </c>
      <c r="M790" s="2">
        <v>2</v>
      </c>
      <c r="N790" s="2">
        <v>1</v>
      </c>
      <c r="O790" s="2">
        <v>1</v>
      </c>
      <c r="P790" s="2">
        <v>1</v>
      </c>
      <c r="Q790" s="2">
        <v>0.5</v>
      </c>
      <c r="R790" s="2">
        <v>1</v>
      </c>
      <c r="S790" s="2">
        <v>1</v>
      </c>
      <c r="T790" s="2">
        <v>2</v>
      </c>
      <c r="U790" s="2">
        <v>1</v>
      </c>
      <c r="V790" s="2">
        <v>1</v>
      </c>
      <c r="W790" s="2">
        <v>1</v>
      </c>
      <c r="X790" s="2">
        <v>1</v>
      </c>
      <c r="Y790" s="2">
        <v>1</v>
      </c>
      <c r="Z790" s="2">
        <v>0.5</v>
      </c>
      <c r="AA790" s="2">
        <v>1</v>
      </c>
      <c r="AB790" s="2">
        <v>1</v>
      </c>
      <c r="AC790" s="2">
        <v>1</v>
      </c>
      <c r="AD790" s="2">
        <v>29</v>
      </c>
      <c r="AE790" s="2">
        <v>30720</v>
      </c>
      <c r="AF790" s="2">
        <v>0</v>
      </c>
      <c r="AG790" s="2">
        <v>200</v>
      </c>
      <c r="AH790" s="2">
        <v>45</v>
      </c>
      <c r="AI790" s="2">
        <v>31</v>
      </c>
      <c r="AJ790" s="1">
        <v>1250000</v>
      </c>
      <c r="AK790" s="1">
        <v>0.2</v>
      </c>
      <c r="AL790" s="1">
        <v>43</v>
      </c>
      <c r="AM790" s="2" t="s">
        <v>52</v>
      </c>
      <c r="AN790" s="2" t="str">
        <f t="shared" si="12"/>
        <v/>
      </c>
      <c r="AO790" s="3">
        <v>789</v>
      </c>
      <c r="AP790" s="3">
        <v>29</v>
      </c>
      <c r="AQ790" s="3">
        <v>31</v>
      </c>
      <c r="AR790" s="3">
        <v>37</v>
      </c>
      <c r="AS790" s="1">
        <v>0.1</v>
      </c>
      <c r="AT790" s="3">
        <v>7</v>
      </c>
      <c r="AU790" s="3" t="s">
        <v>3052</v>
      </c>
    </row>
    <row r="791" spans="1:47" x14ac:dyDescent="0.3">
      <c r="A791" s="1" t="s">
        <v>2212</v>
      </c>
      <c r="B791" s="1" t="s">
        <v>2211</v>
      </c>
      <c r="C791" s="1" t="s">
        <v>216</v>
      </c>
      <c r="D791" s="1" t="s">
        <v>52</v>
      </c>
      <c r="E791" s="1" t="s">
        <v>2210</v>
      </c>
      <c r="F791" t="s">
        <v>3107</v>
      </c>
      <c r="G791" t="s">
        <v>52</v>
      </c>
      <c r="H791" t="s">
        <v>52</v>
      </c>
      <c r="I791" t="s">
        <v>52</v>
      </c>
      <c r="J791" t="s">
        <v>52</v>
      </c>
      <c r="K791" t="s">
        <v>52</v>
      </c>
      <c r="L791" s="2">
        <v>2</v>
      </c>
      <c r="M791" s="2">
        <v>2</v>
      </c>
      <c r="N791" s="2">
        <v>1</v>
      </c>
      <c r="O791" s="2">
        <v>1</v>
      </c>
      <c r="P791" s="2">
        <v>1</v>
      </c>
      <c r="Q791" s="2">
        <v>0.5</v>
      </c>
      <c r="R791" s="2">
        <v>1</v>
      </c>
      <c r="S791" s="2">
        <v>1</v>
      </c>
      <c r="T791" s="2">
        <v>2</v>
      </c>
      <c r="U791" s="2">
        <v>1</v>
      </c>
      <c r="V791" s="2">
        <v>1</v>
      </c>
      <c r="W791" s="2">
        <v>1</v>
      </c>
      <c r="X791" s="2">
        <v>1</v>
      </c>
      <c r="Y791" s="2">
        <v>1</v>
      </c>
      <c r="Z791" s="2">
        <v>0.5</v>
      </c>
      <c r="AA791" s="2">
        <v>1</v>
      </c>
      <c r="AB791" s="2">
        <v>1</v>
      </c>
      <c r="AC791" s="2">
        <v>1</v>
      </c>
      <c r="AD791" s="2">
        <v>29</v>
      </c>
      <c r="AE791" s="2">
        <v>30720</v>
      </c>
      <c r="AF791" s="2">
        <v>0</v>
      </c>
      <c r="AG791" s="2">
        <v>400</v>
      </c>
      <c r="AH791" s="2">
        <v>45</v>
      </c>
      <c r="AI791" s="2">
        <v>131</v>
      </c>
      <c r="AJ791" s="1">
        <v>1250000</v>
      </c>
      <c r="AK791" s="1">
        <v>0.1</v>
      </c>
      <c r="AL791" s="1">
        <v>43</v>
      </c>
      <c r="AM791" s="2" t="s">
        <v>52</v>
      </c>
      <c r="AN791" s="2" t="str">
        <f t="shared" si="12"/>
        <v/>
      </c>
      <c r="AO791" s="3">
        <v>790</v>
      </c>
      <c r="AP791" s="3">
        <v>29</v>
      </c>
      <c r="AQ791" s="3">
        <v>131</v>
      </c>
      <c r="AR791" s="3">
        <v>37</v>
      </c>
      <c r="AS791" s="1">
        <v>999.9</v>
      </c>
      <c r="AT791" s="3">
        <v>7</v>
      </c>
      <c r="AU791" s="3" t="s">
        <v>3052</v>
      </c>
    </row>
    <row r="792" spans="1:47" x14ac:dyDescent="0.3">
      <c r="A792" s="1" t="s">
        <v>2215</v>
      </c>
      <c r="B792" s="1" t="s">
        <v>2214</v>
      </c>
      <c r="C792" s="1" t="s">
        <v>216</v>
      </c>
      <c r="D792" s="1" t="s">
        <v>263</v>
      </c>
      <c r="E792" s="1" t="s">
        <v>2213</v>
      </c>
      <c r="F792" t="s">
        <v>3108</v>
      </c>
      <c r="G792" t="s">
        <v>52</v>
      </c>
      <c r="H792" t="s">
        <v>52</v>
      </c>
      <c r="I792" t="s">
        <v>52</v>
      </c>
      <c r="J792" t="s">
        <v>52</v>
      </c>
      <c r="K792" t="s">
        <v>52</v>
      </c>
      <c r="L792" s="2">
        <v>1</v>
      </c>
      <c r="M792" s="2">
        <v>2</v>
      </c>
      <c r="N792" s="2">
        <v>0.5</v>
      </c>
      <c r="O792" s="2">
        <v>1</v>
      </c>
      <c r="P792" s="2">
        <v>0.5</v>
      </c>
      <c r="Q792" s="2">
        <v>1</v>
      </c>
      <c r="R792" s="2">
        <v>2</v>
      </c>
      <c r="S792" s="2">
        <v>0.5</v>
      </c>
      <c r="T792" s="2">
        <v>2</v>
      </c>
      <c r="U792" s="2">
        <v>0.5</v>
      </c>
      <c r="V792" s="2">
        <v>2</v>
      </c>
      <c r="W792" s="2">
        <v>0.5</v>
      </c>
      <c r="X792" s="2">
        <v>0.5</v>
      </c>
      <c r="Y792" s="2">
        <v>0</v>
      </c>
      <c r="Z792" s="2">
        <v>0.25</v>
      </c>
      <c r="AA792" s="2">
        <v>0.5</v>
      </c>
      <c r="AB792" s="2">
        <v>0.5</v>
      </c>
      <c r="AC792" s="2">
        <v>1</v>
      </c>
      <c r="AD792" s="2">
        <v>137</v>
      </c>
      <c r="AE792" s="2">
        <v>30720</v>
      </c>
      <c r="AF792" s="2">
        <v>0</v>
      </c>
      <c r="AG792" s="2">
        <v>680</v>
      </c>
      <c r="AH792" s="2">
        <v>45</v>
      </c>
      <c r="AI792" s="2">
        <v>107</v>
      </c>
      <c r="AJ792" s="1">
        <v>1250000</v>
      </c>
      <c r="AK792" s="1">
        <v>3.4</v>
      </c>
      <c r="AL792" s="1">
        <v>137</v>
      </c>
      <c r="AM792" s="2" t="s">
        <v>52</v>
      </c>
      <c r="AN792" s="2" t="str">
        <f t="shared" si="12"/>
        <v/>
      </c>
      <c r="AO792" s="3">
        <v>791</v>
      </c>
      <c r="AP792" s="3">
        <v>113</v>
      </c>
      <c r="AQ792" s="3">
        <v>89</v>
      </c>
      <c r="AR792" s="3">
        <v>97</v>
      </c>
      <c r="AS792" s="1">
        <v>230</v>
      </c>
      <c r="AT792" s="3">
        <v>7</v>
      </c>
      <c r="AU792" s="3" t="s">
        <v>3052</v>
      </c>
    </row>
    <row r="793" spans="1:47" x14ac:dyDescent="0.3">
      <c r="A793" s="1" t="s">
        <v>2218</v>
      </c>
      <c r="B793" s="1" t="s">
        <v>2217</v>
      </c>
      <c r="C793" s="1" t="s">
        <v>216</v>
      </c>
      <c r="D793" s="1" t="s">
        <v>293</v>
      </c>
      <c r="E793" s="1" t="s">
        <v>2216</v>
      </c>
      <c r="F793" t="s">
        <v>3109</v>
      </c>
      <c r="G793" t="s">
        <v>52</v>
      </c>
      <c r="H793" t="s">
        <v>52</v>
      </c>
      <c r="I793" t="s">
        <v>52</v>
      </c>
      <c r="J793" t="s">
        <v>52</v>
      </c>
      <c r="K793" t="s">
        <v>52</v>
      </c>
      <c r="L793" s="2">
        <v>1</v>
      </c>
      <c r="M793" s="2">
        <v>4</v>
      </c>
      <c r="N793" s="2">
        <v>1</v>
      </c>
      <c r="O793" s="2">
        <v>1</v>
      </c>
      <c r="P793" s="2">
        <v>1</v>
      </c>
      <c r="Q793" s="2">
        <v>0</v>
      </c>
      <c r="R793" s="2">
        <v>1</v>
      </c>
      <c r="S793" s="2">
        <v>1</v>
      </c>
      <c r="T793" s="2">
        <v>4</v>
      </c>
      <c r="U793" s="2">
        <v>1</v>
      </c>
      <c r="V793" s="2">
        <v>1</v>
      </c>
      <c r="W793" s="2">
        <v>1</v>
      </c>
      <c r="X793" s="2">
        <v>0</v>
      </c>
      <c r="Y793" s="2">
        <v>0.5</v>
      </c>
      <c r="Z793" s="2">
        <v>0.5</v>
      </c>
      <c r="AA793" s="2">
        <v>1</v>
      </c>
      <c r="AB793" s="2">
        <v>1</v>
      </c>
      <c r="AC793" s="2">
        <v>1</v>
      </c>
      <c r="AD793" s="2">
        <v>113</v>
      </c>
      <c r="AE793" s="2">
        <v>30720</v>
      </c>
      <c r="AF793" s="2">
        <v>0</v>
      </c>
      <c r="AG793" s="2">
        <v>680</v>
      </c>
      <c r="AH793" s="2">
        <v>45</v>
      </c>
      <c r="AI793" s="2">
        <v>89</v>
      </c>
      <c r="AJ793" s="1">
        <v>1250000</v>
      </c>
      <c r="AK793" s="1">
        <v>4</v>
      </c>
      <c r="AL793" s="1">
        <v>137</v>
      </c>
      <c r="AM793" s="2" t="s">
        <v>52</v>
      </c>
      <c r="AN793" s="2" t="str">
        <f t="shared" si="12"/>
        <v/>
      </c>
      <c r="AO793" s="3">
        <v>792</v>
      </c>
      <c r="AP793" s="3">
        <v>137</v>
      </c>
      <c r="AQ793" s="3">
        <v>107</v>
      </c>
      <c r="AR793" s="3">
        <v>97</v>
      </c>
      <c r="AS793" s="1">
        <v>120</v>
      </c>
      <c r="AT793" s="3">
        <v>7</v>
      </c>
      <c r="AU793" s="3" t="s">
        <v>3052</v>
      </c>
    </row>
    <row r="794" spans="1:47" x14ac:dyDescent="0.3">
      <c r="A794" s="1" t="s">
        <v>2221</v>
      </c>
      <c r="B794" s="1" t="s">
        <v>2220</v>
      </c>
      <c r="C794" s="1" t="s">
        <v>243</v>
      </c>
      <c r="D794" s="1" t="s">
        <v>43</v>
      </c>
      <c r="E794" s="1" t="s">
        <v>2219</v>
      </c>
      <c r="F794" t="s">
        <v>3110</v>
      </c>
      <c r="G794" t="s">
        <v>52</v>
      </c>
      <c r="H794" t="s">
        <v>52</v>
      </c>
      <c r="I794" t="s">
        <v>52</v>
      </c>
      <c r="J794" t="s">
        <v>52</v>
      </c>
      <c r="K794" t="s">
        <v>52</v>
      </c>
      <c r="L794" s="2">
        <v>0.5</v>
      </c>
      <c r="M794" s="2">
        <v>1</v>
      </c>
      <c r="N794" s="2">
        <v>1</v>
      </c>
      <c r="O794" s="2">
        <v>1</v>
      </c>
      <c r="P794" s="2">
        <v>0.5</v>
      </c>
      <c r="Q794" s="2">
        <v>1</v>
      </c>
      <c r="R794" s="2">
        <v>0.5</v>
      </c>
      <c r="S794" s="2">
        <v>0.5</v>
      </c>
      <c r="T794" s="2">
        <v>1</v>
      </c>
      <c r="U794" s="2">
        <v>1</v>
      </c>
      <c r="V794" s="2">
        <v>4</v>
      </c>
      <c r="W794" s="2">
        <v>1</v>
      </c>
      <c r="X794" s="2">
        <v>0.5</v>
      </c>
      <c r="Y794" s="2">
        <v>0.25</v>
      </c>
      <c r="Z794" s="2">
        <v>2</v>
      </c>
      <c r="AA794" s="2">
        <v>1</v>
      </c>
      <c r="AB794" s="2">
        <v>2</v>
      </c>
      <c r="AC794" s="2">
        <v>2</v>
      </c>
      <c r="AD794" s="2">
        <v>53</v>
      </c>
      <c r="AE794" s="2">
        <v>30720</v>
      </c>
      <c r="AF794" s="2">
        <v>0</v>
      </c>
      <c r="AG794" s="2">
        <v>570</v>
      </c>
      <c r="AH794" s="2">
        <v>45</v>
      </c>
      <c r="AI794" s="2">
        <v>47</v>
      </c>
      <c r="AJ794" s="1">
        <v>1250000</v>
      </c>
      <c r="AK794" s="1">
        <v>1.2</v>
      </c>
      <c r="AL794" s="1">
        <v>109</v>
      </c>
      <c r="AM794" s="2" t="s">
        <v>52</v>
      </c>
      <c r="AN794" s="2" t="str">
        <f t="shared" si="12"/>
        <v/>
      </c>
      <c r="AO794" s="3">
        <v>793</v>
      </c>
      <c r="AP794" s="3">
        <v>127</v>
      </c>
      <c r="AQ794" s="3">
        <v>131</v>
      </c>
      <c r="AR794" s="3">
        <v>103</v>
      </c>
      <c r="AS794" s="1">
        <v>55.5</v>
      </c>
      <c r="AT794" s="3">
        <v>7</v>
      </c>
      <c r="AU794" s="3" t="s">
        <v>3052</v>
      </c>
    </row>
    <row r="795" spans="1:47" x14ac:dyDescent="0.3">
      <c r="A795" s="1" t="s">
        <v>2224</v>
      </c>
      <c r="B795" s="1" t="s">
        <v>2223</v>
      </c>
      <c r="C795" s="1" t="s">
        <v>72</v>
      </c>
      <c r="D795" s="1" t="s">
        <v>197</v>
      </c>
      <c r="E795" s="1" t="s">
        <v>2222</v>
      </c>
      <c r="F795" t="s">
        <v>3110</v>
      </c>
      <c r="G795" t="s">
        <v>52</v>
      </c>
      <c r="H795" t="s">
        <v>52</v>
      </c>
      <c r="I795" t="s">
        <v>52</v>
      </c>
      <c r="J795" t="s">
        <v>52</v>
      </c>
      <c r="K795" t="s">
        <v>52</v>
      </c>
      <c r="L795" s="2">
        <v>0.5</v>
      </c>
      <c r="M795" s="2">
        <v>0.5</v>
      </c>
      <c r="N795" s="2">
        <v>1</v>
      </c>
      <c r="O795" s="2">
        <v>1</v>
      </c>
      <c r="P795" s="2">
        <v>2</v>
      </c>
      <c r="Q795" s="2">
        <v>0.5</v>
      </c>
      <c r="R795" s="2">
        <v>2</v>
      </c>
      <c r="S795" s="2">
        <v>4</v>
      </c>
      <c r="T795" s="2">
        <v>1</v>
      </c>
      <c r="U795" s="2">
        <v>0.5</v>
      </c>
      <c r="V795" s="2">
        <v>0.5</v>
      </c>
      <c r="W795" s="2">
        <v>1</v>
      </c>
      <c r="X795" s="2">
        <v>1</v>
      </c>
      <c r="Y795" s="2">
        <v>1</v>
      </c>
      <c r="Z795" s="2">
        <v>2</v>
      </c>
      <c r="AA795" s="2">
        <v>1</v>
      </c>
      <c r="AB795" s="2">
        <v>1</v>
      </c>
      <c r="AC795" s="2">
        <v>1</v>
      </c>
      <c r="AD795" s="2">
        <v>139</v>
      </c>
      <c r="AE795" s="2">
        <v>30720</v>
      </c>
      <c r="AF795" s="2">
        <v>0</v>
      </c>
      <c r="AG795" s="2">
        <v>570</v>
      </c>
      <c r="AH795" s="2">
        <v>25</v>
      </c>
      <c r="AI795" s="2">
        <v>139</v>
      </c>
      <c r="AJ795" s="1">
        <v>1250000</v>
      </c>
      <c r="AK795" s="1">
        <v>2.4</v>
      </c>
      <c r="AL795" s="1">
        <v>107</v>
      </c>
      <c r="AM795" s="2" t="s">
        <v>52</v>
      </c>
      <c r="AN795" s="2" t="str">
        <f t="shared" si="12"/>
        <v/>
      </c>
      <c r="AO795" s="3">
        <v>794</v>
      </c>
      <c r="AP795" s="3">
        <v>53</v>
      </c>
      <c r="AQ795" s="3">
        <v>53</v>
      </c>
      <c r="AR795" s="3">
        <v>79</v>
      </c>
      <c r="AS795" s="1">
        <v>333.6</v>
      </c>
      <c r="AT795" s="3">
        <v>7</v>
      </c>
      <c r="AU795" s="3" t="s">
        <v>3052</v>
      </c>
    </row>
    <row r="796" spans="1:47" x14ac:dyDescent="0.3">
      <c r="A796" s="1" t="s">
        <v>2227</v>
      </c>
      <c r="B796" s="1" t="s">
        <v>2226</v>
      </c>
      <c r="C796" s="1" t="s">
        <v>72</v>
      </c>
      <c r="D796" s="1" t="s">
        <v>197</v>
      </c>
      <c r="E796" s="1" t="s">
        <v>2225</v>
      </c>
      <c r="F796" t="s">
        <v>3110</v>
      </c>
      <c r="G796" t="s">
        <v>52</v>
      </c>
      <c r="H796" t="s">
        <v>52</v>
      </c>
      <c r="I796" t="s">
        <v>52</v>
      </c>
      <c r="J796" t="s">
        <v>52</v>
      </c>
      <c r="K796" t="s">
        <v>52</v>
      </c>
      <c r="L796" s="2">
        <v>0.5</v>
      </c>
      <c r="M796" s="2">
        <v>0.5</v>
      </c>
      <c r="N796" s="2">
        <v>1</v>
      </c>
      <c r="O796" s="2">
        <v>1</v>
      </c>
      <c r="P796" s="2">
        <v>2</v>
      </c>
      <c r="Q796" s="2">
        <v>0.5</v>
      </c>
      <c r="R796" s="2">
        <v>2</v>
      </c>
      <c r="S796" s="2">
        <v>4</v>
      </c>
      <c r="T796" s="2">
        <v>1</v>
      </c>
      <c r="U796" s="2">
        <v>0.5</v>
      </c>
      <c r="V796" s="2">
        <v>0.5</v>
      </c>
      <c r="W796" s="2">
        <v>1</v>
      </c>
      <c r="X796" s="2">
        <v>1</v>
      </c>
      <c r="Y796" s="2">
        <v>1</v>
      </c>
      <c r="Z796" s="2">
        <v>2</v>
      </c>
      <c r="AA796" s="2">
        <v>1</v>
      </c>
      <c r="AB796" s="2">
        <v>1</v>
      </c>
      <c r="AC796" s="2">
        <v>1</v>
      </c>
      <c r="AD796" s="2">
        <v>137</v>
      </c>
      <c r="AE796" s="2">
        <v>30720</v>
      </c>
      <c r="AF796" s="2">
        <v>0</v>
      </c>
      <c r="AG796" s="2">
        <v>570</v>
      </c>
      <c r="AH796" s="2">
        <v>255</v>
      </c>
      <c r="AI796" s="2">
        <v>37</v>
      </c>
      <c r="AJ796" s="1">
        <v>1250000</v>
      </c>
      <c r="AK796" s="1">
        <v>1.8</v>
      </c>
      <c r="AL796" s="1">
        <v>71</v>
      </c>
      <c r="AM796" s="2" t="s">
        <v>52</v>
      </c>
      <c r="AN796" s="2" t="str">
        <f t="shared" si="12"/>
        <v/>
      </c>
      <c r="AO796" s="3">
        <v>795</v>
      </c>
      <c r="AP796" s="3">
        <v>137</v>
      </c>
      <c r="AQ796" s="3">
        <v>37</v>
      </c>
      <c r="AR796" s="3">
        <v>151</v>
      </c>
      <c r="AS796" s="1">
        <v>25</v>
      </c>
      <c r="AT796" s="3">
        <v>7</v>
      </c>
      <c r="AU796" s="3" t="s">
        <v>3052</v>
      </c>
    </row>
    <row r="797" spans="1:47" x14ac:dyDescent="0.3">
      <c r="A797" s="1" t="s">
        <v>2230</v>
      </c>
      <c r="B797" s="1" t="s">
        <v>2229</v>
      </c>
      <c r="C797" s="1" t="s">
        <v>115</v>
      </c>
      <c r="D797" s="1" t="s">
        <v>52</v>
      </c>
      <c r="E797" s="1" t="s">
        <v>2228</v>
      </c>
      <c r="F797" t="s">
        <v>3110</v>
      </c>
      <c r="G797" t="s">
        <v>52</v>
      </c>
      <c r="H797" t="s">
        <v>52</v>
      </c>
      <c r="I797" t="s">
        <v>52</v>
      </c>
      <c r="J797" t="s">
        <v>52</v>
      </c>
      <c r="K797" t="s">
        <v>52</v>
      </c>
      <c r="L797" s="2">
        <v>1</v>
      </c>
      <c r="M797" s="2">
        <v>1</v>
      </c>
      <c r="N797" s="2">
        <v>1</v>
      </c>
      <c r="O797" s="2">
        <v>0.5</v>
      </c>
      <c r="P797" s="2">
        <v>1</v>
      </c>
      <c r="Q797" s="2">
        <v>1</v>
      </c>
      <c r="R797" s="2">
        <v>1</v>
      </c>
      <c r="S797" s="2">
        <v>0.5</v>
      </c>
      <c r="T797" s="2">
        <v>1</v>
      </c>
      <c r="U797" s="2">
        <v>1</v>
      </c>
      <c r="V797" s="2">
        <v>2</v>
      </c>
      <c r="W797" s="2">
        <v>1</v>
      </c>
      <c r="X797" s="2">
        <v>1</v>
      </c>
      <c r="Y797" s="2">
        <v>1</v>
      </c>
      <c r="Z797" s="2">
        <v>1</v>
      </c>
      <c r="AA797" s="2">
        <v>1</v>
      </c>
      <c r="AB797" s="2">
        <v>0.5</v>
      </c>
      <c r="AC797" s="2">
        <v>1</v>
      </c>
      <c r="AD797" s="2">
        <v>89</v>
      </c>
      <c r="AE797" s="2">
        <v>30720</v>
      </c>
      <c r="AF797" s="2">
        <v>0</v>
      </c>
      <c r="AG797" s="2">
        <v>570</v>
      </c>
      <c r="AH797" s="2">
        <v>30</v>
      </c>
      <c r="AI797" s="2">
        <v>71</v>
      </c>
      <c r="AJ797" s="1">
        <v>1250000</v>
      </c>
      <c r="AK797" s="1">
        <v>3.8</v>
      </c>
      <c r="AL797" s="1">
        <v>83</v>
      </c>
      <c r="AM797" s="2" t="s">
        <v>52</v>
      </c>
      <c r="AN797" s="2" t="str">
        <f t="shared" si="12"/>
        <v/>
      </c>
      <c r="AO797" s="3">
        <v>796</v>
      </c>
      <c r="AP797" s="3">
        <v>173</v>
      </c>
      <c r="AQ797" s="3">
        <v>71</v>
      </c>
      <c r="AR797" s="3">
        <v>83</v>
      </c>
      <c r="AS797" s="1">
        <v>100</v>
      </c>
      <c r="AT797" s="3">
        <v>7</v>
      </c>
      <c r="AU797" s="3" t="s">
        <v>3052</v>
      </c>
    </row>
    <row r="798" spans="1:47" x14ac:dyDescent="0.3">
      <c r="A798" s="1" t="s">
        <v>2233</v>
      </c>
      <c r="B798" s="1" t="s">
        <v>2232</v>
      </c>
      <c r="C798" s="1" t="s">
        <v>263</v>
      </c>
      <c r="D798" s="1" t="s">
        <v>58</v>
      </c>
      <c r="E798" s="1" t="s">
        <v>2231</v>
      </c>
      <c r="F798" t="s">
        <v>3110</v>
      </c>
      <c r="G798" t="s">
        <v>52</v>
      </c>
      <c r="H798" t="s">
        <v>52</v>
      </c>
      <c r="I798" t="s">
        <v>52</v>
      </c>
      <c r="J798" t="s">
        <v>52</v>
      </c>
      <c r="K798" t="s">
        <v>52</v>
      </c>
      <c r="L798" s="2">
        <v>0.25</v>
      </c>
      <c r="M798" s="2">
        <v>1</v>
      </c>
      <c r="N798" s="2">
        <v>0.5</v>
      </c>
      <c r="O798" s="2">
        <v>2</v>
      </c>
      <c r="P798" s="2">
        <v>0.5</v>
      </c>
      <c r="Q798" s="2">
        <v>1</v>
      </c>
      <c r="R798" s="2">
        <v>2</v>
      </c>
      <c r="S798" s="2">
        <v>0.5</v>
      </c>
      <c r="T798" s="2">
        <v>1</v>
      </c>
      <c r="U798" s="2">
        <v>0.25</v>
      </c>
      <c r="V798" s="2">
        <v>0</v>
      </c>
      <c r="W798" s="2">
        <v>1</v>
      </c>
      <c r="X798" s="2">
        <v>0.5</v>
      </c>
      <c r="Y798" s="2">
        <v>0</v>
      </c>
      <c r="Z798" s="2">
        <v>0.5</v>
      </c>
      <c r="AA798" s="2">
        <v>1</v>
      </c>
      <c r="AB798" s="2">
        <v>0.5</v>
      </c>
      <c r="AC798" s="2">
        <v>1</v>
      </c>
      <c r="AD798" s="2">
        <v>101</v>
      </c>
      <c r="AE798" s="2">
        <v>30720</v>
      </c>
      <c r="AF798" s="2">
        <v>0</v>
      </c>
      <c r="AG798" s="2">
        <v>570</v>
      </c>
      <c r="AH798" s="2">
        <v>25</v>
      </c>
      <c r="AI798" s="2">
        <v>103</v>
      </c>
      <c r="AJ798" s="1">
        <v>1250000</v>
      </c>
      <c r="AK798" s="1">
        <v>9.1999999999999993</v>
      </c>
      <c r="AL798" s="1">
        <v>97</v>
      </c>
      <c r="AM798" s="2" t="s">
        <v>52</v>
      </c>
      <c r="AN798" s="2" t="str">
        <f t="shared" si="12"/>
        <v/>
      </c>
      <c r="AO798" s="3">
        <v>797</v>
      </c>
      <c r="AP798" s="3">
        <v>107</v>
      </c>
      <c r="AQ798" s="3">
        <v>101</v>
      </c>
      <c r="AR798" s="3">
        <v>61</v>
      </c>
      <c r="AS798" s="1">
        <v>999.9</v>
      </c>
      <c r="AT798" s="3">
        <v>7</v>
      </c>
      <c r="AU798" s="3" t="s">
        <v>3052</v>
      </c>
    </row>
    <row r="799" spans="1:47" x14ac:dyDescent="0.3">
      <c r="A799" s="1" t="s">
        <v>2236</v>
      </c>
      <c r="B799" s="1" t="s">
        <v>2235</v>
      </c>
      <c r="C799" s="1" t="s">
        <v>42</v>
      </c>
      <c r="D799" s="1" t="s">
        <v>263</v>
      </c>
      <c r="E799" s="1" t="s">
        <v>2234</v>
      </c>
      <c r="F799" t="s">
        <v>3110</v>
      </c>
      <c r="G799" t="s">
        <v>52</v>
      </c>
      <c r="H799" t="s">
        <v>52</v>
      </c>
      <c r="I799" t="s">
        <v>52</v>
      </c>
      <c r="J799" t="s">
        <v>52</v>
      </c>
      <c r="K799" t="s">
        <v>52</v>
      </c>
      <c r="L799" s="2">
        <v>1</v>
      </c>
      <c r="M799" s="2">
        <v>1</v>
      </c>
      <c r="N799" s="2">
        <v>0.5</v>
      </c>
      <c r="O799" s="2">
        <v>0.5</v>
      </c>
      <c r="P799" s="2">
        <v>0.5</v>
      </c>
      <c r="Q799" s="2">
        <v>2</v>
      </c>
      <c r="R799" s="2">
        <v>4</v>
      </c>
      <c r="S799" s="2">
        <v>1</v>
      </c>
      <c r="T799" s="2">
        <v>1</v>
      </c>
      <c r="U799" s="2">
        <v>0.25</v>
      </c>
      <c r="V799" s="2">
        <v>1</v>
      </c>
      <c r="W799" s="2">
        <v>1</v>
      </c>
      <c r="X799" s="2">
        <v>0.5</v>
      </c>
      <c r="Y799" s="2">
        <v>0</v>
      </c>
      <c r="Z799" s="2">
        <v>0.5</v>
      </c>
      <c r="AA799" s="2">
        <v>0.5</v>
      </c>
      <c r="AB799" s="2">
        <v>0.5</v>
      </c>
      <c r="AC799" s="2">
        <v>0.5</v>
      </c>
      <c r="AD799" s="2">
        <v>181</v>
      </c>
      <c r="AE799" s="2">
        <v>30720</v>
      </c>
      <c r="AF799" s="2">
        <v>0</v>
      </c>
      <c r="AG799" s="2">
        <v>570</v>
      </c>
      <c r="AH799" s="2">
        <v>255</v>
      </c>
      <c r="AI799" s="2">
        <v>131</v>
      </c>
      <c r="AJ799" s="1">
        <v>1250000</v>
      </c>
      <c r="AK799" s="1">
        <v>0.3</v>
      </c>
      <c r="AL799" s="1">
        <v>59</v>
      </c>
      <c r="AM799" s="2" t="s">
        <v>52</v>
      </c>
      <c r="AN799" s="2" t="str">
        <f t="shared" si="12"/>
        <v/>
      </c>
      <c r="AO799" s="3">
        <v>798</v>
      </c>
      <c r="AP799" s="3">
        <v>59</v>
      </c>
      <c r="AQ799" s="3">
        <v>31</v>
      </c>
      <c r="AR799" s="3">
        <v>109</v>
      </c>
      <c r="AS799" s="1">
        <v>0.1</v>
      </c>
      <c r="AT799" s="3">
        <v>7</v>
      </c>
      <c r="AU799" s="3" t="s">
        <v>3052</v>
      </c>
    </row>
    <row r="800" spans="1:47" x14ac:dyDescent="0.3">
      <c r="A800" s="1" t="s">
        <v>2239</v>
      </c>
      <c r="B800" s="1" t="s">
        <v>2238</v>
      </c>
      <c r="C800" s="1" t="s">
        <v>99</v>
      </c>
      <c r="D800" s="1" t="s">
        <v>443</v>
      </c>
      <c r="E800" s="1" t="s">
        <v>2237</v>
      </c>
      <c r="F800" t="s">
        <v>3110</v>
      </c>
      <c r="G800" t="s">
        <v>52</v>
      </c>
      <c r="H800" t="s">
        <v>52</v>
      </c>
      <c r="I800" t="s">
        <v>52</v>
      </c>
      <c r="J800" t="s">
        <v>52</v>
      </c>
      <c r="K800" t="s">
        <v>52</v>
      </c>
      <c r="L800" s="2">
        <v>2</v>
      </c>
      <c r="M800" s="2">
        <v>0.5</v>
      </c>
      <c r="N800" s="2">
        <v>2</v>
      </c>
      <c r="O800" s="2">
        <v>0.5</v>
      </c>
      <c r="P800" s="2">
        <v>4</v>
      </c>
      <c r="Q800" s="2">
        <v>2</v>
      </c>
      <c r="R800" s="2">
        <v>0.5</v>
      </c>
      <c r="S800" s="2">
        <v>1</v>
      </c>
      <c r="T800" s="2">
        <v>0.5</v>
      </c>
      <c r="U800" s="2">
        <v>0.5</v>
      </c>
      <c r="V800" s="2">
        <v>1</v>
      </c>
      <c r="W800" s="2">
        <v>2</v>
      </c>
      <c r="X800" s="2">
        <v>1</v>
      </c>
      <c r="Y800" s="2">
        <v>1</v>
      </c>
      <c r="Z800" s="2">
        <v>0</v>
      </c>
      <c r="AA800" s="2">
        <v>1</v>
      </c>
      <c r="AB800" s="2">
        <v>1</v>
      </c>
      <c r="AC800" s="2">
        <v>0.5</v>
      </c>
      <c r="AD800" s="2">
        <v>101</v>
      </c>
      <c r="AE800" s="2">
        <v>30720</v>
      </c>
      <c r="AF800" s="2">
        <v>0</v>
      </c>
      <c r="AG800" s="2">
        <v>570</v>
      </c>
      <c r="AH800" s="2">
        <v>15</v>
      </c>
      <c r="AI800" s="2">
        <v>53</v>
      </c>
      <c r="AJ800" s="1">
        <v>1250000</v>
      </c>
      <c r="AK800" s="1">
        <v>5.5</v>
      </c>
      <c r="AL800" s="1">
        <v>223</v>
      </c>
      <c r="AM800" s="2" t="s">
        <v>52</v>
      </c>
      <c r="AN800" s="2" t="str">
        <f t="shared" si="12"/>
        <v/>
      </c>
      <c r="AO800" s="3">
        <v>799</v>
      </c>
      <c r="AP800" s="3">
        <v>97</v>
      </c>
      <c r="AQ800" s="3">
        <v>53</v>
      </c>
      <c r="AR800" s="3">
        <v>43</v>
      </c>
      <c r="AS800" s="1">
        <v>888</v>
      </c>
      <c r="AT800" s="3">
        <v>7</v>
      </c>
      <c r="AU800" s="3" t="s">
        <v>3052</v>
      </c>
    </row>
    <row r="801" spans="1:47" x14ac:dyDescent="0.3">
      <c r="A801" s="1" t="s">
        <v>2242</v>
      </c>
      <c r="B801" s="1" t="s">
        <v>2241</v>
      </c>
      <c r="C801" s="1" t="s">
        <v>216</v>
      </c>
      <c r="D801" s="1" t="s">
        <v>52</v>
      </c>
      <c r="E801" s="1" t="s">
        <v>2240</v>
      </c>
      <c r="F801" t="s">
        <v>3111</v>
      </c>
      <c r="G801" t="s">
        <v>52</v>
      </c>
      <c r="H801" t="s">
        <v>52</v>
      </c>
      <c r="I801" t="s">
        <v>52</v>
      </c>
      <c r="J801" t="s">
        <v>52</v>
      </c>
      <c r="K801" t="s">
        <v>52</v>
      </c>
      <c r="L801" s="2">
        <v>2</v>
      </c>
      <c r="M801" s="2">
        <v>2</v>
      </c>
      <c r="N801" s="2">
        <v>1</v>
      </c>
      <c r="O801" s="2">
        <v>1</v>
      </c>
      <c r="P801" s="2">
        <v>1</v>
      </c>
      <c r="Q801" s="2">
        <v>0.5</v>
      </c>
      <c r="R801" s="2">
        <v>1</v>
      </c>
      <c r="S801" s="2">
        <v>1</v>
      </c>
      <c r="T801" s="2">
        <v>2</v>
      </c>
      <c r="U801" s="2">
        <v>1</v>
      </c>
      <c r="V801" s="2">
        <v>1</v>
      </c>
      <c r="W801" s="2">
        <v>1</v>
      </c>
      <c r="X801" s="2">
        <v>1</v>
      </c>
      <c r="Y801" s="2">
        <v>1</v>
      </c>
      <c r="Z801" s="2">
        <v>0.5</v>
      </c>
      <c r="AA801" s="2">
        <v>1</v>
      </c>
      <c r="AB801" s="2">
        <v>1</v>
      </c>
      <c r="AC801" s="2">
        <v>1</v>
      </c>
      <c r="AD801" s="2">
        <v>107</v>
      </c>
      <c r="AE801" s="2">
        <v>30720</v>
      </c>
      <c r="AF801" s="2">
        <v>0</v>
      </c>
      <c r="AG801" s="2">
        <v>600</v>
      </c>
      <c r="AH801" s="2">
        <v>3</v>
      </c>
      <c r="AI801" s="2">
        <v>101</v>
      </c>
      <c r="AJ801" s="1">
        <v>1250000</v>
      </c>
      <c r="AK801" s="1">
        <v>2.4</v>
      </c>
      <c r="AL801" s="1">
        <v>97</v>
      </c>
      <c r="AM801" s="2" t="s">
        <v>52</v>
      </c>
      <c r="AN801" s="2" t="str">
        <f t="shared" si="12"/>
        <v/>
      </c>
      <c r="AO801" s="3">
        <v>800</v>
      </c>
      <c r="AP801" s="3">
        <v>127</v>
      </c>
      <c r="AQ801" s="3">
        <v>89</v>
      </c>
      <c r="AR801" s="3">
        <v>79</v>
      </c>
      <c r="AS801" s="1">
        <v>230</v>
      </c>
      <c r="AT801" s="3">
        <v>7</v>
      </c>
      <c r="AU801" s="3" t="s">
        <v>3052</v>
      </c>
    </row>
    <row r="802" spans="1:47" x14ac:dyDescent="0.3">
      <c r="A802" s="1" t="s">
        <v>2245</v>
      </c>
      <c r="B802" s="1" t="s">
        <v>2244</v>
      </c>
      <c r="C802" s="1" t="s">
        <v>263</v>
      </c>
      <c r="D802" s="1" t="s">
        <v>141</v>
      </c>
      <c r="E802" s="1" t="s">
        <v>2243</v>
      </c>
      <c r="F802" t="s">
        <v>3112</v>
      </c>
      <c r="G802" t="s">
        <v>52</v>
      </c>
      <c r="H802" t="s">
        <v>52</v>
      </c>
      <c r="I802" t="s">
        <v>52</v>
      </c>
      <c r="J802" t="s">
        <v>52</v>
      </c>
      <c r="K802" t="s">
        <v>52</v>
      </c>
      <c r="L802" s="2">
        <v>0.25</v>
      </c>
      <c r="M802" s="2">
        <v>0.5</v>
      </c>
      <c r="N802" s="2">
        <v>0</v>
      </c>
      <c r="O802" s="2">
        <v>1</v>
      </c>
      <c r="P802" s="2">
        <v>0.5</v>
      </c>
      <c r="Q802" s="2">
        <v>1</v>
      </c>
      <c r="R802" s="2">
        <v>2</v>
      </c>
      <c r="S802" s="2">
        <v>0.5</v>
      </c>
      <c r="T802" s="2">
        <v>1</v>
      </c>
      <c r="U802" s="2">
        <v>0.5</v>
      </c>
      <c r="V802" s="2">
        <v>2</v>
      </c>
      <c r="W802" s="2">
        <v>0.5</v>
      </c>
      <c r="X802" s="2">
        <v>0.5</v>
      </c>
      <c r="Y802" s="2">
        <v>0</v>
      </c>
      <c r="Z802" s="2">
        <v>0.5</v>
      </c>
      <c r="AA802" s="2">
        <v>0.5</v>
      </c>
      <c r="AB802" s="2">
        <v>1</v>
      </c>
      <c r="AC802" s="2">
        <v>1</v>
      </c>
      <c r="AD802" s="2">
        <v>95</v>
      </c>
      <c r="AE802" s="2">
        <v>30720</v>
      </c>
      <c r="AF802" s="2">
        <v>0</v>
      </c>
      <c r="AG802" s="2">
        <v>600</v>
      </c>
      <c r="AH802" s="2">
        <v>3</v>
      </c>
      <c r="AI802" s="2">
        <v>115</v>
      </c>
      <c r="AJ802" s="1">
        <v>1250000</v>
      </c>
      <c r="AK802" s="1">
        <v>1</v>
      </c>
      <c r="AL802" s="1">
        <v>80</v>
      </c>
      <c r="AM802" s="2" t="s">
        <v>52</v>
      </c>
      <c r="AN802" s="2" t="str">
        <f t="shared" si="12"/>
        <v/>
      </c>
      <c r="AO802" s="3">
        <v>801</v>
      </c>
      <c r="AP802" s="3">
        <v>130</v>
      </c>
      <c r="AQ802" s="3">
        <v>115</v>
      </c>
      <c r="AR802" s="3">
        <v>65</v>
      </c>
      <c r="AS802" s="1">
        <v>80.5</v>
      </c>
      <c r="AT802" s="3">
        <v>7</v>
      </c>
      <c r="AU802" s="3" t="s">
        <v>3052</v>
      </c>
    </row>
  </sheetData>
  <pageMargins left="0.7" right="0.7" top="0.75" bottom="0.75" header="0.3" footer="0.3"/>
  <tableParts count="1">
    <tablePart r:id="rId1"/>
  </tableParts>
</worksheet>
</file>

<file path=xl/worksheets/sheet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1B79F735-C2B9-407C-979D-B5F5258E7F77}">
  <dimension ref="A2:J21"/>
  <sheetViews>
    <sheetView workbookViewId="0">
      <selection activeCell="D2" sqref="D2"/>
    </sheetView>
  </sheetViews>
  <sheetFormatPr defaultRowHeight="14.4" x14ac:dyDescent="0.3"/>
  <cols>
    <col min="1" max="1" width="12.44140625" bestFit="1" customWidth="1"/>
    <col min="2" max="3" width="12.77734375" bestFit="1" customWidth="1"/>
    <col min="4" max="4" width="12.44140625" bestFit="1" customWidth="1"/>
    <col min="5" max="5" width="12.77734375" bestFit="1" customWidth="1"/>
    <col min="6" max="6" width="14.6640625" bestFit="1" customWidth="1"/>
    <col min="7" max="7" width="12.44140625" bestFit="1" customWidth="1"/>
    <col min="8" max="8" width="15" bestFit="1" customWidth="1"/>
    <col min="9" max="9" width="16.44140625" bestFit="1" customWidth="1"/>
    <col min="10" max="10" width="15.21875" bestFit="1" customWidth="1"/>
    <col min="11" max="12" width="18.21875" bestFit="1" customWidth="1"/>
    <col min="13" max="13" width="14.33203125" bestFit="1" customWidth="1"/>
    <col min="14" max="14" width="18.44140625" bestFit="1" customWidth="1"/>
    <col min="15" max="15" width="16.44140625" bestFit="1" customWidth="1"/>
    <col min="16" max="16" width="18.6640625" bestFit="1" customWidth="1"/>
    <col min="17" max="18" width="17.21875" bestFit="1" customWidth="1"/>
    <col min="19" max="19" width="12.88671875" bestFit="1" customWidth="1"/>
    <col min="20" max="20" width="14.6640625" bestFit="1" customWidth="1"/>
    <col min="21" max="21" width="18.44140625" bestFit="1" customWidth="1"/>
    <col min="22" max="22" width="16.44140625" bestFit="1" customWidth="1"/>
    <col min="23" max="23" width="15.5546875" bestFit="1" customWidth="1"/>
    <col min="24" max="24" width="16.88671875" bestFit="1" customWidth="1"/>
    <col min="25" max="25" width="12.33203125" bestFit="1" customWidth="1"/>
    <col min="26" max="26" width="16" bestFit="1" customWidth="1"/>
    <col min="27" max="27" width="18.109375" bestFit="1" customWidth="1"/>
    <col min="28" max="28" width="15.44140625" bestFit="1" customWidth="1"/>
    <col min="29" max="29" width="16.5546875" bestFit="1" customWidth="1"/>
    <col min="30" max="30" width="14.88671875" bestFit="1" customWidth="1"/>
    <col min="31" max="31" width="19.44140625" bestFit="1" customWidth="1"/>
    <col min="32" max="32" width="11.88671875" bestFit="1" customWidth="1"/>
    <col min="33" max="33" width="15.21875" bestFit="1" customWidth="1"/>
    <col min="34" max="34" width="13.33203125" bestFit="1" customWidth="1"/>
    <col min="35" max="35" width="14.88671875" bestFit="1" customWidth="1"/>
    <col min="36" max="36" width="15.33203125" bestFit="1" customWidth="1"/>
    <col min="37" max="37" width="15.109375" bestFit="1" customWidth="1"/>
    <col min="38" max="38" width="15.77734375" bestFit="1" customWidth="1"/>
    <col min="39" max="39" width="12.33203125" bestFit="1" customWidth="1"/>
    <col min="40" max="40" width="16" bestFit="1" customWidth="1"/>
    <col min="41" max="41" width="16.44140625" bestFit="1" customWidth="1"/>
    <col min="42" max="42" width="16.109375" bestFit="1" customWidth="1"/>
    <col min="43" max="43" width="15.109375" bestFit="1" customWidth="1"/>
    <col min="44" max="44" width="16.77734375" bestFit="1" customWidth="1"/>
    <col min="45" max="45" width="19.33203125" bestFit="1" customWidth="1"/>
    <col min="46" max="46" width="12.5546875" bestFit="1" customWidth="1"/>
    <col min="47" max="47" width="12.44140625" bestFit="1" customWidth="1"/>
    <col min="48" max="48" width="15.21875" bestFit="1" customWidth="1"/>
    <col min="49" max="49" width="14" bestFit="1" customWidth="1"/>
    <col min="50" max="50" width="18.44140625" bestFit="1" customWidth="1"/>
    <col min="51" max="51" width="13.44140625" bestFit="1" customWidth="1"/>
    <col min="52" max="52" width="18.6640625" bestFit="1" customWidth="1"/>
    <col min="53" max="53" width="13.77734375" bestFit="1" customWidth="1"/>
    <col min="54" max="54" width="15.21875" bestFit="1" customWidth="1"/>
    <col min="55" max="55" width="14.21875" bestFit="1" customWidth="1"/>
    <col min="56" max="56" width="20.21875" bestFit="1" customWidth="1"/>
    <col min="57" max="57" width="16.33203125" bestFit="1" customWidth="1"/>
    <col min="58" max="58" width="18" bestFit="1" customWidth="1"/>
    <col min="59" max="59" width="19.6640625" bestFit="1" customWidth="1"/>
    <col min="60" max="60" width="19.77734375" bestFit="1" customWidth="1"/>
    <col min="61" max="61" width="14.77734375" bestFit="1" customWidth="1"/>
    <col min="62" max="62" width="15.33203125" bestFit="1" customWidth="1"/>
    <col min="63" max="63" width="17" bestFit="1" customWidth="1"/>
    <col min="64" max="64" width="16.109375" bestFit="1" customWidth="1"/>
    <col min="65" max="65" width="14.6640625" bestFit="1" customWidth="1"/>
    <col min="66" max="66" width="14.109375" bestFit="1" customWidth="1"/>
    <col min="67" max="67" width="18.5546875" bestFit="1" customWidth="1"/>
    <col min="68" max="68" width="14.88671875" bestFit="1" customWidth="1"/>
    <col min="69" max="69" width="14.21875" bestFit="1" customWidth="1"/>
    <col min="70" max="70" width="18.109375" bestFit="1" customWidth="1"/>
    <col min="71" max="71" width="19.109375" bestFit="1" customWidth="1"/>
    <col min="72" max="72" width="17.88671875" bestFit="1" customWidth="1"/>
    <col min="73" max="73" width="12.33203125" bestFit="1" customWidth="1"/>
    <col min="74" max="74" width="19.21875" bestFit="1" customWidth="1"/>
    <col min="75" max="75" width="18.33203125" bestFit="1" customWidth="1"/>
    <col min="76" max="76" width="12.88671875" bestFit="1" customWidth="1"/>
    <col min="77" max="77" width="16.33203125" bestFit="1" customWidth="1"/>
    <col min="78" max="78" width="15" bestFit="1" customWidth="1"/>
    <col min="79" max="79" width="15.109375" bestFit="1" customWidth="1"/>
    <col min="80" max="80" width="15.44140625" bestFit="1" customWidth="1"/>
    <col min="81" max="81" width="16.33203125" bestFit="1" customWidth="1"/>
    <col min="82" max="82" width="14.5546875" bestFit="1" customWidth="1"/>
    <col min="83" max="83" width="17.5546875" bestFit="1" customWidth="1"/>
    <col min="84" max="84" width="13.6640625" bestFit="1" customWidth="1"/>
    <col min="85" max="85" width="15.44140625" bestFit="1" customWidth="1"/>
    <col min="86" max="86" width="13.33203125" bestFit="1" customWidth="1"/>
    <col min="87" max="87" width="15" bestFit="1" customWidth="1"/>
    <col min="88" max="88" width="12.44140625" bestFit="1" customWidth="1"/>
    <col min="89" max="89" width="18" bestFit="1" customWidth="1"/>
    <col min="90" max="90" width="16.44140625" bestFit="1" customWidth="1"/>
    <col min="91" max="91" width="16.5546875" bestFit="1" customWidth="1"/>
    <col min="92" max="92" width="14.6640625" bestFit="1" customWidth="1"/>
    <col min="93" max="93" width="14" bestFit="1" customWidth="1"/>
    <col min="94" max="94" width="13.109375" bestFit="1" customWidth="1"/>
    <col min="95" max="95" width="14.77734375" bestFit="1" customWidth="1"/>
    <col min="96" max="96" width="17.77734375" bestFit="1" customWidth="1"/>
    <col min="97" max="97" width="17.33203125" bestFit="1" customWidth="1"/>
    <col min="98" max="98" width="13.109375" bestFit="1" customWidth="1"/>
    <col min="99" max="99" width="18" bestFit="1" customWidth="1"/>
    <col min="100" max="100" width="16.5546875" bestFit="1" customWidth="1"/>
    <col min="101" max="101" width="18.21875" bestFit="1" customWidth="1"/>
    <col min="102" max="102" width="12.88671875" bestFit="1" customWidth="1"/>
    <col min="103" max="103" width="14.21875" bestFit="1" customWidth="1"/>
    <col min="104" max="104" width="16.109375" bestFit="1" customWidth="1"/>
    <col min="105" max="105" width="15.44140625" bestFit="1" customWidth="1"/>
    <col min="106" max="106" width="14.109375" bestFit="1" customWidth="1"/>
    <col min="107" max="107" width="17.77734375" bestFit="1" customWidth="1"/>
    <col min="108" max="108" width="18.6640625" bestFit="1" customWidth="1"/>
    <col min="109" max="109" width="16.33203125" bestFit="1" customWidth="1"/>
    <col min="110" max="110" width="12.5546875" bestFit="1" customWidth="1"/>
    <col min="111" max="111" width="17" bestFit="1" customWidth="1"/>
    <col min="112" max="112" width="19.88671875" bestFit="1" customWidth="1"/>
    <col min="113" max="113" width="18" bestFit="1" customWidth="1"/>
    <col min="114" max="114" width="17.44140625" bestFit="1" customWidth="1"/>
    <col min="115" max="115" width="13.6640625" bestFit="1" customWidth="1"/>
    <col min="116" max="116" width="18.6640625" bestFit="1" customWidth="1"/>
    <col min="117" max="117" width="20.44140625" bestFit="1" customWidth="1"/>
    <col min="118" max="118" width="18.44140625" bestFit="1" customWidth="1"/>
    <col min="119" max="119" width="19.33203125" bestFit="1" customWidth="1"/>
    <col min="120" max="120" width="16.21875" bestFit="1" customWidth="1"/>
    <col min="121" max="121" width="15.33203125" bestFit="1" customWidth="1"/>
    <col min="122" max="122" width="13.6640625" bestFit="1" customWidth="1"/>
    <col min="123" max="123" width="19.6640625" bestFit="1" customWidth="1"/>
    <col min="124" max="124" width="17.5546875" bestFit="1" customWidth="1"/>
    <col min="125" max="126" width="15.88671875" bestFit="1" customWidth="1"/>
    <col min="127" max="127" width="13.109375" bestFit="1" customWidth="1"/>
    <col min="128" max="128" width="16.88671875" bestFit="1" customWidth="1"/>
    <col min="129" max="130" width="16.5546875" bestFit="1" customWidth="1"/>
    <col min="131" max="131" width="18.6640625" bestFit="1" customWidth="1"/>
    <col min="132" max="132" width="17" bestFit="1" customWidth="1"/>
    <col min="133" max="133" width="16" bestFit="1" customWidth="1"/>
    <col min="134" max="134" width="19" bestFit="1" customWidth="1"/>
    <col min="135" max="135" width="15.109375" bestFit="1" customWidth="1"/>
    <col min="136" max="136" width="19" bestFit="1" customWidth="1"/>
    <col min="137" max="137" width="15.77734375" bestFit="1" customWidth="1"/>
    <col min="138" max="138" width="16.88671875" bestFit="1" customWidth="1"/>
    <col min="139" max="139" width="15.21875" bestFit="1" customWidth="1"/>
    <col min="140" max="140" width="16.109375" bestFit="1" customWidth="1"/>
    <col min="141" max="141" width="17.5546875" bestFit="1" customWidth="1"/>
    <col min="142" max="142" width="17.77734375" bestFit="1" customWidth="1"/>
    <col min="143" max="143" width="16.21875" bestFit="1" customWidth="1"/>
    <col min="144" max="144" width="14.33203125" bestFit="1" customWidth="1"/>
    <col min="145" max="145" width="12.77734375" bestFit="1" customWidth="1"/>
    <col min="146" max="146" width="15.33203125" bestFit="1" customWidth="1"/>
    <col min="147" max="147" width="14.44140625" bestFit="1" customWidth="1"/>
    <col min="148" max="148" width="18.6640625" bestFit="1" customWidth="1"/>
    <col min="149" max="149" width="15" bestFit="1" customWidth="1"/>
    <col min="150" max="150" width="20.109375" bestFit="1" customWidth="1"/>
    <col min="151" max="151" width="19.5546875" bestFit="1" customWidth="1"/>
    <col min="152" max="152" width="12.6640625" bestFit="1" customWidth="1"/>
    <col min="153" max="153" width="16.77734375" bestFit="1" customWidth="1"/>
    <col min="154" max="154" width="13.44140625" bestFit="1" customWidth="1"/>
    <col min="155" max="155" width="14.33203125" bestFit="1" customWidth="1"/>
    <col min="156" max="156" width="11.88671875" bestFit="1" customWidth="1"/>
    <col min="157" max="157" width="17.5546875" bestFit="1" customWidth="1"/>
    <col min="158" max="158" width="15.6640625" bestFit="1" customWidth="1"/>
    <col min="159" max="159" width="18" bestFit="1" customWidth="1"/>
    <col min="160" max="160" width="15.21875" bestFit="1" customWidth="1"/>
    <col min="161" max="161" width="17.44140625" bestFit="1" customWidth="1"/>
    <col min="162" max="162" width="18.5546875" bestFit="1" customWidth="1"/>
    <col min="163" max="163" width="18.21875" bestFit="1" customWidth="1"/>
    <col min="164" max="164" width="14.6640625" bestFit="1" customWidth="1"/>
    <col min="165" max="165" width="16.6640625" bestFit="1" customWidth="1"/>
    <col min="166" max="166" width="16.109375" bestFit="1" customWidth="1"/>
    <col min="167" max="167" width="16.33203125" bestFit="1" customWidth="1"/>
    <col min="168" max="168" width="18.109375" bestFit="1" customWidth="1"/>
    <col min="169" max="169" width="12.109375" bestFit="1" customWidth="1"/>
    <col min="170" max="170" width="16.21875" bestFit="1" customWidth="1"/>
    <col min="171" max="171" width="16.88671875" bestFit="1" customWidth="1"/>
    <col min="172" max="172" width="15.33203125" bestFit="1" customWidth="1"/>
    <col min="173" max="173" width="13.21875" bestFit="1" customWidth="1"/>
    <col min="174" max="174" width="13.33203125" bestFit="1" customWidth="1"/>
    <col min="175" max="175" width="18.44140625" bestFit="1" customWidth="1"/>
    <col min="176" max="176" width="18.6640625" bestFit="1" customWidth="1"/>
    <col min="177" max="177" width="15.21875" bestFit="1" customWidth="1"/>
    <col min="178" max="178" width="15.6640625" bestFit="1" customWidth="1"/>
    <col min="179" max="179" width="17.77734375" bestFit="1" customWidth="1"/>
    <col min="180" max="180" width="18.21875" bestFit="1" customWidth="1"/>
    <col min="181" max="181" width="15.33203125" bestFit="1" customWidth="1"/>
    <col min="182" max="182" width="14.44140625" bestFit="1" customWidth="1"/>
    <col min="183" max="183" width="16.77734375" bestFit="1" customWidth="1"/>
    <col min="184" max="184" width="12.5546875" bestFit="1" customWidth="1"/>
    <col min="185" max="185" width="16.44140625" bestFit="1" customWidth="1"/>
    <col min="186" max="186" width="15.88671875" bestFit="1" customWidth="1"/>
    <col min="187" max="187" width="15.33203125" bestFit="1" customWidth="1"/>
    <col min="188" max="188" width="14.44140625" bestFit="1" customWidth="1"/>
    <col min="189" max="189" width="13.6640625" bestFit="1" customWidth="1"/>
    <col min="190" max="190" width="19.109375" bestFit="1" customWidth="1"/>
    <col min="191" max="191" width="15.88671875" bestFit="1" customWidth="1"/>
    <col min="192" max="192" width="14.77734375" bestFit="1" customWidth="1"/>
    <col min="193" max="193" width="17.33203125" bestFit="1" customWidth="1"/>
    <col min="194" max="194" width="18.109375" bestFit="1" customWidth="1"/>
    <col min="195" max="195" width="19" bestFit="1" customWidth="1"/>
    <col min="196" max="196" width="17.88671875" bestFit="1" customWidth="1"/>
    <col min="197" max="197" width="14.44140625" bestFit="1" customWidth="1"/>
    <col min="198" max="198" width="19" bestFit="1" customWidth="1"/>
    <col min="199" max="199" width="14.109375" bestFit="1" customWidth="1"/>
    <col min="200" max="200" width="12" bestFit="1" customWidth="1"/>
    <col min="201" max="201" width="17.5546875" bestFit="1" customWidth="1"/>
    <col min="202" max="202" width="14.77734375" bestFit="1" customWidth="1"/>
    <col min="203" max="203" width="16.21875" bestFit="1" customWidth="1"/>
    <col min="204" max="204" width="18.6640625" bestFit="1" customWidth="1"/>
    <col min="205" max="205" width="12.6640625" bestFit="1" customWidth="1"/>
    <col min="206" max="206" width="19.5546875" bestFit="1" customWidth="1"/>
    <col min="207" max="207" width="13.109375" bestFit="1" customWidth="1"/>
    <col min="208" max="208" width="15.33203125" bestFit="1" customWidth="1"/>
    <col min="209" max="209" width="12.33203125" bestFit="1" customWidth="1"/>
    <col min="210" max="210" width="13.21875" bestFit="1" customWidth="1"/>
    <col min="211" max="211" width="17.6640625" bestFit="1" customWidth="1"/>
    <col min="212" max="212" width="15.77734375" bestFit="1" customWidth="1"/>
    <col min="213" max="213" width="15" bestFit="1" customWidth="1"/>
    <col min="214" max="214" width="19" bestFit="1" customWidth="1"/>
    <col min="215" max="215" width="15.88671875" bestFit="1" customWidth="1"/>
    <col min="216" max="216" width="19.44140625" bestFit="1" customWidth="1"/>
    <col min="217" max="217" width="16.21875" bestFit="1" customWidth="1"/>
    <col min="218" max="218" width="20.77734375" bestFit="1" customWidth="1"/>
    <col min="219" max="219" width="18.44140625" bestFit="1" customWidth="1"/>
    <col min="220" max="220" width="19.5546875" bestFit="1" customWidth="1"/>
    <col min="221" max="221" width="17.77734375" bestFit="1" customWidth="1"/>
    <col min="222" max="222" width="17.33203125" bestFit="1" customWidth="1"/>
    <col min="223" max="223" width="15.6640625" bestFit="1" customWidth="1"/>
    <col min="224" max="224" width="14.109375" bestFit="1" customWidth="1"/>
    <col min="225" max="225" width="13.109375" bestFit="1" customWidth="1"/>
    <col min="226" max="226" width="13.6640625" bestFit="1" customWidth="1"/>
    <col min="227" max="227" width="18.44140625" bestFit="1" customWidth="1"/>
    <col min="228" max="228" width="18.21875" bestFit="1" customWidth="1"/>
    <col min="229" max="229" width="18.44140625" bestFit="1" customWidth="1"/>
    <col min="230" max="230" width="18" bestFit="1" customWidth="1"/>
    <col min="231" max="231" width="17.5546875" bestFit="1" customWidth="1"/>
    <col min="232" max="232" width="15.6640625" bestFit="1" customWidth="1"/>
    <col min="233" max="233" width="19.88671875" bestFit="1" customWidth="1"/>
    <col min="234" max="234" width="13.109375" bestFit="1" customWidth="1"/>
    <col min="235" max="235" width="13.33203125" bestFit="1" customWidth="1"/>
    <col min="236" max="236" width="19.5546875" bestFit="1" customWidth="1"/>
    <col min="237" max="237" width="18.33203125" bestFit="1" customWidth="1"/>
    <col min="238" max="238" width="18.109375" bestFit="1" customWidth="1"/>
    <col min="239" max="239" width="14.33203125" bestFit="1" customWidth="1"/>
    <col min="240" max="240" width="16.88671875" bestFit="1" customWidth="1"/>
    <col min="241" max="241" width="15.21875" bestFit="1" customWidth="1"/>
    <col min="242" max="242" width="16.6640625" bestFit="1" customWidth="1"/>
    <col min="243" max="243" width="20.33203125" bestFit="1" customWidth="1"/>
    <col min="244" max="244" width="17.44140625" bestFit="1" customWidth="1"/>
    <col min="245" max="246" width="16.88671875" bestFit="1" customWidth="1"/>
    <col min="247" max="247" width="17.44140625" bestFit="1" customWidth="1"/>
    <col min="248" max="248" width="15.44140625" bestFit="1" customWidth="1"/>
    <col min="249" max="249" width="16.44140625" bestFit="1" customWidth="1"/>
    <col min="250" max="250" width="19.33203125" bestFit="1" customWidth="1"/>
    <col min="251" max="251" width="18.6640625" bestFit="1" customWidth="1"/>
    <col min="252" max="252" width="16.88671875" bestFit="1" customWidth="1"/>
    <col min="253" max="253" width="14.33203125" bestFit="1" customWidth="1"/>
    <col min="254" max="254" width="19.21875" bestFit="1" customWidth="1"/>
    <col min="255" max="255" width="19.6640625" bestFit="1" customWidth="1"/>
    <col min="256" max="256" width="13.109375" bestFit="1" customWidth="1"/>
    <col min="257" max="257" width="15.5546875" bestFit="1" customWidth="1"/>
    <col min="258" max="258" width="18" bestFit="1" customWidth="1"/>
    <col min="259" max="259" width="16" bestFit="1" customWidth="1"/>
    <col min="260" max="260" width="16.88671875" bestFit="1" customWidth="1"/>
    <col min="261" max="261" width="15.5546875" bestFit="1" customWidth="1"/>
    <col min="262" max="262" width="12.33203125" bestFit="1" customWidth="1"/>
    <col min="263" max="263" width="18" bestFit="1" customWidth="1"/>
    <col min="264" max="264" width="16.109375" bestFit="1" customWidth="1"/>
    <col min="265" max="265" width="15.88671875" bestFit="1" customWidth="1"/>
    <col min="266" max="266" width="11.44140625" bestFit="1" customWidth="1"/>
    <col min="267" max="267" width="13.77734375" bestFit="1" customWidth="1"/>
    <col min="268" max="268" width="12.77734375" bestFit="1" customWidth="1"/>
    <col min="269" max="269" width="15.109375" bestFit="1" customWidth="1"/>
    <col min="270" max="270" width="12.88671875" bestFit="1" customWidth="1"/>
    <col min="271" max="271" width="17" bestFit="1" customWidth="1"/>
    <col min="272" max="272" width="14.6640625" bestFit="1" customWidth="1"/>
    <col min="273" max="273" width="16.109375" bestFit="1" customWidth="1"/>
    <col min="274" max="274" width="15.33203125" bestFit="1" customWidth="1"/>
    <col min="275" max="275" width="12.5546875" bestFit="1" customWidth="1"/>
    <col min="276" max="276" width="12.44140625" bestFit="1" customWidth="1"/>
    <col min="277" max="277" width="14.21875" bestFit="1" customWidth="1"/>
    <col min="278" max="278" width="18.33203125" bestFit="1" customWidth="1"/>
    <col min="279" max="279" width="13.88671875" bestFit="1" customWidth="1"/>
    <col min="280" max="280" width="18.44140625" bestFit="1" customWidth="1"/>
    <col min="281" max="281" width="18.77734375" bestFit="1" customWidth="1"/>
    <col min="282" max="282" width="18.33203125" bestFit="1" customWidth="1"/>
    <col min="283" max="283" width="13.6640625" bestFit="1" customWidth="1"/>
    <col min="284" max="284" width="15.109375" bestFit="1" customWidth="1"/>
    <col min="285" max="285" width="18.33203125" bestFit="1" customWidth="1"/>
    <col min="286" max="286" width="12.88671875" bestFit="1" customWidth="1"/>
    <col min="287" max="287" width="12.77734375" bestFit="1" customWidth="1"/>
    <col min="288" max="288" width="12.5546875" bestFit="1" customWidth="1"/>
    <col min="289" max="289" width="21.109375" bestFit="1" customWidth="1"/>
    <col min="290" max="290" width="17.77734375" bestFit="1" customWidth="1"/>
    <col min="291" max="291" width="15.109375" bestFit="1" customWidth="1"/>
    <col min="292" max="292" width="12.109375" bestFit="1" customWidth="1"/>
    <col min="293" max="293" width="13.21875" bestFit="1" customWidth="1"/>
    <col min="294" max="294" width="16.6640625" bestFit="1" customWidth="1"/>
    <col min="295" max="295" width="16.33203125" bestFit="1" customWidth="1"/>
    <col min="296" max="296" width="16.109375" bestFit="1" customWidth="1"/>
    <col min="297" max="297" width="17.77734375" bestFit="1" customWidth="1"/>
    <col min="298" max="298" width="17.44140625" bestFit="1" customWidth="1"/>
    <col min="299" max="299" width="16.6640625" bestFit="1" customWidth="1"/>
    <col min="300" max="300" width="14.33203125" bestFit="1" customWidth="1"/>
    <col min="301" max="301" width="16.44140625" bestFit="1" customWidth="1"/>
    <col min="302" max="302" width="14.5546875" bestFit="1" customWidth="1"/>
    <col min="303" max="303" width="17.5546875" bestFit="1" customWidth="1"/>
    <col min="304" max="304" width="16.109375" bestFit="1" customWidth="1"/>
    <col min="305" max="305" width="17.77734375" bestFit="1" customWidth="1"/>
    <col min="306" max="306" width="17.6640625" bestFit="1" customWidth="1"/>
    <col min="307" max="307" width="16.33203125" bestFit="1" customWidth="1"/>
    <col min="308" max="308" width="17" bestFit="1" customWidth="1"/>
    <col min="309" max="309" width="15.77734375" bestFit="1" customWidth="1"/>
    <col min="310" max="310" width="18.44140625" bestFit="1" customWidth="1"/>
    <col min="311" max="311" width="17" bestFit="1" customWidth="1"/>
    <col min="312" max="312" width="13.77734375" bestFit="1" customWidth="1"/>
    <col min="313" max="313" width="14.21875" bestFit="1" customWidth="1"/>
    <col min="314" max="314" width="13.6640625" bestFit="1" customWidth="1"/>
    <col min="315" max="315" width="15.6640625" bestFit="1" customWidth="1"/>
    <col min="316" max="316" width="19.44140625" bestFit="1" customWidth="1"/>
    <col min="317" max="317" width="15.21875" bestFit="1" customWidth="1"/>
    <col min="318" max="318" width="18.6640625" bestFit="1" customWidth="1"/>
    <col min="319" max="319" width="14.77734375" bestFit="1" customWidth="1"/>
    <col min="320" max="320" width="14.88671875" bestFit="1" customWidth="1"/>
    <col min="321" max="321" width="18.33203125" bestFit="1" customWidth="1"/>
    <col min="322" max="322" width="18.88671875" bestFit="1" customWidth="1"/>
    <col min="323" max="323" width="16.6640625" bestFit="1" customWidth="1"/>
    <col min="324" max="324" width="20.109375" bestFit="1" customWidth="1"/>
    <col min="325" max="325" width="17.88671875" bestFit="1" customWidth="1"/>
    <col min="326" max="326" width="16.21875" bestFit="1" customWidth="1"/>
    <col min="327" max="327" width="15.21875" bestFit="1" customWidth="1"/>
    <col min="328" max="328" width="16.77734375" bestFit="1" customWidth="1"/>
    <col min="329" max="329" width="15" bestFit="1" customWidth="1"/>
    <col min="330" max="330" width="17.33203125" bestFit="1" customWidth="1"/>
    <col min="331" max="331" width="16.6640625" bestFit="1" customWidth="1"/>
    <col min="332" max="332" width="13.88671875" bestFit="1" customWidth="1"/>
    <col min="333" max="333" width="48.77734375" bestFit="1" customWidth="1"/>
    <col min="334" max="334" width="15.21875" bestFit="1" customWidth="1"/>
    <col min="335" max="335" width="17.88671875" bestFit="1" customWidth="1"/>
    <col min="336" max="336" width="13.33203125" bestFit="1" customWidth="1"/>
    <col min="337" max="337" width="13.21875" bestFit="1" customWidth="1"/>
    <col min="338" max="338" width="14.6640625" bestFit="1" customWidth="1"/>
    <col min="339" max="339" width="17.44140625" bestFit="1" customWidth="1"/>
    <col min="340" max="340" width="13.33203125" bestFit="1" customWidth="1"/>
    <col min="341" max="341" width="14.33203125" bestFit="1" customWidth="1"/>
    <col min="342" max="342" width="14.5546875" bestFit="1" customWidth="1"/>
    <col min="343" max="343" width="16.5546875" bestFit="1" customWidth="1"/>
    <col min="344" max="344" width="18.5546875" bestFit="1" customWidth="1"/>
    <col min="345" max="345" width="16.77734375" bestFit="1" customWidth="1"/>
    <col min="346" max="346" width="18" bestFit="1" customWidth="1"/>
    <col min="347" max="347" width="18.5546875" bestFit="1" customWidth="1"/>
    <col min="348" max="348" width="18.33203125" bestFit="1" customWidth="1"/>
    <col min="349" max="349" width="14.6640625" bestFit="1" customWidth="1"/>
    <col min="350" max="350" width="15.21875" bestFit="1" customWidth="1"/>
    <col min="351" max="351" width="13.5546875" bestFit="1" customWidth="1"/>
    <col min="352" max="352" width="20" bestFit="1" customWidth="1"/>
    <col min="353" max="353" width="13.6640625" bestFit="1" customWidth="1"/>
    <col min="354" max="354" width="14.33203125" bestFit="1" customWidth="1"/>
    <col min="355" max="355" width="17" bestFit="1" customWidth="1"/>
    <col min="356" max="356" width="19.109375" bestFit="1" customWidth="1"/>
    <col min="357" max="357" width="18.44140625" bestFit="1" customWidth="1"/>
    <col min="358" max="358" width="18.77734375" bestFit="1" customWidth="1"/>
    <col min="359" max="359" width="14" bestFit="1" customWidth="1"/>
    <col min="360" max="360" width="12.109375" bestFit="1" customWidth="1"/>
    <col min="361" max="361" width="19" bestFit="1" customWidth="1"/>
    <col min="362" max="362" width="12.33203125" bestFit="1" customWidth="1"/>
    <col min="363" max="363" width="15.21875" bestFit="1" customWidth="1"/>
    <col min="364" max="364" width="17.44140625" bestFit="1" customWidth="1"/>
    <col min="365" max="365" width="16.109375" bestFit="1" customWidth="1"/>
    <col min="366" max="366" width="14.6640625" bestFit="1" customWidth="1"/>
    <col min="367" max="367" width="15.21875" bestFit="1" customWidth="1"/>
    <col min="368" max="368" width="15.77734375" bestFit="1" customWidth="1"/>
    <col min="369" max="369" width="16.21875" bestFit="1" customWidth="1"/>
    <col min="370" max="370" width="18.5546875" bestFit="1" customWidth="1"/>
    <col min="371" max="371" width="11.6640625" bestFit="1" customWidth="1"/>
    <col min="372" max="372" width="14.5546875" bestFit="1" customWidth="1"/>
    <col min="373" max="373" width="19" bestFit="1" customWidth="1"/>
    <col min="374" max="374" width="14.5546875" bestFit="1" customWidth="1"/>
    <col min="375" max="375" width="15.44140625" bestFit="1" customWidth="1"/>
    <col min="376" max="376" width="13.5546875" bestFit="1" customWidth="1"/>
    <col min="377" max="377" width="14.88671875" bestFit="1" customWidth="1"/>
    <col min="378" max="378" width="17.77734375" bestFit="1" customWidth="1"/>
    <col min="379" max="379" width="20.44140625" bestFit="1" customWidth="1"/>
    <col min="380" max="380" width="18.21875" bestFit="1" customWidth="1"/>
    <col min="381" max="381" width="18.33203125" bestFit="1" customWidth="1"/>
    <col min="382" max="382" width="18.44140625" bestFit="1" customWidth="1"/>
    <col min="383" max="383" width="19.33203125" bestFit="1" customWidth="1"/>
    <col min="384" max="384" width="17.88671875" bestFit="1" customWidth="1"/>
    <col min="385" max="385" width="17.21875" bestFit="1" customWidth="1"/>
    <col min="386" max="386" width="19.33203125" bestFit="1" customWidth="1"/>
    <col min="387" max="387" width="15" bestFit="1" customWidth="1"/>
    <col min="388" max="388" width="16.21875" bestFit="1" customWidth="1"/>
    <col min="389" max="389" width="18.88671875" bestFit="1" customWidth="1"/>
    <col min="390" max="390" width="16.44140625" bestFit="1" customWidth="1"/>
    <col min="391" max="391" width="13.21875" bestFit="1" customWidth="1"/>
    <col min="392" max="392" width="14.109375" bestFit="1" customWidth="1"/>
    <col min="393" max="393" width="16.88671875" bestFit="1" customWidth="1"/>
    <col min="394" max="394" width="18.33203125" bestFit="1" customWidth="1"/>
    <col min="395" max="395" width="14.109375" bestFit="1" customWidth="1"/>
    <col min="396" max="396" width="11.6640625" bestFit="1" customWidth="1"/>
    <col min="397" max="397" width="16.6640625" bestFit="1" customWidth="1"/>
    <col min="398" max="398" width="16.77734375" bestFit="1" customWidth="1"/>
    <col min="399" max="399" width="15.21875" bestFit="1" customWidth="1"/>
    <col min="400" max="400" width="14.44140625" bestFit="1" customWidth="1"/>
    <col min="401" max="401" width="14.77734375" bestFit="1" customWidth="1"/>
    <col min="402" max="402" width="16.33203125" bestFit="1" customWidth="1"/>
    <col min="403" max="403" width="13.77734375" bestFit="1" customWidth="1"/>
    <col min="404" max="404" width="19.21875" bestFit="1" customWidth="1"/>
    <col min="405" max="405" width="17.44140625" bestFit="1" customWidth="1"/>
    <col min="406" max="406" width="16.6640625" bestFit="1" customWidth="1"/>
    <col min="407" max="407" width="16.77734375" bestFit="1" customWidth="1"/>
    <col min="408" max="408" width="17.21875" bestFit="1" customWidth="1"/>
    <col min="409" max="409" width="17.88671875" bestFit="1" customWidth="1"/>
    <col min="410" max="410" width="18.21875" bestFit="1" customWidth="1"/>
    <col min="411" max="411" width="16.21875" bestFit="1" customWidth="1"/>
    <col min="412" max="412" width="17.88671875" bestFit="1" customWidth="1"/>
    <col min="413" max="413" width="13.33203125" bestFit="1" customWidth="1"/>
    <col min="414" max="414" width="17.44140625" bestFit="1" customWidth="1"/>
    <col min="415" max="415" width="18.88671875" bestFit="1" customWidth="1"/>
    <col min="416" max="416" width="14.21875" bestFit="1" customWidth="1"/>
    <col min="417" max="417" width="17" bestFit="1" customWidth="1"/>
    <col min="418" max="418" width="17.77734375" bestFit="1" customWidth="1"/>
    <col min="419" max="419" width="13.77734375" bestFit="1" customWidth="1"/>
    <col min="420" max="420" width="19.44140625" bestFit="1" customWidth="1"/>
    <col min="421" max="421" width="15" bestFit="1" customWidth="1"/>
    <col min="422" max="423" width="13.21875" bestFit="1" customWidth="1"/>
    <col min="424" max="424" width="19.21875" bestFit="1" customWidth="1"/>
    <col min="425" max="425" width="18.33203125" bestFit="1" customWidth="1"/>
    <col min="426" max="426" width="15.109375" bestFit="1" customWidth="1"/>
    <col min="427" max="427" width="13.88671875" bestFit="1" customWidth="1"/>
    <col min="428" max="428" width="13.77734375" bestFit="1" customWidth="1"/>
    <col min="429" max="429" width="18.109375" bestFit="1" customWidth="1"/>
    <col min="430" max="430" width="13.5546875" bestFit="1" customWidth="1"/>
    <col min="431" max="431" width="19.109375" bestFit="1" customWidth="1"/>
    <col min="432" max="432" width="17.5546875" bestFit="1" customWidth="1"/>
    <col min="433" max="433" width="16.6640625" bestFit="1" customWidth="1"/>
    <col min="434" max="434" width="14" bestFit="1" customWidth="1"/>
    <col min="435" max="435" width="19" bestFit="1" customWidth="1"/>
    <col min="436" max="436" width="16" bestFit="1" customWidth="1"/>
    <col min="437" max="437" width="15" bestFit="1" customWidth="1"/>
    <col min="438" max="438" width="17.33203125" bestFit="1" customWidth="1"/>
    <col min="439" max="439" width="19.44140625" bestFit="1" customWidth="1"/>
    <col min="440" max="440" width="21.5546875" bestFit="1" customWidth="1"/>
    <col min="441" max="441" width="18.109375" bestFit="1" customWidth="1"/>
    <col min="442" max="442" width="15.5546875" bestFit="1" customWidth="1"/>
    <col min="443" max="443" width="16.109375" bestFit="1" customWidth="1"/>
    <col min="444" max="444" width="17" bestFit="1" customWidth="1"/>
    <col min="445" max="445" width="16.21875" bestFit="1" customWidth="1"/>
    <col min="446" max="446" width="18.88671875" bestFit="1" customWidth="1"/>
    <col min="447" max="447" width="17" bestFit="1" customWidth="1"/>
    <col min="448" max="448" width="15.33203125" bestFit="1" customWidth="1"/>
    <col min="449" max="449" width="15.21875" bestFit="1" customWidth="1"/>
    <col min="450" max="450" width="13.44140625" bestFit="1" customWidth="1"/>
    <col min="451" max="451" width="15.109375" bestFit="1" customWidth="1"/>
    <col min="452" max="452" width="15.77734375" bestFit="1" customWidth="1"/>
    <col min="453" max="453" width="19.33203125" bestFit="1" customWidth="1"/>
    <col min="454" max="454" width="18.6640625" bestFit="1" customWidth="1"/>
    <col min="455" max="455" width="13.44140625" bestFit="1" customWidth="1"/>
    <col min="456" max="456" width="17" bestFit="1" customWidth="1"/>
    <col min="457" max="457" width="16.77734375" bestFit="1" customWidth="1"/>
    <col min="458" max="458" width="16.44140625" bestFit="1" customWidth="1"/>
    <col min="459" max="459" width="14.5546875" bestFit="1" customWidth="1"/>
    <col min="460" max="460" width="19.6640625" bestFit="1" customWidth="1"/>
    <col min="461" max="461" width="20.109375" bestFit="1" customWidth="1"/>
    <col min="462" max="462" width="18.109375" bestFit="1" customWidth="1"/>
    <col min="463" max="463" width="14.33203125" bestFit="1" customWidth="1"/>
    <col min="464" max="464" width="16.33203125" bestFit="1" customWidth="1"/>
    <col min="465" max="465" width="19.33203125" bestFit="1" customWidth="1"/>
    <col min="466" max="466" width="15.5546875" bestFit="1" customWidth="1"/>
    <col min="467" max="467" width="16.44140625" bestFit="1" customWidth="1"/>
    <col min="468" max="468" width="14.88671875" bestFit="1" customWidth="1"/>
    <col min="469" max="469" width="17" bestFit="1" customWidth="1"/>
    <col min="470" max="470" width="13.44140625" bestFit="1" customWidth="1"/>
    <col min="471" max="471" width="14.33203125" bestFit="1" customWidth="1"/>
    <col min="472" max="472" width="17" bestFit="1" customWidth="1"/>
    <col min="473" max="473" width="18.109375" bestFit="1" customWidth="1"/>
    <col min="474" max="474" width="18.6640625" bestFit="1" customWidth="1"/>
    <col min="475" max="475" width="18.21875" bestFit="1" customWidth="1"/>
    <col min="476" max="476" width="15" bestFit="1" customWidth="1"/>
    <col min="477" max="477" width="19.44140625" bestFit="1" customWidth="1"/>
    <col min="478" max="478" width="17.5546875" bestFit="1" customWidth="1"/>
    <col min="479" max="479" width="14.109375" bestFit="1" customWidth="1"/>
    <col min="480" max="480" width="15.21875" bestFit="1" customWidth="1"/>
    <col min="481" max="481" width="17.6640625" bestFit="1" customWidth="1"/>
    <col min="482" max="482" width="14.88671875" bestFit="1" customWidth="1"/>
    <col min="483" max="483" width="17.33203125" bestFit="1" customWidth="1"/>
    <col min="484" max="484" width="19.44140625" bestFit="1" customWidth="1"/>
    <col min="485" max="485" width="14.21875" bestFit="1" customWidth="1"/>
    <col min="486" max="486" width="13.88671875" bestFit="1" customWidth="1"/>
    <col min="487" max="487" width="15.44140625" bestFit="1" customWidth="1"/>
    <col min="488" max="488" width="18.77734375" bestFit="1" customWidth="1"/>
    <col min="489" max="489" width="14" bestFit="1" customWidth="1"/>
    <col min="490" max="490" width="18.6640625" bestFit="1" customWidth="1"/>
    <col min="491" max="491" width="18.33203125" bestFit="1" customWidth="1"/>
    <col min="492" max="492" width="16.6640625" bestFit="1" customWidth="1"/>
    <col min="493" max="493" width="18.33203125" bestFit="1" customWidth="1"/>
    <col min="494" max="494" width="15.6640625" bestFit="1" customWidth="1"/>
    <col min="495" max="495" width="17.77734375" bestFit="1" customWidth="1"/>
    <col min="496" max="496" width="14.6640625" bestFit="1" customWidth="1"/>
    <col min="497" max="497" width="16.6640625" bestFit="1" customWidth="1"/>
    <col min="498" max="498" width="19.44140625" bestFit="1" customWidth="1"/>
    <col min="499" max="499" width="18" bestFit="1" customWidth="1"/>
    <col min="500" max="500" width="18.44140625" bestFit="1" customWidth="1"/>
    <col min="501" max="501" width="14.77734375" bestFit="1" customWidth="1"/>
    <col min="502" max="502" width="18.5546875" bestFit="1" customWidth="1"/>
    <col min="503" max="503" width="12.21875" bestFit="1" customWidth="1"/>
    <col min="504" max="504" width="14.33203125" bestFit="1" customWidth="1"/>
    <col min="505" max="505" width="19.33203125" bestFit="1" customWidth="1"/>
    <col min="506" max="506" width="16.109375" bestFit="1" customWidth="1"/>
    <col min="507" max="507" width="14.21875" bestFit="1" customWidth="1"/>
    <col min="508" max="508" width="15.77734375" bestFit="1" customWidth="1"/>
    <col min="509" max="509" width="19.6640625" bestFit="1" customWidth="1"/>
    <col min="510" max="510" width="14.44140625" bestFit="1" customWidth="1"/>
    <col min="511" max="511" width="15.5546875" bestFit="1" customWidth="1"/>
    <col min="512" max="512" width="17.21875" bestFit="1" customWidth="1"/>
    <col min="513" max="513" width="15.88671875" bestFit="1" customWidth="1"/>
    <col min="514" max="514" width="17.88671875" bestFit="1" customWidth="1"/>
    <col min="515" max="515" width="17.21875" bestFit="1" customWidth="1"/>
    <col min="516" max="516" width="14.88671875" bestFit="1" customWidth="1"/>
    <col min="517" max="517" width="20.5546875" bestFit="1" customWidth="1"/>
    <col min="518" max="518" width="17.44140625" bestFit="1" customWidth="1"/>
    <col min="519" max="519" width="13.77734375" bestFit="1" customWidth="1"/>
    <col min="520" max="520" width="18.44140625" bestFit="1" customWidth="1"/>
    <col min="521" max="521" width="15.88671875" bestFit="1" customWidth="1"/>
    <col min="522" max="522" width="19.33203125" bestFit="1" customWidth="1"/>
    <col min="523" max="523" width="16.44140625" bestFit="1" customWidth="1"/>
    <col min="524" max="524" width="18.77734375" bestFit="1" customWidth="1"/>
    <col min="525" max="525" width="16" bestFit="1" customWidth="1"/>
    <col min="526" max="527" width="16.33203125" bestFit="1" customWidth="1"/>
    <col min="528" max="528" width="18.33203125" bestFit="1" customWidth="1"/>
    <col min="529" max="529" width="18.5546875" bestFit="1" customWidth="1"/>
    <col min="530" max="530" width="19.109375" bestFit="1" customWidth="1"/>
    <col min="531" max="532" width="17.77734375" bestFit="1" customWidth="1"/>
    <col min="533" max="533" width="19.5546875" bestFit="1" customWidth="1"/>
    <col min="534" max="534" width="13.77734375" bestFit="1" customWidth="1"/>
    <col min="535" max="536" width="19.109375" bestFit="1" customWidth="1"/>
    <col min="537" max="537" width="15.33203125" bestFit="1" customWidth="1"/>
    <col min="538" max="538" width="17.6640625" bestFit="1" customWidth="1"/>
    <col min="539" max="539" width="17.21875" bestFit="1" customWidth="1"/>
    <col min="540" max="540" width="12.77734375" bestFit="1" customWidth="1"/>
    <col min="541" max="541" width="17" bestFit="1" customWidth="1"/>
    <col min="542" max="542" width="18.5546875" bestFit="1" customWidth="1"/>
    <col min="543" max="543" width="17.5546875" bestFit="1" customWidth="1"/>
    <col min="544" max="544" width="17.88671875" bestFit="1" customWidth="1"/>
    <col min="545" max="545" width="14.88671875" bestFit="1" customWidth="1"/>
    <col min="546" max="546" width="16.109375" bestFit="1" customWidth="1"/>
    <col min="547" max="547" width="14" bestFit="1" customWidth="1"/>
    <col min="548" max="548" width="12.88671875" bestFit="1" customWidth="1"/>
    <col min="549" max="549" width="16.77734375" bestFit="1" customWidth="1"/>
    <col min="550" max="550" width="17.21875" bestFit="1" customWidth="1"/>
    <col min="551" max="551" width="19.77734375" bestFit="1" customWidth="1"/>
    <col min="552" max="552" width="15.109375" bestFit="1" customWidth="1"/>
    <col min="553" max="553" width="18.21875" bestFit="1" customWidth="1"/>
    <col min="554" max="554" width="15.77734375" bestFit="1" customWidth="1"/>
    <col min="555" max="555" width="16.88671875" bestFit="1" customWidth="1"/>
    <col min="556" max="556" width="15.109375" bestFit="1" customWidth="1"/>
    <col min="557" max="557" width="12.77734375" bestFit="1" customWidth="1"/>
    <col min="558" max="558" width="14.77734375" bestFit="1" customWidth="1"/>
    <col min="559" max="559" width="15.88671875" bestFit="1" customWidth="1"/>
    <col min="560" max="560" width="18.109375" bestFit="1" customWidth="1"/>
    <col min="561" max="561" width="20.5546875" bestFit="1" customWidth="1"/>
    <col min="562" max="562" width="18.109375" bestFit="1" customWidth="1"/>
    <col min="563" max="563" width="18" bestFit="1" customWidth="1"/>
    <col min="564" max="564" width="19.44140625" bestFit="1" customWidth="1"/>
    <col min="565" max="565" width="16.21875" bestFit="1" customWidth="1"/>
    <col min="566" max="566" width="14" bestFit="1" customWidth="1"/>
    <col min="567" max="567" width="16.88671875" bestFit="1" customWidth="1"/>
    <col min="568" max="568" width="16.109375" bestFit="1" customWidth="1"/>
    <col min="569" max="569" width="18" bestFit="1" customWidth="1"/>
    <col min="570" max="570" width="15.109375" bestFit="1" customWidth="1"/>
    <col min="571" max="571" width="16.6640625" bestFit="1" customWidth="1"/>
    <col min="572" max="572" width="17.77734375" bestFit="1" customWidth="1"/>
    <col min="573" max="573" width="19.88671875" bestFit="1" customWidth="1"/>
    <col min="574" max="574" width="19.109375" bestFit="1" customWidth="1"/>
    <col min="575" max="575" width="17.77734375" bestFit="1" customWidth="1"/>
    <col min="576" max="576" width="12.77734375" bestFit="1" customWidth="1"/>
    <col min="577" max="577" width="19.44140625" bestFit="1" customWidth="1"/>
    <col min="578" max="578" width="18.77734375" bestFit="1" customWidth="1"/>
    <col min="579" max="579" width="17.21875" bestFit="1" customWidth="1"/>
    <col min="580" max="580" width="13.33203125" bestFit="1" customWidth="1"/>
    <col min="581" max="581" width="12.88671875" bestFit="1" customWidth="1"/>
    <col min="582" max="582" width="19.77734375" bestFit="1" customWidth="1"/>
    <col min="583" max="583" width="19.88671875" bestFit="1" customWidth="1"/>
    <col min="584" max="584" width="13.44140625" bestFit="1" customWidth="1"/>
    <col min="585" max="585" width="19.33203125" bestFit="1" customWidth="1"/>
    <col min="586" max="586" width="14.21875" bestFit="1" customWidth="1"/>
    <col min="587" max="587" width="17.21875" bestFit="1" customWidth="1"/>
    <col min="588" max="588" width="18.44140625" bestFit="1" customWidth="1"/>
    <col min="589" max="589" width="18.21875" bestFit="1" customWidth="1"/>
    <col min="590" max="590" width="10.5546875" bestFit="1" customWidth="1"/>
  </cols>
  <sheetData>
    <row r="2" spans="1:10" x14ac:dyDescent="0.3">
      <c r="A2" s="7" t="s">
        <v>3287</v>
      </c>
      <c r="B2" t="s">
        <v>3289</v>
      </c>
      <c r="D2" s="7" t="s">
        <v>3287</v>
      </c>
      <c r="E2" t="s">
        <v>3289</v>
      </c>
      <c r="G2" s="7" t="s">
        <v>3287</v>
      </c>
      <c r="H2" t="s">
        <v>3292</v>
      </c>
      <c r="I2" t="s">
        <v>3293</v>
      </c>
      <c r="J2" t="s">
        <v>3294</v>
      </c>
    </row>
    <row r="3" spans="1:10" x14ac:dyDescent="0.3">
      <c r="A3" s="9">
        <v>1</v>
      </c>
      <c r="B3" s="15">
        <v>151</v>
      </c>
      <c r="D3" s="8" t="s">
        <v>72</v>
      </c>
      <c r="E3" s="15">
        <v>72</v>
      </c>
      <c r="G3" s="9">
        <v>1</v>
      </c>
      <c r="H3" s="10">
        <v>70.152317880794698</v>
      </c>
      <c r="I3" s="10">
        <v>70.079470198675494</v>
      </c>
      <c r="J3" s="10">
        <v>74.52980132450331</v>
      </c>
    </row>
    <row r="4" spans="1:10" x14ac:dyDescent="0.3">
      <c r="A4" s="9">
        <v>2</v>
      </c>
      <c r="B4" s="15">
        <v>100</v>
      </c>
      <c r="D4" s="8" t="s">
        <v>99</v>
      </c>
      <c r="E4" s="15">
        <v>29</v>
      </c>
      <c r="G4" s="9">
        <v>2</v>
      </c>
      <c r="H4" s="10">
        <v>61.61</v>
      </c>
      <c r="I4" s="10">
        <v>71.790000000000006</v>
      </c>
      <c r="J4" s="10">
        <v>69.959999999999994</v>
      </c>
    </row>
    <row r="5" spans="1:10" x14ac:dyDescent="0.3">
      <c r="A5" s="9">
        <v>3</v>
      </c>
      <c r="B5" s="15">
        <v>135</v>
      </c>
      <c r="D5" s="8" t="s">
        <v>443</v>
      </c>
      <c r="E5" s="15">
        <v>27</v>
      </c>
      <c r="G5" s="9">
        <v>3</v>
      </c>
      <c r="H5" s="10">
        <v>63.577777777777776</v>
      </c>
      <c r="I5" s="10">
        <v>72.637037037037032</v>
      </c>
      <c r="J5" s="10">
        <v>77.18518518518519</v>
      </c>
    </row>
    <row r="6" spans="1:10" x14ac:dyDescent="0.3">
      <c r="A6" s="9">
        <v>4</v>
      </c>
      <c r="B6" s="15">
        <v>107</v>
      </c>
      <c r="D6" s="8" t="s">
        <v>115</v>
      </c>
      <c r="E6" s="15">
        <v>39</v>
      </c>
      <c r="G6" s="9">
        <v>4</v>
      </c>
      <c r="H6" s="10">
        <v>70.074766355140184</v>
      </c>
      <c r="I6" s="10">
        <v>76.168224299065415</v>
      </c>
      <c r="J6" s="10">
        <v>82.672897196261687</v>
      </c>
    </row>
    <row r="7" spans="1:10" x14ac:dyDescent="0.3">
      <c r="A7" s="9">
        <v>5</v>
      </c>
      <c r="B7" s="15">
        <v>156</v>
      </c>
      <c r="D7" s="8" t="s">
        <v>141</v>
      </c>
      <c r="E7" s="15">
        <v>18</v>
      </c>
      <c r="G7" s="9">
        <v>5</v>
      </c>
      <c r="H7" s="10">
        <v>66.519230769230774</v>
      </c>
      <c r="I7" s="10">
        <v>71.961538461538467</v>
      </c>
      <c r="J7" s="10">
        <v>80.557692307692307</v>
      </c>
    </row>
    <row r="8" spans="1:10" x14ac:dyDescent="0.3">
      <c r="A8" s="9">
        <v>6</v>
      </c>
      <c r="B8" s="15">
        <v>72</v>
      </c>
      <c r="D8" s="8" t="s">
        <v>197</v>
      </c>
      <c r="E8" s="15">
        <v>28</v>
      </c>
      <c r="G8" s="9">
        <v>6</v>
      </c>
      <c r="H8" s="10">
        <v>66.652777777777771</v>
      </c>
      <c r="I8" s="10">
        <v>73.555555555555557</v>
      </c>
      <c r="J8" s="10">
        <v>76.527777777777771</v>
      </c>
    </row>
    <row r="9" spans="1:10" x14ac:dyDescent="0.3">
      <c r="A9" s="9">
        <v>7</v>
      </c>
      <c r="B9" s="15">
        <v>80</v>
      </c>
      <c r="D9" s="8" t="s">
        <v>51</v>
      </c>
      <c r="E9" s="15">
        <v>52</v>
      </c>
      <c r="G9" s="9">
        <v>7</v>
      </c>
      <c r="H9" s="10">
        <v>64.037499999999994</v>
      </c>
      <c r="I9" s="10">
        <v>78.012500000000003</v>
      </c>
      <c r="J9" s="10">
        <v>84.637500000000003</v>
      </c>
    </row>
    <row r="10" spans="1:10" x14ac:dyDescent="0.3">
      <c r="A10" s="9" t="s">
        <v>3288</v>
      </c>
      <c r="B10" s="15">
        <v>801</v>
      </c>
      <c r="D10" s="8" t="s">
        <v>58</v>
      </c>
      <c r="E10" s="15">
        <v>3</v>
      </c>
      <c r="G10" s="9" t="s">
        <v>3288</v>
      </c>
      <c r="H10" s="10">
        <v>66.33458177278402</v>
      </c>
      <c r="I10" s="10">
        <v>73.008739076154811</v>
      </c>
      <c r="J10" s="10">
        <v>77.857677902621717</v>
      </c>
    </row>
    <row r="11" spans="1:10" x14ac:dyDescent="0.3">
      <c r="D11" s="8" t="s">
        <v>293</v>
      </c>
      <c r="E11" s="15">
        <v>27</v>
      </c>
    </row>
    <row r="12" spans="1:10" x14ac:dyDescent="0.3">
      <c r="D12" s="8" t="s">
        <v>42</v>
      </c>
      <c r="E12" s="15">
        <v>78</v>
      </c>
    </row>
    <row r="13" spans="1:10" x14ac:dyDescent="0.3">
      <c r="D13" s="8" t="s">
        <v>120</v>
      </c>
      <c r="E13" s="15">
        <v>32</v>
      </c>
    </row>
    <row r="14" spans="1:10" x14ac:dyDescent="0.3">
      <c r="D14" s="8" t="s">
        <v>121</v>
      </c>
      <c r="E14" s="15">
        <v>23</v>
      </c>
    </row>
    <row r="15" spans="1:10" x14ac:dyDescent="0.3">
      <c r="D15" s="8" t="s">
        <v>90</v>
      </c>
      <c r="E15" s="15">
        <v>105</v>
      </c>
    </row>
    <row r="16" spans="1:10" x14ac:dyDescent="0.3">
      <c r="A16" s="7" t="s">
        <v>3287</v>
      </c>
      <c r="B16" t="s">
        <v>3289</v>
      </c>
      <c r="D16" s="8" t="s">
        <v>43</v>
      </c>
      <c r="E16" s="15">
        <v>32</v>
      </c>
    </row>
    <row r="17" spans="1:5" x14ac:dyDescent="0.3">
      <c r="A17" s="8" t="s">
        <v>3051</v>
      </c>
      <c r="B17" s="15">
        <v>731</v>
      </c>
      <c r="D17" s="8" t="s">
        <v>216</v>
      </c>
      <c r="E17" s="15">
        <v>53</v>
      </c>
    </row>
    <row r="18" spans="1:5" x14ac:dyDescent="0.3">
      <c r="A18" s="8" t="s">
        <v>3052</v>
      </c>
      <c r="B18" s="15">
        <v>70</v>
      </c>
      <c r="D18" s="8" t="s">
        <v>243</v>
      </c>
      <c r="E18" s="15">
        <v>45</v>
      </c>
    </row>
    <row r="19" spans="1:5" x14ac:dyDescent="0.3">
      <c r="A19" s="8" t="s">
        <v>3288</v>
      </c>
      <c r="B19" s="15">
        <v>801</v>
      </c>
      <c r="D19" s="8" t="s">
        <v>263</v>
      </c>
      <c r="E19" s="15">
        <v>24</v>
      </c>
    </row>
    <row r="20" spans="1:5" x14ac:dyDescent="0.3">
      <c r="D20" s="8" t="s">
        <v>62</v>
      </c>
      <c r="E20" s="15">
        <v>114</v>
      </c>
    </row>
    <row r="21" spans="1:5" x14ac:dyDescent="0.3">
      <c r="D21" s="8" t="s">
        <v>3288</v>
      </c>
      <c r="E21" s="15">
        <v>801</v>
      </c>
    </row>
  </sheetData>
  <pageMargins left="0.7" right="0.7" top="0.75" bottom="0.75" header="0.3" footer="0.3"/>
</worksheet>
</file>

<file path=xl/worksheets/sheet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53FECB7C-E9D5-493B-9B94-607CED5682BF}">
  <dimension ref="A2:B11"/>
  <sheetViews>
    <sheetView workbookViewId="0">
      <selection activeCell="A11" sqref="A11"/>
    </sheetView>
  </sheetViews>
  <sheetFormatPr defaultRowHeight="14.4" x14ac:dyDescent="0.3"/>
  <cols>
    <col min="1" max="1" width="15.21875" bestFit="1" customWidth="1"/>
    <col min="2" max="2" width="12.77734375" bestFit="1" customWidth="1"/>
    <col min="3" max="4" width="15.21875" bestFit="1" customWidth="1"/>
  </cols>
  <sheetData>
    <row r="2" spans="1:2" x14ac:dyDescent="0.3">
      <c r="A2" t="s">
        <v>3289</v>
      </c>
    </row>
    <row r="3" spans="1:2" x14ac:dyDescent="0.3">
      <c r="A3" s="15">
        <v>801</v>
      </c>
    </row>
    <row r="5" spans="1:2" x14ac:dyDescent="0.3">
      <c r="A5" s="7" t="s">
        <v>3287</v>
      </c>
      <c r="B5" t="s">
        <v>3289</v>
      </c>
    </row>
    <row r="6" spans="1:2" x14ac:dyDescent="0.3">
      <c r="A6" s="8" t="s">
        <v>3051</v>
      </c>
      <c r="B6" s="15">
        <v>731</v>
      </c>
    </row>
    <row r="7" spans="1:2" x14ac:dyDescent="0.3">
      <c r="A7" s="8" t="s">
        <v>3052</v>
      </c>
      <c r="B7" s="15">
        <v>70</v>
      </c>
    </row>
    <row r="8" spans="1:2" x14ac:dyDescent="0.3">
      <c r="A8" s="8" t="s">
        <v>3288</v>
      </c>
      <c r="B8" s="15">
        <v>801</v>
      </c>
    </row>
    <row r="10" spans="1:2" x14ac:dyDescent="0.3">
      <c r="A10" t="s">
        <v>3294</v>
      </c>
    </row>
    <row r="11" spans="1:2" x14ac:dyDescent="0.3">
      <c r="A11" s="10">
        <v>77.857677902621717</v>
      </c>
    </row>
  </sheetData>
  <pageMargins left="0.7" right="0.7" top="0.75" bottom="0.75" header="0.3" footer="0.3"/>
</worksheet>
</file>

<file path=xl/worksheets/sheet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4B08DC67-9EAB-4D0C-8CE4-FF498DFD177F}">
  <dimension ref="A1:CF177"/>
  <sheetViews>
    <sheetView showGridLines="0" tabSelected="1" topLeftCell="B2" zoomScale="65" zoomScaleNormal="60" workbookViewId="0">
      <selection activeCell="S9" sqref="S9"/>
    </sheetView>
  </sheetViews>
  <sheetFormatPr defaultRowHeight="14.4" x14ac:dyDescent="0.3"/>
  <cols>
    <col min="1" max="12" width="8.88671875" style="11"/>
    <col min="13" max="13" width="14.21875" style="11" customWidth="1"/>
    <col min="14" max="16384" width="8.88671875" style="11"/>
  </cols>
  <sheetData>
    <row r="1" spans="1:84" ht="14.4" customHeight="1" x14ac:dyDescent="0.3">
      <c r="A1" s="12"/>
      <c r="B1" s="12"/>
      <c r="C1" s="12"/>
      <c r="D1" s="12"/>
      <c r="E1" s="12"/>
      <c r="F1" s="12"/>
      <c r="G1" s="12"/>
      <c r="H1" s="12"/>
      <c r="I1" s="12"/>
      <c r="J1" s="12"/>
      <c r="K1" s="12"/>
      <c r="L1" s="12"/>
      <c r="M1" s="12"/>
      <c r="N1" s="12"/>
      <c r="O1" s="12"/>
      <c r="P1" s="12"/>
      <c r="Q1" s="12"/>
      <c r="R1" s="12"/>
      <c r="S1" s="12"/>
      <c r="T1" s="12"/>
      <c r="U1" s="12"/>
      <c r="V1" s="12"/>
      <c r="W1" s="12"/>
      <c r="X1" s="12"/>
      <c r="Y1" s="12"/>
      <c r="Z1" s="12"/>
      <c r="AA1" s="12"/>
      <c r="AB1" s="12"/>
      <c r="AC1" s="12"/>
      <c r="AD1" s="12"/>
      <c r="AE1" s="12"/>
      <c r="AF1" s="12"/>
      <c r="AG1" s="12"/>
      <c r="AH1" s="12"/>
      <c r="AI1" s="12"/>
      <c r="AJ1" s="12"/>
      <c r="AK1" s="12"/>
      <c r="AL1" s="12"/>
      <c r="AM1" s="12"/>
      <c r="AN1" s="12"/>
      <c r="AO1" s="12"/>
      <c r="AP1" s="12"/>
      <c r="AQ1" s="12"/>
      <c r="AR1" s="12"/>
      <c r="AS1" s="12"/>
      <c r="AT1" s="12"/>
      <c r="AU1" s="12"/>
      <c r="AV1" s="12"/>
      <c r="AW1" s="12"/>
      <c r="AX1" s="12"/>
      <c r="AY1" s="12"/>
      <c r="AZ1" s="12"/>
      <c r="BA1" s="12"/>
      <c r="BB1" s="12"/>
      <c r="BC1" s="12"/>
      <c r="BD1" s="12"/>
      <c r="BE1" s="12"/>
      <c r="BF1" s="12"/>
      <c r="BG1" s="12"/>
      <c r="BH1" s="12"/>
      <c r="BI1" s="12"/>
      <c r="BJ1" s="12"/>
      <c r="BK1" s="12"/>
      <c r="BL1" s="12"/>
      <c r="BM1" s="12"/>
      <c r="BN1" s="12"/>
      <c r="BO1" s="12"/>
      <c r="BP1" s="12"/>
      <c r="BQ1" s="12"/>
      <c r="BR1" s="12"/>
      <c r="BS1" s="12"/>
      <c r="BT1" s="12"/>
      <c r="BU1" s="12"/>
      <c r="BV1" s="12"/>
      <c r="BW1" s="12"/>
      <c r="BX1" s="12"/>
      <c r="BY1" s="12"/>
      <c r="BZ1" s="12"/>
      <c r="CA1" s="12"/>
      <c r="CB1" s="12"/>
      <c r="CC1" s="12"/>
      <c r="CD1" s="12"/>
      <c r="CE1" s="12"/>
      <c r="CF1" s="12"/>
    </row>
    <row r="2" spans="1:84" ht="16.8" customHeight="1" x14ac:dyDescent="0.3">
      <c r="A2" s="12"/>
      <c r="B2" s="12"/>
      <c r="C2" s="12"/>
      <c r="P2" s="12"/>
      <c r="Q2" s="12"/>
      <c r="R2" s="12"/>
      <c r="S2" s="12"/>
      <c r="T2" s="12"/>
      <c r="U2" s="12"/>
      <c r="V2" s="12"/>
      <c r="W2" s="12"/>
      <c r="X2" s="12"/>
      <c r="Y2" s="12"/>
      <c r="Z2" s="12"/>
      <c r="AA2" s="12"/>
      <c r="AB2" s="12"/>
      <c r="AC2" s="12"/>
      <c r="AD2" s="12"/>
      <c r="AE2" s="12"/>
      <c r="AF2" s="12"/>
      <c r="AG2" s="12"/>
      <c r="AH2" s="12"/>
      <c r="AI2" s="12"/>
      <c r="AJ2" s="12"/>
      <c r="AK2" s="12"/>
      <c r="AL2" s="12"/>
      <c r="AM2" s="12"/>
      <c r="AN2" s="12"/>
      <c r="AO2" s="12"/>
      <c r="AP2" s="12"/>
      <c r="AQ2" s="12"/>
      <c r="AR2" s="12"/>
      <c r="AS2" s="12"/>
      <c r="AT2" s="12"/>
      <c r="AU2" s="12"/>
      <c r="AV2" s="12"/>
      <c r="AW2" s="12"/>
      <c r="AX2" s="12"/>
      <c r="AY2" s="12"/>
      <c r="AZ2" s="12"/>
      <c r="BA2" s="12"/>
      <c r="BB2" s="12"/>
      <c r="BC2" s="12"/>
      <c r="BD2" s="12"/>
      <c r="BE2" s="12"/>
      <c r="BF2" s="12"/>
      <c r="BG2" s="12"/>
      <c r="BH2" s="12"/>
      <c r="BI2" s="12"/>
      <c r="BJ2" s="12"/>
      <c r="BK2" s="12"/>
      <c r="BL2" s="12"/>
      <c r="BM2" s="12"/>
      <c r="BN2" s="12"/>
      <c r="BO2" s="12"/>
      <c r="BP2" s="12"/>
      <c r="BQ2" s="12"/>
      <c r="BR2" s="12"/>
      <c r="BS2" s="12"/>
      <c r="BT2" s="12"/>
      <c r="BU2" s="12"/>
      <c r="BV2" s="12"/>
      <c r="BW2" s="12"/>
      <c r="BX2" s="12"/>
      <c r="BY2" s="12"/>
      <c r="BZ2" s="12"/>
      <c r="CA2" s="12"/>
      <c r="CB2" s="12"/>
      <c r="CC2" s="12"/>
      <c r="CD2" s="12"/>
      <c r="CE2" s="12"/>
      <c r="CF2" s="12"/>
    </row>
    <row r="3" spans="1:84" ht="42.6" customHeight="1" x14ac:dyDescent="0.3">
      <c r="A3" s="12"/>
      <c r="B3" s="12"/>
      <c r="C3" s="12"/>
      <c r="F3" s="13" t="s">
        <v>3290</v>
      </c>
      <c r="G3" s="13"/>
      <c r="H3" s="13"/>
      <c r="I3" s="13"/>
      <c r="J3" s="13"/>
      <c r="K3" s="13"/>
      <c r="L3" s="13"/>
      <c r="M3" s="13"/>
      <c r="P3" s="12"/>
      <c r="Q3" s="12"/>
      <c r="R3" s="12"/>
      <c r="S3" s="12"/>
      <c r="T3" s="12"/>
      <c r="U3" s="12"/>
      <c r="V3" s="12"/>
      <c r="W3" s="12"/>
      <c r="X3" s="12"/>
      <c r="Y3" s="12"/>
      <c r="Z3" s="12"/>
      <c r="AA3" s="12"/>
      <c r="AB3" s="12"/>
      <c r="AC3" s="12"/>
      <c r="AD3" s="12"/>
      <c r="AE3" s="12"/>
      <c r="AF3" s="12"/>
      <c r="AG3" s="12"/>
      <c r="AH3" s="12"/>
      <c r="AI3" s="12"/>
      <c r="AJ3" s="12"/>
      <c r="AK3" s="12"/>
      <c r="AL3" s="12"/>
      <c r="AM3" s="12"/>
      <c r="AN3" s="12"/>
      <c r="AO3" s="12"/>
      <c r="AP3" s="12"/>
      <c r="AQ3" s="12"/>
      <c r="AR3" s="12"/>
      <c r="AS3" s="12"/>
      <c r="AT3" s="12"/>
      <c r="AU3" s="12"/>
      <c r="AV3" s="12"/>
      <c r="AW3" s="12"/>
      <c r="AX3" s="12"/>
      <c r="AY3" s="12"/>
      <c r="AZ3" s="12"/>
      <c r="BA3" s="12"/>
      <c r="BB3" s="12"/>
      <c r="BC3" s="12"/>
      <c r="BD3" s="12"/>
      <c r="BE3" s="12"/>
      <c r="BF3" s="12"/>
      <c r="BG3" s="12"/>
      <c r="BH3" s="12"/>
      <c r="BI3" s="12"/>
      <c r="BJ3" s="12"/>
      <c r="BK3" s="12"/>
      <c r="BL3" s="12"/>
      <c r="BM3" s="12"/>
      <c r="BN3" s="12"/>
      <c r="BO3" s="12"/>
      <c r="BP3" s="12"/>
      <c r="BQ3" s="12"/>
      <c r="BR3" s="12"/>
      <c r="BS3" s="12"/>
      <c r="BT3" s="12"/>
      <c r="BU3" s="12"/>
      <c r="BV3" s="12"/>
      <c r="BW3" s="12"/>
      <c r="BX3" s="12"/>
      <c r="BY3" s="12"/>
      <c r="BZ3" s="12"/>
      <c r="CA3" s="12"/>
      <c r="CB3" s="12"/>
      <c r="CC3" s="12"/>
      <c r="CD3" s="12"/>
      <c r="CE3" s="12"/>
      <c r="CF3" s="12"/>
    </row>
    <row r="4" spans="1:84" ht="18" x14ac:dyDescent="0.3">
      <c r="A4" s="12"/>
      <c r="B4" s="12"/>
      <c r="C4" s="12"/>
      <c r="G4" s="14" t="s">
        <v>3291</v>
      </c>
      <c r="H4" s="14"/>
      <c r="I4" s="14"/>
      <c r="J4" s="14"/>
      <c r="K4" s="14"/>
      <c r="L4" s="14"/>
      <c r="P4" s="12"/>
      <c r="Q4" s="12"/>
      <c r="R4" s="12"/>
      <c r="S4" s="12"/>
      <c r="T4" s="12"/>
      <c r="U4" s="12"/>
      <c r="V4" s="12"/>
      <c r="W4" s="12"/>
      <c r="X4" s="12"/>
      <c r="Y4" s="12"/>
      <c r="Z4" s="12"/>
      <c r="AA4" s="12"/>
      <c r="AB4" s="12"/>
      <c r="AC4" s="12"/>
      <c r="AD4" s="12"/>
      <c r="AE4" s="12"/>
      <c r="AF4" s="12"/>
      <c r="AG4" s="12"/>
      <c r="AH4" s="12"/>
      <c r="AI4" s="12"/>
      <c r="AJ4" s="12"/>
      <c r="AK4" s="12"/>
      <c r="AL4" s="12"/>
      <c r="AM4" s="12"/>
      <c r="AN4" s="12"/>
      <c r="AO4" s="12"/>
      <c r="AP4" s="12"/>
      <c r="AQ4" s="12"/>
      <c r="AR4" s="12"/>
      <c r="AS4" s="12"/>
      <c r="AT4" s="12"/>
      <c r="AU4" s="12"/>
      <c r="AV4" s="12"/>
      <c r="AW4" s="12"/>
      <c r="AX4" s="12"/>
      <c r="AY4" s="12"/>
      <c r="AZ4" s="12"/>
      <c r="BA4" s="12"/>
      <c r="BB4" s="12"/>
      <c r="BC4" s="12"/>
      <c r="BD4" s="12"/>
      <c r="BE4" s="12"/>
      <c r="BF4" s="12"/>
      <c r="BG4" s="12"/>
      <c r="BH4" s="12"/>
      <c r="BI4" s="12"/>
      <c r="BJ4" s="12"/>
      <c r="BK4" s="12"/>
      <c r="BL4" s="12"/>
      <c r="BM4" s="12"/>
      <c r="BN4" s="12"/>
      <c r="BO4" s="12"/>
      <c r="BP4" s="12"/>
      <c r="BQ4" s="12"/>
      <c r="BR4" s="12"/>
      <c r="BS4" s="12"/>
      <c r="BT4" s="12"/>
      <c r="BU4" s="12"/>
      <c r="BV4" s="12"/>
      <c r="BW4" s="12"/>
      <c r="BX4" s="12"/>
      <c r="BY4" s="12"/>
      <c r="BZ4" s="12"/>
      <c r="CA4" s="12"/>
      <c r="CB4" s="12"/>
      <c r="CC4" s="12"/>
      <c r="CD4" s="12"/>
      <c r="CE4" s="12"/>
      <c r="CF4" s="12"/>
    </row>
    <row r="5" spans="1:84" x14ac:dyDescent="0.3">
      <c r="A5" s="12"/>
      <c r="B5" s="12"/>
      <c r="C5" s="12"/>
      <c r="P5" s="12"/>
      <c r="Q5" s="12"/>
      <c r="R5" s="12"/>
      <c r="S5" s="12"/>
      <c r="T5" s="12"/>
      <c r="U5" s="12"/>
      <c r="V5" s="12"/>
      <c r="W5" s="12"/>
      <c r="X5" s="12"/>
      <c r="Y5" s="12"/>
      <c r="Z5" s="12"/>
      <c r="AA5" s="12"/>
      <c r="AB5" s="12"/>
      <c r="AC5" s="12"/>
      <c r="AD5" s="12"/>
      <c r="AE5" s="12"/>
      <c r="AF5" s="12"/>
      <c r="AG5" s="12"/>
      <c r="AH5" s="12"/>
      <c r="AI5" s="12"/>
      <c r="AJ5" s="12"/>
      <c r="AK5" s="12"/>
      <c r="AL5" s="12"/>
      <c r="AM5" s="12"/>
      <c r="AN5" s="12"/>
      <c r="AO5" s="12"/>
      <c r="AP5" s="12"/>
      <c r="AQ5" s="12"/>
      <c r="AR5" s="12"/>
      <c r="AS5" s="12"/>
      <c r="AT5" s="12"/>
      <c r="AU5" s="12"/>
      <c r="AV5" s="12"/>
      <c r="AW5" s="12"/>
      <c r="AX5" s="12"/>
      <c r="AY5" s="12"/>
      <c r="AZ5" s="12"/>
      <c r="BA5" s="12"/>
      <c r="BB5" s="12"/>
      <c r="BC5" s="12"/>
      <c r="BD5" s="12"/>
      <c r="BE5" s="12"/>
      <c r="BF5" s="12"/>
      <c r="BG5" s="12"/>
      <c r="BH5" s="12"/>
      <c r="BI5" s="12"/>
      <c r="BJ5" s="12"/>
      <c r="BK5" s="12"/>
      <c r="BL5" s="12"/>
      <c r="BM5" s="12"/>
      <c r="BN5" s="12"/>
      <c r="BO5" s="12"/>
      <c r="BP5" s="12"/>
      <c r="BQ5" s="12"/>
      <c r="BR5" s="12"/>
      <c r="BS5" s="12"/>
      <c r="BT5" s="12"/>
      <c r="BU5" s="12"/>
      <c r="BV5" s="12"/>
      <c r="BW5" s="12"/>
      <c r="BX5" s="12"/>
      <c r="BY5" s="12"/>
      <c r="BZ5" s="12"/>
      <c r="CA5" s="12"/>
      <c r="CB5" s="12"/>
      <c r="CC5" s="12"/>
      <c r="CD5" s="12"/>
      <c r="CE5" s="12"/>
      <c r="CF5" s="12"/>
    </row>
    <row r="6" spans="1:84" x14ac:dyDescent="0.3">
      <c r="A6" s="12"/>
      <c r="B6" s="12"/>
      <c r="C6" s="12"/>
      <c r="P6" s="12"/>
      <c r="Q6" s="12"/>
      <c r="R6" s="12"/>
      <c r="S6" s="12"/>
      <c r="T6" s="12"/>
      <c r="U6" s="12"/>
      <c r="V6" s="12"/>
      <c r="W6" s="12"/>
      <c r="X6" s="12"/>
      <c r="Y6" s="12"/>
      <c r="Z6" s="12"/>
      <c r="AA6" s="12"/>
      <c r="AB6" s="12"/>
      <c r="AC6" s="12"/>
      <c r="AD6" s="12"/>
      <c r="AE6" s="12"/>
      <c r="AF6" s="12"/>
      <c r="AG6" s="12"/>
      <c r="AH6" s="12"/>
      <c r="AI6" s="12"/>
      <c r="AJ6" s="12"/>
      <c r="AK6" s="12"/>
      <c r="AL6" s="12"/>
      <c r="AM6" s="12"/>
      <c r="AN6" s="12"/>
      <c r="AO6" s="12"/>
      <c r="AP6" s="12"/>
      <c r="AQ6" s="12"/>
      <c r="AR6" s="12"/>
      <c r="AS6" s="12"/>
      <c r="AT6" s="12"/>
      <c r="AU6" s="12"/>
      <c r="AV6" s="12"/>
      <c r="AW6" s="12"/>
      <c r="AX6" s="12"/>
      <c r="AY6" s="12"/>
      <c r="AZ6" s="12"/>
      <c r="BA6" s="12"/>
      <c r="BB6" s="12"/>
      <c r="BC6" s="12"/>
      <c r="BD6" s="12"/>
      <c r="BE6" s="12"/>
      <c r="BF6" s="12"/>
      <c r="BG6" s="12"/>
      <c r="BH6" s="12"/>
      <c r="BI6" s="12"/>
      <c r="BJ6" s="12"/>
      <c r="BK6" s="12"/>
      <c r="BL6" s="12"/>
      <c r="BM6" s="12"/>
      <c r="BN6" s="12"/>
      <c r="BO6" s="12"/>
      <c r="BP6" s="12"/>
      <c r="BQ6" s="12"/>
      <c r="BR6" s="12"/>
      <c r="BS6" s="12"/>
      <c r="BT6" s="12"/>
      <c r="BU6" s="12"/>
      <c r="BV6" s="12"/>
      <c r="BW6" s="12"/>
      <c r="BX6" s="12"/>
      <c r="BY6" s="12"/>
      <c r="BZ6" s="12"/>
      <c r="CA6" s="12"/>
      <c r="CB6" s="12"/>
      <c r="CC6" s="12"/>
      <c r="CD6" s="12"/>
      <c r="CE6" s="12"/>
      <c r="CF6" s="12"/>
    </row>
    <row r="7" spans="1:84" x14ac:dyDescent="0.3">
      <c r="A7" s="12"/>
      <c r="B7" s="12"/>
      <c r="C7" s="12"/>
      <c r="D7" s="12"/>
      <c r="E7" s="12"/>
      <c r="F7" s="12"/>
      <c r="G7" s="12"/>
      <c r="H7" s="12"/>
      <c r="I7" s="12"/>
      <c r="J7" s="12"/>
      <c r="K7" s="12"/>
      <c r="L7" s="12"/>
      <c r="M7" s="12"/>
      <c r="N7" s="12"/>
      <c r="O7" s="12"/>
      <c r="P7" s="12"/>
      <c r="Q7" s="12"/>
      <c r="R7" s="12"/>
      <c r="S7" s="12"/>
      <c r="T7" s="12"/>
      <c r="U7" s="12"/>
      <c r="V7" s="12"/>
      <c r="W7" s="12"/>
      <c r="X7" s="12"/>
      <c r="Y7" s="12"/>
      <c r="Z7" s="12"/>
      <c r="AA7" s="12"/>
      <c r="AB7" s="12"/>
      <c r="AC7" s="12"/>
      <c r="AD7" s="12"/>
      <c r="AE7" s="12"/>
      <c r="AF7" s="12"/>
      <c r="AG7" s="12"/>
      <c r="AH7" s="12"/>
      <c r="AI7" s="12"/>
      <c r="AJ7" s="12"/>
      <c r="AK7" s="12"/>
      <c r="AL7" s="12"/>
      <c r="AM7" s="12"/>
      <c r="AN7" s="12"/>
      <c r="AO7" s="12"/>
      <c r="AP7" s="12"/>
      <c r="AQ7" s="12"/>
      <c r="AR7" s="12"/>
      <c r="AS7" s="12"/>
      <c r="AT7" s="12"/>
      <c r="AU7" s="12"/>
      <c r="AV7" s="12"/>
      <c r="AW7" s="12"/>
      <c r="AX7" s="12"/>
      <c r="AY7" s="12"/>
      <c r="AZ7" s="12"/>
      <c r="BA7" s="12"/>
      <c r="BB7" s="12"/>
      <c r="BC7" s="12"/>
      <c r="BD7" s="12"/>
      <c r="BE7" s="12"/>
      <c r="BF7" s="12"/>
      <c r="BG7" s="12"/>
      <c r="BH7" s="12"/>
      <c r="BI7" s="12"/>
      <c r="BJ7" s="12"/>
      <c r="BK7" s="12"/>
      <c r="BL7" s="12"/>
      <c r="BM7" s="12"/>
      <c r="BN7" s="12"/>
      <c r="BO7" s="12"/>
      <c r="BP7" s="12"/>
      <c r="BQ7" s="12"/>
      <c r="BR7" s="12"/>
      <c r="BS7" s="12"/>
      <c r="BT7" s="12"/>
      <c r="BU7" s="12"/>
      <c r="BV7" s="12"/>
      <c r="BW7" s="12"/>
      <c r="BX7" s="12"/>
      <c r="BY7" s="12"/>
      <c r="BZ7" s="12"/>
      <c r="CA7" s="12"/>
      <c r="CB7" s="12"/>
      <c r="CC7" s="12"/>
      <c r="CD7" s="12"/>
      <c r="CE7" s="12"/>
      <c r="CF7" s="12"/>
    </row>
    <row r="8" spans="1:84" x14ac:dyDescent="0.3">
      <c r="A8" s="12"/>
      <c r="B8" s="12"/>
      <c r="C8" s="12"/>
      <c r="D8" s="12"/>
      <c r="E8" s="12"/>
      <c r="F8" s="12"/>
      <c r="G8" s="12"/>
      <c r="H8" s="12"/>
      <c r="I8" s="12"/>
      <c r="J8" s="12"/>
      <c r="K8" s="12"/>
      <c r="L8" s="12"/>
      <c r="M8" s="12"/>
      <c r="N8" s="12"/>
      <c r="O8" s="12"/>
      <c r="P8" s="12"/>
      <c r="Q8" s="12"/>
      <c r="R8" s="12"/>
      <c r="S8" s="12"/>
      <c r="T8" s="12"/>
      <c r="U8" s="12"/>
      <c r="V8" s="12"/>
      <c r="W8" s="12"/>
      <c r="X8" s="12"/>
      <c r="Y8" s="12"/>
      <c r="Z8" s="12"/>
      <c r="AA8" s="12"/>
      <c r="AB8" s="12"/>
      <c r="AC8" s="12"/>
      <c r="AD8" s="12"/>
      <c r="AE8" s="12"/>
      <c r="AF8" s="12"/>
      <c r="AG8" s="12"/>
      <c r="AH8" s="12"/>
      <c r="AI8" s="12"/>
      <c r="AJ8" s="12"/>
      <c r="AK8" s="12"/>
      <c r="AL8" s="12"/>
      <c r="AM8" s="12"/>
      <c r="AN8" s="12"/>
      <c r="AO8" s="12"/>
      <c r="AP8" s="12"/>
      <c r="AQ8" s="12"/>
      <c r="AR8" s="12"/>
      <c r="AS8" s="12"/>
      <c r="AT8" s="12"/>
      <c r="AU8" s="12"/>
      <c r="AV8" s="12"/>
      <c r="AW8" s="12"/>
      <c r="AX8" s="12"/>
      <c r="AY8" s="12"/>
      <c r="AZ8" s="12"/>
      <c r="BA8" s="12"/>
      <c r="BB8" s="12"/>
      <c r="BC8" s="12"/>
      <c r="BD8" s="12"/>
      <c r="BE8" s="12"/>
      <c r="BF8" s="12"/>
      <c r="BG8" s="12"/>
      <c r="BH8" s="12"/>
      <c r="BI8" s="12"/>
      <c r="BJ8" s="12"/>
      <c r="BK8" s="12"/>
      <c r="BL8" s="12"/>
      <c r="BM8" s="12"/>
      <c r="BN8" s="12"/>
      <c r="BO8" s="12"/>
      <c r="BP8" s="12"/>
      <c r="BQ8" s="12"/>
      <c r="BR8" s="12"/>
      <c r="BS8" s="12"/>
      <c r="BT8" s="12"/>
      <c r="BU8" s="12"/>
      <c r="BV8" s="12"/>
      <c r="BW8" s="12"/>
      <c r="BX8" s="12"/>
      <c r="BY8" s="12"/>
      <c r="BZ8" s="12"/>
      <c r="CA8" s="12"/>
      <c r="CB8" s="12"/>
      <c r="CC8" s="12"/>
      <c r="CD8" s="12"/>
      <c r="CE8" s="12"/>
      <c r="CF8" s="12"/>
    </row>
    <row r="9" spans="1:84" x14ac:dyDescent="0.3">
      <c r="A9" s="12"/>
      <c r="B9" s="12"/>
      <c r="C9" s="12"/>
      <c r="D9" s="12"/>
      <c r="E9" s="12"/>
      <c r="F9" s="12"/>
      <c r="G9" s="12"/>
      <c r="H9" s="12"/>
      <c r="I9" s="12"/>
      <c r="J9" s="12"/>
      <c r="K9" s="12"/>
      <c r="L9" s="12"/>
      <c r="M9" s="12">
        <f>IFERROR(GETPIVOTDATA("Count of name",PivotKPI!A5,"is_legendary","Yes"),0)</f>
        <v>70</v>
      </c>
      <c r="N9" s="12"/>
      <c r="O9" s="12"/>
      <c r="P9" s="12"/>
      <c r="Q9" s="12"/>
      <c r="R9" s="12"/>
      <c r="S9" s="12"/>
      <c r="T9" s="12"/>
      <c r="U9" s="12"/>
      <c r="V9" s="12"/>
      <c r="W9" s="12"/>
      <c r="X9" s="12"/>
      <c r="Y9" s="12"/>
      <c r="Z9" s="12"/>
      <c r="AA9" s="12"/>
      <c r="AB9" s="12"/>
      <c r="AC9" s="12"/>
      <c r="AD9" s="12"/>
      <c r="AE9" s="12"/>
      <c r="AF9" s="12"/>
      <c r="AG9" s="12"/>
      <c r="AH9" s="12"/>
      <c r="AI9" s="12"/>
      <c r="AJ9" s="12"/>
      <c r="AK9" s="12"/>
      <c r="AL9" s="12"/>
      <c r="AM9" s="12"/>
      <c r="AN9" s="12"/>
      <c r="AO9" s="12"/>
      <c r="AP9" s="12"/>
      <c r="AQ9" s="12"/>
      <c r="AR9" s="12"/>
      <c r="AS9" s="12"/>
      <c r="AT9" s="12"/>
      <c r="AU9" s="12"/>
      <c r="AV9" s="12"/>
      <c r="AW9" s="12"/>
      <c r="AX9" s="12"/>
      <c r="AY9" s="12"/>
      <c r="AZ9" s="12"/>
      <c r="BA9" s="12"/>
      <c r="BB9" s="12"/>
      <c r="BC9" s="12"/>
      <c r="BD9" s="12"/>
      <c r="BE9" s="12"/>
      <c r="BF9" s="12"/>
      <c r="BG9" s="12"/>
      <c r="BH9" s="12"/>
      <c r="BI9" s="12"/>
      <c r="BJ9" s="12"/>
      <c r="BK9" s="12"/>
      <c r="BL9" s="12"/>
      <c r="BM9" s="12"/>
      <c r="BN9" s="12"/>
      <c r="BO9" s="12"/>
      <c r="BP9" s="12"/>
      <c r="BQ9" s="12"/>
      <c r="BR9" s="12"/>
      <c r="BS9" s="12"/>
      <c r="BT9" s="12"/>
      <c r="BU9" s="12"/>
      <c r="BV9" s="12"/>
      <c r="BW9" s="12"/>
      <c r="BX9" s="12"/>
      <c r="BY9" s="12"/>
      <c r="BZ9" s="12"/>
      <c r="CA9" s="12"/>
      <c r="CB9" s="12"/>
      <c r="CC9" s="12"/>
      <c r="CD9" s="12"/>
      <c r="CE9" s="12"/>
      <c r="CF9" s="12"/>
    </row>
    <row r="10" spans="1:84" x14ac:dyDescent="0.3">
      <c r="A10" s="12"/>
      <c r="B10" s="12"/>
      <c r="C10" s="12"/>
      <c r="D10" s="12"/>
      <c r="E10" s="12"/>
      <c r="F10" s="12"/>
      <c r="G10" s="12"/>
      <c r="H10" s="12"/>
      <c r="I10" s="12"/>
      <c r="J10" s="12"/>
      <c r="K10" s="12"/>
      <c r="L10" s="12"/>
      <c r="M10" s="12"/>
      <c r="N10" s="12"/>
      <c r="O10" s="12"/>
      <c r="P10" s="12"/>
      <c r="Q10" s="12"/>
      <c r="R10" s="12"/>
      <c r="S10" s="12"/>
      <c r="T10" s="12"/>
      <c r="U10" s="12"/>
      <c r="V10" s="12"/>
      <c r="W10" s="12"/>
      <c r="X10" s="12"/>
      <c r="Y10" s="12"/>
      <c r="Z10" s="12"/>
      <c r="AA10" s="12"/>
      <c r="AB10" s="12"/>
      <c r="AC10" s="12"/>
      <c r="AD10" s="12"/>
      <c r="AE10" s="12"/>
      <c r="AF10" s="12"/>
      <c r="AG10" s="12"/>
      <c r="AH10" s="12"/>
      <c r="AI10" s="12"/>
      <c r="AJ10" s="12"/>
      <c r="AK10" s="12"/>
      <c r="AL10" s="12"/>
      <c r="AM10" s="12"/>
      <c r="AN10" s="12"/>
      <c r="AO10" s="12"/>
      <c r="AP10" s="12"/>
      <c r="AQ10" s="12"/>
      <c r="AR10" s="12"/>
      <c r="AS10" s="12"/>
      <c r="AT10" s="12"/>
      <c r="AU10" s="12"/>
      <c r="AV10" s="12"/>
      <c r="AW10" s="12"/>
      <c r="AX10" s="12"/>
      <c r="AY10" s="12"/>
      <c r="AZ10" s="12"/>
      <c r="BA10" s="12"/>
      <c r="BB10" s="12"/>
      <c r="BC10" s="12"/>
      <c r="BD10" s="12"/>
      <c r="BE10" s="12"/>
      <c r="BF10" s="12"/>
      <c r="BG10" s="12"/>
      <c r="BH10" s="12"/>
      <c r="BI10" s="12"/>
      <c r="BJ10" s="12"/>
      <c r="BK10" s="12"/>
      <c r="BL10" s="12"/>
      <c r="BM10" s="12"/>
      <c r="BN10" s="12"/>
      <c r="BO10" s="12"/>
      <c r="BP10" s="12"/>
      <c r="BQ10" s="12"/>
      <c r="BR10" s="12"/>
      <c r="BS10" s="12"/>
      <c r="BT10" s="12"/>
      <c r="BU10" s="12"/>
      <c r="BV10" s="12"/>
      <c r="BW10" s="12"/>
      <c r="BX10" s="12"/>
      <c r="BY10" s="12"/>
      <c r="BZ10" s="12"/>
      <c r="CA10" s="12"/>
      <c r="CB10" s="12"/>
      <c r="CC10" s="12"/>
      <c r="CD10" s="12"/>
      <c r="CE10" s="12"/>
      <c r="CF10" s="12"/>
    </row>
    <row r="11" spans="1:84" x14ac:dyDescent="0.3">
      <c r="A11" s="12"/>
      <c r="B11" s="12"/>
      <c r="C11" s="12"/>
      <c r="D11" s="12"/>
      <c r="E11" s="12"/>
      <c r="F11" s="12"/>
      <c r="G11" s="12"/>
      <c r="H11" s="12"/>
      <c r="I11" s="12"/>
      <c r="J11" s="12"/>
      <c r="K11" s="12"/>
      <c r="L11" s="12"/>
      <c r="M11" s="12"/>
      <c r="N11" s="12"/>
      <c r="O11" s="12"/>
      <c r="P11" s="12"/>
      <c r="Q11" s="12"/>
      <c r="R11" s="12"/>
      <c r="S11" s="12"/>
      <c r="T11" s="12"/>
      <c r="U11" s="12"/>
      <c r="V11" s="12"/>
      <c r="W11" s="12"/>
      <c r="X11" s="12"/>
      <c r="Y11" s="12"/>
      <c r="Z11" s="12"/>
      <c r="AA11" s="12"/>
      <c r="AB11" s="12"/>
      <c r="AC11" s="12"/>
      <c r="AD11" s="12"/>
      <c r="AE11" s="12"/>
      <c r="AF11" s="12"/>
      <c r="AG11" s="12"/>
      <c r="AH11" s="12"/>
      <c r="AI11" s="12"/>
      <c r="AJ11" s="12"/>
      <c r="AK11" s="12"/>
      <c r="AL11" s="12"/>
      <c r="AM11" s="12"/>
      <c r="AN11" s="12"/>
      <c r="AO11" s="12"/>
      <c r="AP11" s="12"/>
      <c r="AQ11" s="12"/>
      <c r="AR11" s="12"/>
      <c r="AS11" s="12"/>
      <c r="AT11" s="12"/>
      <c r="AU11" s="12"/>
      <c r="AV11" s="12"/>
      <c r="AW11" s="12"/>
      <c r="AX11" s="12"/>
      <c r="AY11" s="12"/>
      <c r="AZ11" s="12"/>
      <c r="BA11" s="12"/>
      <c r="BB11" s="12"/>
      <c r="BC11" s="12"/>
      <c r="BD11" s="12"/>
      <c r="BE11" s="12"/>
      <c r="BF11" s="12"/>
      <c r="BG11" s="12"/>
      <c r="BH11" s="12"/>
      <c r="BI11" s="12"/>
      <c r="BJ11" s="12"/>
      <c r="BK11" s="12"/>
      <c r="BL11" s="12"/>
      <c r="BM11" s="12"/>
      <c r="BN11" s="12"/>
      <c r="BO11" s="12"/>
      <c r="BP11" s="12"/>
      <c r="BQ11" s="12"/>
      <c r="BR11" s="12"/>
      <c r="BS11" s="12"/>
      <c r="BT11" s="12"/>
      <c r="BU11" s="12"/>
      <c r="BV11" s="12"/>
      <c r="BW11" s="12"/>
      <c r="BX11" s="12"/>
      <c r="BY11" s="12"/>
      <c r="BZ11" s="12"/>
      <c r="CA11" s="12"/>
      <c r="CB11" s="12"/>
      <c r="CC11" s="12"/>
      <c r="CD11" s="12"/>
      <c r="CE11" s="12"/>
      <c r="CF11" s="12"/>
    </row>
    <row r="12" spans="1:84" x14ac:dyDescent="0.3">
      <c r="A12" s="12"/>
      <c r="B12" s="12"/>
      <c r="C12" s="12"/>
      <c r="D12" s="12"/>
      <c r="E12" s="12"/>
      <c r="F12" s="12"/>
      <c r="G12" s="12"/>
      <c r="H12" s="12"/>
      <c r="I12" s="12"/>
      <c r="J12" s="12"/>
      <c r="K12" s="12"/>
      <c r="L12" s="12"/>
      <c r="M12" s="12"/>
      <c r="N12" s="12"/>
      <c r="O12" s="12"/>
      <c r="P12" s="12"/>
      <c r="Q12" s="12"/>
      <c r="R12" s="12"/>
      <c r="S12" s="12"/>
      <c r="T12" s="12"/>
      <c r="U12" s="12"/>
      <c r="V12" s="12"/>
      <c r="W12" s="12"/>
      <c r="X12" s="12"/>
      <c r="Y12" s="12"/>
      <c r="Z12" s="12"/>
      <c r="AA12" s="12"/>
      <c r="AB12" s="12"/>
      <c r="AC12" s="12"/>
      <c r="AD12" s="12"/>
      <c r="AE12" s="12"/>
      <c r="AF12" s="12"/>
      <c r="AG12" s="12"/>
      <c r="AH12" s="12"/>
      <c r="AI12" s="12"/>
      <c r="AJ12" s="12"/>
      <c r="AK12" s="12"/>
      <c r="AL12" s="12"/>
      <c r="AM12" s="12"/>
      <c r="AN12" s="12"/>
      <c r="AO12" s="12"/>
      <c r="AP12" s="12"/>
      <c r="AQ12" s="12"/>
      <c r="AR12" s="12"/>
      <c r="AS12" s="12"/>
      <c r="AT12" s="12"/>
      <c r="AU12" s="12"/>
      <c r="AV12" s="12"/>
      <c r="AW12" s="12"/>
      <c r="AX12" s="12"/>
      <c r="AY12" s="12"/>
      <c r="AZ12" s="12"/>
      <c r="BA12" s="12"/>
      <c r="BB12" s="12"/>
      <c r="BC12" s="12"/>
      <c r="BD12" s="12"/>
      <c r="BE12" s="12"/>
      <c r="BF12" s="12"/>
      <c r="BG12" s="12"/>
      <c r="BH12" s="12"/>
      <c r="BI12" s="12"/>
      <c r="BJ12" s="12"/>
      <c r="BK12" s="12"/>
      <c r="BL12" s="12"/>
      <c r="BM12" s="12"/>
      <c r="BN12" s="12"/>
      <c r="BO12" s="12"/>
      <c r="BP12" s="12"/>
      <c r="BQ12" s="12"/>
      <c r="BR12" s="12"/>
      <c r="BS12" s="12"/>
      <c r="BT12" s="12"/>
      <c r="BU12" s="12"/>
      <c r="BV12" s="12"/>
      <c r="BW12" s="12"/>
      <c r="BX12" s="12"/>
      <c r="BY12" s="12"/>
      <c r="BZ12" s="12"/>
      <c r="CA12" s="12"/>
      <c r="CB12" s="12"/>
      <c r="CC12" s="12"/>
      <c r="CD12" s="12"/>
      <c r="CE12" s="12"/>
      <c r="CF12" s="12"/>
    </row>
    <row r="13" spans="1:84" x14ac:dyDescent="0.3">
      <c r="A13" s="12"/>
      <c r="B13" s="12"/>
      <c r="C13" s="12"/>
      <c r="D13" s="12"/>
      <c r="E13" s="12"/>
      <c r="F13" s="12"/>
      <c r="G13" s="12"/>
      <c r="H13" s="12"/>
      <c r="I13" s="12"/>
      <c r="J13" s="12"/>
      <c r="K13" s="12"/>
      <c r="L13" s="12"/>
      <c r="M13" s="12"/>
      <c r="N13" s="12"/>
      <c r="O13" s="12"/>
      <c r="P13" s="12"/>
      <c r="Q13" s="12"/>
      <c r="R13" s="12"/>
      <c r="S13" s="12"/>
      <c r="T13" s="12"/>
      <c r="U13" s="12"/>
      <c r="V13" s="12"/>
      <c r="W13" s="12"/>
      <c r="X13" s="12"/>
      <c r="Y13" s="12"/>
      <c r="Z13" s="12"/>
      <c r="AA13" s="12"/>
      <c r="AB13" s="12"/>
      <c r="AC13" s="12"/>
      <c r="AD13" s="12"/>
      <c r="AE13" s="12"/>
      <c r="AF13" s="12"/>
      <c r="AG13" s="12"/>
      <c r="AH13" s="12"/>
      <c r="AI13" s="12"/>
      <c r="AJ13" s="12"/>
      <c r="AK13" s="12"/>
      <c r="AL13" s="12"/>
      <c r="AM13" s="12"/>
      <c r="AN13" s="12"/>
      <c r="AO13" s="12"/>
      <c r="AP13" s="12"/>
      <c r="AQ13" s="12"/>
      <c r="AR13" s="12"/>
      <c r="AS13" s="12"/>
      <c r="AT13" s="12"/>
      <c r="AU13" s="12"/>
      <c r="AV13" s="12"/>
      <c r="AW13" s="12"/>
      <c r="AX13" s="12"/>
      <c r="AY13" s="12"/>
      <c r="AZ13" s="12"/>
      <c r="BA13" s="12"/>
      <c r="BB13" s="12"/>
      <c r="BC13" s="12"/>
      <c r="BD13" s="12"/>
      <c r="BE13" s="12"/>
      <c r="BF13" s="12"/>
      <c r="BG13" s="12"/>
      <c r="BH13" s="12"/>
      <c r="BI13" s="12"/>
      <c r="BJ13" s="12"/>
      <c r="BK13" s="12"/>
      <c r="BL13" s="12"/>
      <c r="BM13" s="12"/>
      <c r="BN13" s="12"/>
      <c r="BO13" s="12"/>
      <c r="BP13" s="12"/>
      <c r="BQ13" s="12"/>
      <c r="BR13" s="12"/>
      <c r="BS13" s="12"/>
      <c r="BT13" s="12"/>
      <c r="BU13" s="12"/>
      <c r="BV13" s="12"/>
      <c r="BW13" s="12"/>
      <c r="BX13" s="12"/>
      <c r="BY13" s="12"/>
      <c r="BZ13" s="12"/>
      <c r="CA13" s="12"/>
      <c r="CB13" s="12"/>
      <c r="CC13" s="12"/>
      <c r="CD13" s="12"/>
      <c r="CE13" s="12"/>
      <c r="CF13" s="12"/>
    </row>
    <row r="14" spans="1:84" x14ac:dyDescent="0.3">
      <c r="A14" s="12"/>
      <c r="B14" s="12"/>
      <c r="C14" s="12"/>
      <c r="D14" s="12"/>
      <c r="E14" s="12"/>
      <c r="F14" s="12"/>
      <c r="G14" s="12"/>
      <c r="H14" s="12"/>
      <c r="I14" s="12"/>
      <c r="J14" s="12"/>
      <c r="K14" s="12"/>
      <c r="L14" s="12"/>
      <c r="M14" s="12"/>
      <c r="N14" s="12"/>
      <c r="O14" s="12"/>
      <c r="P14" s="12"/>
      <c r="Q14" s="12"/>
      <c r="R14" s="12"/>
      <c r="S14" s="12"/>
      <c r="T14" s="12"/>
      <c r="U14" s="12"/>
      <c r="V14" s="12"/>
      <c r="W14" s="12"/>
      <c r="X14" s="12"/>
      <c r="Y14" s="12"/>
      <c r="Z14" s="12"/>
      <c r="AA14" s="12"/>
      <c r="AB14" s="12"/>
      <c r="AC14" s="12"/>
      <c r="AD14" s="12"/>
      <c r="AE14" s="12"/>
      <c r="AF14" s="12"/>
      <c r="AG14" s="12"/>
      <c r="AH14" s="12"/>
      <c r="AI14" s="12"/>
      <c r="AJ14" s="12"/>
      <c r="AK14" s="12"/>
      <c r="AL14" s="12"/>
      <c r="AM14" s="12"/>
      <c r="AN14" s="12"/>
      <c r="AO14" s="12"/>
      <c r="AP14" s="12"/>
      <c r="AQ14" s="12"/>
      <c r="AR14" s="12"/>
      <c r="AS14" s="12"/>
      <c r="AT14" s="12"/>
      <c r="AU14" s="12"/>
      <c r="AV14" s="12"/>
      <c r="AW14" s="12"/>
      <c r="AX14" s="12"/>
      <c r="AY14" s="12"/>
      <c r="AZ14" s="12"/>
      <c r="BA14" s="12"/>
      <c r="BB14" s="12"/>
      <c r="BC14" s="12"/>
      <c r="BD14" s="12"/>
      <c r="BE14" s="12"/>
      <c r="BF14" s="12"/>
      <c r="BG14" s="12"/>
      <c r="BH14" s="12"/>
      <c r="BI14" s="12"/>
      <c r="BJ14" s="12"/>
      <c r="BK14" s="12"/>
      <c r="BL14" s="12"/>
      <c r="BM14" s="12"/>
      <c r="BN14" s="12"/>
      <c r="BO14" s="12"/>
      <c r="BP14" s="12"/>
      <c r="BQ14" s="12"/>
      <c r="BR14" s="12"/>
      <c r="BS14" s="12"/>
      <c r="BT14" s="12"/>
      <c r="BU14" s="12"/>
      <c r="BV14" s="12"/>
      <c r="BW14" s="12"/>
      <c r="BX14" s="12"/>
      <c r="BY14" s="12"/>
      <c r="BZ14" s="12"/>
      <c r="CA14" s="12"/>
      <c r="CB14" s="12"/>
      <c r="CC14" s="12"/>
      <c r="CD14" s="12"/>
      <c r="CE14" s="12"/>
      <c r="CF14" s="12"/>
    </row>
    <row r="15" spans="1:84" x14ac:dyDescent="0.3">
      <c r="A15" s="12"/>
      <c r="B15" s="12"/>
      <c r="C15" s="12"/>
      <c r="D15" s="12"/>
      <c r="E15" s="12"/>
      <c r="F15" s="12"/>
      <c r="G15" s="12"/>
      <c r="H15" s="12"/>
      <c r="I15" s="12"/>
      <c r="J15" s="12"/>
      <c r="K15" s="12"/>
      <c r="L15" s="12"/>
      <c r="M15" s="12"/>
      <c r="N15" s="12"/>
      <c r="O15" s="12"/>
      <c r="P15" s="12"/>
      <c r="Q15" s="12"/>
      <c r="R15" s="12"/>
      <c r="S15" s="12"/>
      <c r="T15" s="12"/>
      <c r="U15" s="12"/>
      <c r="V15" s="12"/>
      <c r="W15" s="12"/>
      <c r="X15" s="12"/>
      <c r="Y15" s="12"/>
      <c r="Z15" s="12"/>
      <c r="AA15" s="12"/>
      <c r="AB15" s="12"/>
      <c r="AC15" s="12"/>
      <c r="AD15" s="12"/>
      <c r="AE15" s="12"/>
      <c r="AF15" s="12"/>
      <c r="AG15" s="12"/>
      <c r="AH15" s="12"/>
      <c r="AI15" s="12"/>
      <c r="AJ15" s="12"/>
      <c r="AK15" s="12"/>
      <c r="AL15" s="12"/>
      <c r="AM15" s="12"/>
      <c r="AN15" s="12"/>
      <c r="AO15" s="12"/>
      <c r="AP15" s="12"/>
      <c r="AQ15" s="12"/>
      <c r="AR15" s="12"/>
      <c r="AS15" s="12"/>
      <c r="AT15" s="12"/>
      <c r="AU15" s="12"/>
      <c r="AV15" s="12"/>
      <c r="AW15" s="12"/>
      <c r="AX15" s="12"/>
      <c r="AY15" s="12"/>
      <c r="AZ15" s="12"/>
      <c r="BA15" s="12"/>
      <c r="BB15" s="12"/>
      <c r="BC15" s="12"/>
      <c r="BD15" s="12"/>
      <c r="BE15" s="12"/>
      <c r="BF15" s="12"/>
      <c r="BG15" s="12"/>
      <c r="BH15" s="12"/>
      <c r="BI15" s="12"/>
      <c r="BJ15" s="12"/>
      <c r="BK15" s="12"/>
      <c r="BL15" s="12"/>
      <c r="BM15" s="12"/>
      <c r="BN15" s="12"/>
      <c r="BO15" s="12"/>
      <c r="BP15" s="12"/>
      <c r="BQ15" s="12"/>
      <c r="BR15" s="12"/>
      <c r="BS15" s="12"/>
      <c r="BT15" s="12"/>
      <c r="BU15" s="12"/>
      <c r="BV15" s="12"/>
      <c r="BW15" s="12"/>
      <c r="BX15" s="12"/>
      <c r="BY15" s="12"/>
      <c r="BZ15" s="12"/>
      <c r="CA15" s="12"/>
      <c r="CB15" s="12"/>
      <c r="CC15" s="12"/>
      <c r="CD15" s="12"/>
      <c r="CE15" s="12"/>
      <c r="CF15" s="12"/>
    </row>
    <row r="16" spans="1:84" x14ac:dyDescent="0.3">
      <c r="A16" s="12"/>
      <c r="B16" s="12"/>
      <c r="C16" s="12"/>
      <c r="D16" s="12"/>
      <c r="E16" s="12"/>
      <c r="F16" s="12"/>
      <c r="G16" s="12"/>
      <c r="H16" s="12"/>
      <c r="I16" s="12"/>
      <c r="J16" s="12"/>
      <c r="K16" s="12"/>
      <c r="L16" s="12"/>
      <c r="M16" s="12"/>
      <c r="N16" s="12"/>
      <c r="O16" s="12"/>
      <c r="P16" s="12"/>
      <c r="Q16" s="12"/>
      <c r="R16" s="12"/>
      <c r="S16" s="12"/>
      <c r="T16" s="12"/>
      <c r="U16" s="12"/>
      <c r="V16" s="12"/>
      <c r="W16" s="12"/>
      <c r="X16" s="12"/>
      <c r="Y16" s="12"/>
      <c r="Z16" s="12"/>
      <c r="AA16" s="12"/>
      <c r="AB16" s="12"/>
      <c r="AC16" s="12"/>
      <c r="AD16" s="12"/>
      <c r="AE16" s="12"/>
      <c r="AF16" s="12"/>
      <c r="AG16" s="12"/>
      <c r="AH16" s="12"/>
      <c r="AI16" s="12"/>
      <c r="AJ16" s="12"/>
      <c r="AK16" s="12"/>
      <c r="AL16" s="12"/>
      <c r="AM16" s="12"/>
      <c r="AN16" s="12"/>
      <c r="AO16" s="12"/>
      <c r="AP16" s="12"/>
      <c r="AQ16" s="12"/>
      <c r="AR16" s="12"/>
      <c r="AS16" s="12"/>
      <c r="AT16" s="12"/>
      <c r="AU16" s="12"/>
      <c r="AV16" s="12"/>
      <c r="AW16" s="12"/>
      <c r="AX16" s="12"/>
      <c r="AY16" s="12"/>
      <c r="AZ16" s="12"/>
      <c r="BA16" s="12"/>
      <c r="BB16" s="12"/>
      <c r="BC16" s="12"/>
      <c r="BD16" s="12"/>
      <c r="BE16" s="12"/>
      <c r="BF16" s="12"/>
      <c r="BG16" s="12"/>
      <c r="BH16" s="12"/>
      <c r="BI16" s="12"/>
      <c r="BJ16" s="12"/>
      <c r="BK16" s="12"/>
      <c r="BL16" s="12"/>
      <c r="BM16" s="12"/>
      <c r="BN16" s="12"/>
      <c r="BO16" s="12"/>
      <c r="BP16" s="12"/>
      <c r="BQ16" s="12"/>
      <c r="BR16" s="12"/>
      <c r="BS16" s="12"/>
      <c r="BT16" s="12"/>
      <c r="BU16" s="12"/>
      <c r="BV16" s="12"/>
      <c r="BW16" s="12"/>
      <c r="BX16" s="12"/>
      <c r="BY16" s="12"/>
      <c r="BZ16" s="12"/>
      <c r="CA16" s="12"/>
      <c r="CB16" s="12"/>
      <c r="CC16" s="12"/>
      <c r="CD16" s="12"/>
      <c r="CE16" s="12"/>
      <c r="CF16" s="12"/>
    </row>
    <row r="17" spans="1:84" x14ac:dyDescent="0.3">
      <c r="A17" s="12"/>
      <c r="B17" s="12"/>
      <c r="C17" s="12"/>
      <c r="D17" s="12"/>
      <c r="E17" s="12"/>
      <c r="F17" s="12"/>
      <c r="G17" s="12"/>
      <c r="H17" s="12"/>
      <c r="I17" s="12"/>
      <c r="J17" s="12"/>
      <c r="K17" s="12"/>
      <c r="L17" s="12"/>
      <c r="M17" s="12"/>
      <c r="N17" s="12"/>
      <c r="O17" s="12"/>
      <c r="P17" s="12"/>
      <c r="Q17" s="12"/>
      <c r="R17" s="12"/>
      <c r="S17" s="12"/>
      <c r="T17" s="12"/>
      <c r="U17" s="12"/>
      <c r="V17" s="12"/>
      <c r="W17" s="12"/>
      <c r="X17" s="12"/>
      <c r="Y17" s="12"/>
      <c r="Z17" s="12"/>
      <c r="AA17" s="12"/>
      <c r="AB17" s="12"/>
      <c r="AC17" s="12"/>
      <c r="AD17" s="12"/>
      <c r="AE17" s="12"/>
      <c r="AF17" s="12"/>
      <c r="AG17" s="12"/>
      <c r="AH17" s="12"/>
      <c r="AI17" s="12"/>
      <c r="AJ17" s="12"/>
      <c r="AK17" s="12"/>
      <c r="AL17" s="12"/>
      <c r="AM17" s="12"/>
      <c r="AN17" s="12"/>
      <c r="AO17" s="12"/>
      <c r="AP17" s="12"/>
      <c r="AQ17" s="12"/>
      <c r="AR17" s="12"/>
      <c r="AS17" s="12"/>
      <c r="AT17" s="12"/>
      <c r="AU17" s="12"/>
      <c r="AV17" s="12"/>
      <c r="AW17" s="12"/>
      <c r="AX17" s="12"/>
      <c r="AY17" s="12"/>
      <c r="AZ17" s="12"/>
      <c r="BA17" s="12"/>
      <c r="BB17" s="12"/>
      <c r="BC17" s="12"/>
      <c r="BD17" s="12"/>
      <c r="BE17" s="12"/>
      <c r="BF17" s="12"/>
      <c r="BG17" s="12"/>
      <c r="BH17" s="12"/>
      <c r="BI17" s="12"/>
      <c r="BJ17" s="12"/>
      <c r="BK17" s="12"/>
      <c r="BL17" s="12"/>
      <c r="BM17" s="12"/>
      <c r="BN17" s="12"/>
      <c r="BO17" s="12"/>
      <c r="BP17" s="12"/>
      <c r="BQ17" s="12"/>
      <c r="BR17" s="12"/>
      <c r="BS17" s="12"/>
      <c r="BT17" s="12"/>
      <c r="BU17" s="12"/>
      <c r="BV17" s="12"/>
      <c r="BW17" s="12"/>
      <c r="BX17" s="12"/>
      <c r="BY17" s="12"/>
      <c r="BZ17" s="12"/>
      <c r="CA17" s="12"/>
      <c r="CB17" s="12"/>
      <c r="CC17" s="12"/>
      <c r="CD17" s="12"/>
      <c r="CE17" s="12"/>
      <c r="CF17" s="12"/>
    </row>
    <row r="18" spans="1:84" x14ac:dyDescent="0.3">
      <c r="A18" s="12"/>
      <c r="B18" s="12"/>
      <c r="C18" s="12"/>
      <c r="D18" s="12"/>
      <c r="E18" s="12"/>
      <c r="F18" s="12"/>
      <c r="G18" s="12"/>
      <c r="H18" s="12"/>
      <c r="I18" s="12"/>
      <c r="J18" s="12"/>
      <c r="K18" s="12"/>
      <c r="L18" s="12"/>
      <c r="M18" s="12"/>
      <c r="N18" s="12"/>
      <c r="O18" s="12"/>
      <c r="P18" s="12"/>
      <c r="Q18" s="12"/>
      <c r="R18" s="12"/>
      <c r="S18" s="12"/>
      <c r="T18" s="12"/>
      <c r="U18" s="12"/>
      <c r="V18" s="12"/>
      <c r="W18" s="12"/>
      <c r="X18" s="12"/>
      <c r="Y18" s="12"/>
      <c r="Z18" s="12"/>
      <c r="AA18" s="12"/>
      <c r="AB18" s="12"/>
      <c r="AC18" s="12"/>
      <c r="AD18" s="12"/>
      <c r="AE18" s="12"/>
      <c r="AF18" s="12"/>
      <c r="AG18" s="12"/>
      <c r="AH18" s="12"/>
      <c r="AI18" s="12"/>
      <c r="AJ18" s="12"/>
      <c r="AK18" s="12"/>
      <c r="AL18" s="12"/>
      <c r="AM18" s="12"/>
      <c r="AN18" s="12"/>
      <c r="AO18" s="12"/>
      <c r="AP18" s="12"/>
      <c r="AQ18" s="12"/>
      <c r="AR18" s="12"/>
      <c r="AS18" s="12"/>
      <c r="AT18" s="12"/>
      <c r="AU18" s="12"/>
      <c r="AV18" s="12"/>
      <c r="AW18" s="12"/>
      <c r="AX18" s="12"/>
      <c r="AY18" s="12"/>
      <c r="AZ18" s="12"/>
      <c r="BA18" s="12"/>
      <c r="BB18" s="12"/>
      <c r="BC18" s="12"/>
      <c r="BD18" s="12"/>
      <c r="BE18" s="12"/>
      <c r="BF18" s="12"/>
      <c r="BG18" s="12"/>
      <c r="BH18" s="12"/>
      <c r="BI18" s="12"/>
      <c r="BJ18" s="12"/>
      <c r="BK18" s="12"/>
      <c r="BL18" s="12"/>
      <c r="BM18" s="12"/>
      <c r="BN18" s="12"/>
      <c r="BO18" s="12"/>
      <c r="BP18" s="12"/>
      <c r="BQ18" s="12"/>
      <c r="BR18" s="12"/>
      <c r="BS18" s="12"/>
      <c r="BT18" s="12"/>
      <c r="BU18" s="12"/>
      <c r="BV18" s="12"/>
      <c r="BW18" s="12"/>
      <c r="BX18" s="12"/>
      <c r="BY18" s="12"/>
      <c r="BZ18" s="12"/>
      <c r="CA18" s="12"/>
      <c r="CB18" s="12"/>
      <c r="CC18" s="12"/>
      <c r="CD18" s="12"/>
      <c r="CE18" s="12"/>
      <c r="CF18" s="12"/>
    </row>
    <row r="19" spans="1:84" x14ac:dyDescent="0.3">
      <c r="A19" s="12"/>
      <c r="B19" s="12"/>
      <c r="C19" s="12"/>
      <c r="D19" s="12"/>
      <c r="E19" s="12"/>
      <c r="F19" s="12"/>
      <c r="G19" s="12"/>
      <c r="H19" s="12"/>
      <c r="I19" s="12"/>
      <c r="J19" s="12"/>
      <c r="K19" s="12"/>
      <c r="L19" s="12"/>
      <c r="M19" s="12"/>
      <c r="N19" s="12"/>
      <c r="O19" s="12"/>
      <c r="P19" s="12"/>
      <c r="Q19" s="12"/>
      <c r="R19" s="12"/>
      <c r="S19" s="12"/>
      <c r="T19" s="12"/>
      <c r="U19" s="12"/>
      <c r="V19" s="12"/>
      <c r="W19" s="12"/>
      <c r="X19" s="12"/>
      <c r="Y19" s="12"/>
      <c r="Z19" s="12"/>
      <c r="AA19" s="12"/>
      <c r="AB19" s="12"/>
      <c r="AC19" s="12"/>
      <c r="AD19" s="12"/>
      <c r="AE19" s="12"/>
      <c r="AF19" s="12"/>
      <c r="AG19" s="12"/>
      <c r="AH19" s="12"/>
      <c r="AI19" s="12"/>
      <c r="AJ19" s="12"/>
      <c r="AK19" s="12"/>
      <c r="AL19" s="12"/>
      <c r="AM19" s="12"/>
      <c r="AN19" s="12"/>
      <c r="AO19" s="12"/>
      <c r="AP19" s="12"/>
      <c r="AQ19" s="12"/>
      <c r="AR19" s="12"/>
      <c r="AS19" s="12"/>
      <c r="AT19" s="12"/>
      <c r="AU19" s="12"/>
      <c r="AV19" s="12"/>
      <c r="AW19" s="12"/>
      <c r="AX19" s="12"/>
      <c r="AY19" s="12"/>
      <c r="AZ19" s="12"/>
      <c r="BA19" s="12"/>
      <c r="BB19" s="12"/>
      <c r="BC19" s="12"/>
      <c r="BD19" s="12"/>
      <c r="BE19" s="12"/>
      <c r="BF19" s="12"/>
      <c r="BG19" s="12"/>
      <c r="BH19" s="12"/>
      <c r="BI19" s="12"/>
      <c r="BJ19" s="12"/>
      <c r="BK19" s="12"/>
      <c r="BL19" s="12"/>
      <c r="BM19" s="12"/>
      <c r="BN19" s="12"/>
      <c r="BO19" s="12"/>
      <c r="BP19" s="12"/>
      <c r="BQ19" s="12"/>
      <c r="BR19" s="12"/>
      <c r="BS19" s="12"/>
      <c r="BT19" s="12"/>
      <c r="BU19" s="12"/>
      <c r="BV19" s="12"/>
      <c r="BW19" s="12"/>
      <c r="BX19" s="12"/>
      <c r="BY19" s="12"/>
      <c r="BZ19" s="12"/>
      <c r="CA19" s="12"/>
      <c r="CB19" s="12"/>
      <c r="CC19" s="12"/>
      <c r="CD19" s="12"/>
      <c r="CE19" s="12"/>
      <c r="CF19" s="12"/>
    </row>
    <row r="20" spans="1:84" x14ac:dyDescent="0.3">
      <c r="A20" s="12"/>
      <c r="B20" s="12"/>
      <c r="C20" s="12"/>
      <c r="D20" s="12"/>
      <c r="E20" s="12"/>
      <c r="F20" s="12"/>
      <c r="G20" s="12"/>
      <c r="H20" s="12"/>
      <c r="I20" s="12"/>
      <c r="J20" s="12"/>
      <c r="K20" s="12"/>
      <c r="L20" s="12"/>
      <c r="M20" s="12"/>
      <c r="N20" s="12"/>
      <c r="O20" s="12"/>
      <c r="P20" s="12"/>
      <c r="Q20" s="12"/>
      <c r="R20" s="12"/>
      <c r="S20" s="12"/>
      <c r="T20" s="12"/>
      <c r="U20" s="12"/>
      <c r="V20" s="12"/>
      <c r="W20" s="12"/>
      <c r="X20" s="12"/>
      <c r="Y20" s="12"/>
      <c r="Z20" s="12"/>
      <c r="AA20" s="12"/>
      <c r="AB20" s="12"/>
      <c r="AC20" s="12"/>
      <c r="AD20" s="12"/>
      <c r="AE20" s="12"/>
      <c r="AF20" s="12"/>
      <c r="AG20" s="12"/>
      <c r="AH20" s="12"/>
      <c r="AI20" s="12"/>
      <c r="AJ20" s="12"/>
      <c r="AK20" s="12"/>
      <c r="AL20" s="12"/>
      <c r="AM20" s="12"/>
      <c r="AN20" s="12"/>
      <c r="AO20" s="12"/>
      <c r="AP20" s="12"/>
      <c r="AQ20" s="12"/>
      <c r="AR20" s="12"/>
      <c r="AS20" s="12"/>
      <c r="AT20" s="12"/>
      <c r="AU20" s="12"/>
      <c r="AV20" s="12"/>
      <c r="AW20" s="12"/>
      <c r="AX20" s="12"/>
      <c r="AY20" s="12"/>
      <c r="AZ20" s="12"/>
      <c r="BA20" s="12"/>
      <c r="BB20" s="12"/>
      <c r="BC20" s="12"/>
      <c r="BD20" s="12"/>
      <c r="BE20" s="12"/>
      <c r="BF20" s="12"/>
      <c r="BG20" s="12"/>
      <c r="BH20" s="12"/>
      <c r="BI20" s="12"/>
      <c r="BJ20" s="12"/>
      <c r="BK20" s="12"/>
      <c r="BL20" s="12"/>
      <c r="BM20" s="12"/>
      <c r="BN20" s="12"/>
      <c r="BO20" s="12"/>
      <c r="BP20" s="12"/>
      <c r="BQ20" s="12"/>
      <c r="BR20" s="12"/>
      <c r="BS20" s="12"/>
      <c r="BT20" s="12"/>
      <c r="BU20" s="12"/>
      <c r="BV20" s="12"/>
      <c r="BW20" s="12"/>
      <c r="BX20" s="12"/>
      <c r="BY20" s="12"/>
      <c r="BZ20" s="12"/>
      <c r="CA20" s="12"/>
      <c r="CB20" s="12"/>
      <c r="CC20" s="12"/>
      <c r="CD20" s="12"/>
      <c r="CE20" s="12"/>
      <c r="CF20" s="12"/>
    </row>
    <row r="21" spans="1:84" x14ac:dyDescent="0.3">
      <c r="A21" s="12"/>
      <c r="B21" s="12"/>
      <c r="C21" s="12"/>
      <c r="D21" s="12"/>
      <c r="E21" s="12"/>
      <c r="F21" s="12"/>
      <c r="G21" s="12"/>
      <c r="H21" s="12"/>
      <c r="I21" s="12"/>
      <c r="J21" s="12"/>
      <c r="K21" s="12"/>
      <c r="L21" s="12"/>
      <c r="M21" s="12"/>
      <c r="N21" s="12"/>
      <c r="O21" s="12"/>
      <c r="P21" s="12"/>
      <c r="Q21" s="12"/>
      <c r="R21" s="12"/>
      <c r="S21" s="12"/>
      <c r="T21" s="12"/>
      <c r="U21" s="12"/>
      <c r="V21" s="12"/>
      <c r="W21" s="12"/>
      <c r="X21" s="12"/>
      <c r="Y21" s="12"/>
      <c r="Z21" s="12"/>
      <c r="AA21" s="12"/>
      <c r="AB21" s="12"/>
      <c r="AC21" s="12"/>
      <c r="AD21" s="12"/>
      <c r="AE21" s="12"/>
      <c r="AF21" s="12"/>
      <c r="AG21" s="12"/>
      <c r="AH21" s="12"/>
      <c r="AI21" s="12"/>
      <c r="AJ21" s="12"/>
      <c r="AK21" s="12"/>
      <c r="AL21" s="12"/>
      <c r="AM21" s="12"/>
      <c r="AN21" s="12"/>
      <c r="AO21" s="12"/>
      <c r="AP21" s="12"/>
      <c r="AQ21" s="12"/>
      <c r="AR21" s="12"/>
      <c r="AS21" s="12"/>
      <c r="AT21" s="12"/>
      <c r="AU21" s="12"/>
      <c r="AV21" s="12"/>
      <c r="AW21" s="12"/>
      <c r="AX21" s="12"/>
      <c r="AY21" s="12"/>
      <c r="AZ21" s="12"/>
      <c r="BA21" s="12"/>
      <c r="BB21" s="12"/>
      <c r="BC21" s="12"/>
      <c r="BD21" s="12"/>
      <c r="BE21" s="12"/>
      <c r="BF21" s="12"/>
      <c r="BG21" s="12"/>
      <c r="BH21" s="12"/>
      <c r="BI21" s="12"/>
      <c r="BJ21" s="12"/>
      <c r="BK21" s="12"/>
      <c r="BL21" s="12"/>
      <c r="BM21" s="12"/>
      <c r="BN21" s="12"/>
      <c r="BO21" s="12"/>
      <c r="BP21" s="12"/>
      <c r="BQ21" s="12"/>
      <c r="BR21" s="12"/>
      <c r="BS21" s="12"/>
      <c r="BT21" s="12"/>
      <c r="BU21" s="12"/>
      <c r="BV21" s="12"/>
      <c r="BW21" s="12"/>
      <c r="BX21" s="12"/>
      <c r="BY21" s="12"/>
      <c r="BZ21" s="12"/>
      <c r="CA21" s="12"/>
      <c r="CB21" s="12"/>
      <c r="CC21" s="12"/>
      <c r="CD21" s="12"/>
      <c r="CE21" s="12"/>
      <c r="CF21" s="12"/>
    </row>
    <row r="22" spans="1:84" x14ac:dyDescent="0.3">
      <c r="A22" s="12"/>
      <c r="B22" s="12"/>
      <c r="C22" s="12"/>
      <c r="D22" s="12"/>
      <c r="E22" s="12"/>
      <c r="F22" s="12"/>
      <c r="G22" s="12"/>
      <c r="H22" s="12"/>
      <c r="I22" s="12"/>
      <c r="J22" s="12"/>
      <c r="K22" s="12"/>
      <c r="L22" s="12"/>
      <c r="M22" s="12"/>
      <c r="N22" s="12"/>
      <c r="O22" s="12"/>
      <c r="P22" s="12"/>
      <c r="Q22" s="12"/>
      <c r="R22" s="12"/>
      <c r="S22" s="12"/>
      <c r="T22" s="12"/>
      <c r="U22" s="12"/>
      <c r="V22" s="12"/>
      <c r="W22" s="12"/>
      <c r="X22" s="12"/>
      <c r="Y22" s="12"/>
      <c r="Z22" s="12"/>
      <c r="AA22" s="12"/>
      <c r="AB22" s="12"/>
      <c r="AC22" s="12"/>
      <c r="AD22" s="12"/>
      <c r="AE22" s="12"/>
      <c r="AF22" s="12"/>
      <c r="AG22" s="12"/>
      <c r="AH22" s="12"/>
      <c r="AI22" s="12"/>
      <c r="AJ22" s="12"/>
      <c r="AK22" s="12"/>
      <c r="AL22" s="12"/>
      <c r="AM22" s="12"/>
      <c r="AN22" s="12"/>
      <c r="AO22" s="12"/>
      <c r="AP22" s="12"/>
      <c r="AQ22" s="12"/>
      <c r="AR22" s="12"/>
      <c r="AS22" s="12"/>
      <c r="AT22" s="12"/>
      <c r="AU22" s="12"/>
      <c r="AV22" s="12"/>
      <c r="AW22" s="12"/>
      <c r="AX22" s="12"/>
      <c r="AY22" s="12"/>
      <c r="AZ22" s="12"/>
      <c r="BA22" s="12"/>
      <c r="BB22" s="12"/>
      <c r="BC22" s="12"/>
      <c r="BD22" s="12"/>
      <c r="BE22" s="12"/>
      <c r="BF22" s="12"/>
      <c r="BG22" s="12"/>
      <c r="BH22" s="12"/>
      <c r="BI22" s="12"/>
      <c r="BJ22" s="12"/>
      <c r="BK22" s="12"/>
      <c r="BL22" s="12"/>
      <c r="BM22" s="12"/>
      <c r="BN22" s="12"/>
      <c r="BO22" s="12"/>
      <c r="BP22" s="12"/>
      <c r="BQ22" s="12"/>
      <c r="BR22" s="12"/>
      <c r="BS22" s="12"/>
      <c r="BT22" s="12"/>
      <c r="BU22" s="12"/>
      <c r="BV22" s="12"/>
      <c r="BW22" s="12"/>
      <c r="BX22" s="12"/>
      <c r="BY22" s="12"/>
      <c r="BZ22" s="12"/>
      <c r="CA22" s="12"/>
      <c r="CB22" s="12"/>
      <c r="CC22" s="12"/>
      <c r="CD22" s="12"/>
      <c r="CE22" s="12"/>
      <c r="CF22" s="12"/>
    </row>
    <row r="23" spans="1:84" x14ac:dyDescent="0.3">
      <c r="A23" s="12"/>
      <c r="B23" s="12"/>
      <c r="C23" s="12"/>
      <c r="D23" s="12"/>
      <c r="E23" s="12"/>
      <c r="F23" s="12"/>
      <c r="G23" s="12"/>
      <c r="H23" s="12"/>
      <c r="I23" s="12"/>
      <c r="J23" s="12"/>
      <c r="K23" s="12"/>
      <c r="L23" s="12"/>
      <c r="M23" s="12"/>
      <c r="N23" s="12"/>
      <c r="O23" s="12"/>
      <c r="P23" s="12"/>
      <c r="Q23" s="12"/>
      <c r="R23" s="12"/>
      <c r="S23" s="12"/>
      <c r="T23" s="12"/>
      <c r="U23" s="12"/>
      <c r="V23" s="12"/>
      <c r="W23" s="12"/>
      <c r="X23" s="12"/>
      <c r="Y23" s="12"/>
      <c r="Z23" s="12"/>
      <c r="AA23" s="12"/>
      <c r="AB23" s="12"/>
      <c r="AC23" s="12"/>
      <c r="AD23" s="12"/>
      <c r="AE23" s="12"/>
      <c r="AF23" s="12"/>
      <c r="AG23" s="12"/>
      <c r="AH23" s="12"/>
      <c r="AI23" s="12"/>
      <c r="AJ23" s="12"/>
      <c r="AK23" s="12"/>
      <c r="AL23" s="12"/>
      <c r="AM23" s="12"/>
      <c r="AN23" s="12"/>
      <c r="AO23" s="12"/>
      <c r="AP23" s="12"/>
      <c r="AQ23" s="12"/>
      <c r="AR23" s="12"/>
      <c r="AS23" s="12"/>
      <c r="AT23" s="12"/>
      <c r="AU23" s="12"/>
      <c r="AV23" s="12"/>
      <c r="AW23" s="12"/>
      <c r="AX23" s="12"/>
      <c r="AY23" s="12"/>
      <c r="AZ23" s="12"/>
      <c r="BA23" s="12"/>
      <c r="BB23" s="12"/>
      <c r="BC23" s="12"/>
      <c r="BD23" s="12"/>
      <c r="BE23" s="12"/>
      <c r="BF23" s="12"/>
      <c r="BG23" s="12"/>
      <c r="BH23" s="12"/>
      <c r="BI23" s="12"/>
      <c r="BJ23" s="12"/>
      <c r="BK23" s="12"/>
      <c r="BL23" s="12"/>
      <c r="BM23" s="12"/>
      <c r="BN23" s="12"/>
      <c r="BO23" s="12"/>
      <c r="BP23" s="12"/>
      <c r="BQ23" s="12"/>
      <c r="BR23" s="12"/>
      <c r="BS23" s="12"/>
      <c r="BT23" s="12"/>
      <c r="BU23" s="12"/>
      <c r="BV23" s="12"/>
      <c r="BW23" s="12"/>
      <c r="BX23" s="12"/>
      <c r="BY23" s="12"/>
      <c r="BZ23" s="12"/>
      <c r="CA23" s="12"/>
      <c r="CB23" s="12"/>
      <c r="CC23" s="12"/>
      <c r="CD23" s="12"/>
      <c r="CE23" s="12"/>
      <c r="CF23" s="12"/>
    </row>
    <row r="24" spans="1:84" x14ac:dyDescent="0.3">
      <c r="A24" s="12"/>
      <c r="B24" s="12"/>
      <c r="C24" s="12"/>
      <c r="D24" s="12"/>
      <c r="E24" s="12"/>
      <c r="F24" s="12"/>
      <c r="G24" s="12"/>
      <c r="H24" s="12"/>
      <c r="I24" s="12"/>
      <c r="J24" s="12"/>
      <c r="K24" s="12"/>
      <c r="L24" s="12"/>
      <c r="M24" s="12"/>
      <c r="N24" s="12"/>
      <c r="O24" s="12"/>
      <c r="P24" s="12"/>
      <c r="Q24" s="12"/>
      <c r="R24" s="12"/>
      <c r="S24" s="12"/>
      <c r="T24" s="12"/>
      <c r="U24" s="12"/>
      <c r="V24" s="12"/>
      <c r="W24" s="12"/>
      <c r="X24" s="12"/>
      <c r="Y24" s="12"/>
      <c r="Z24" s="12"/>
      <c r="AA24" s="12"/>
      <c r="AB24" s="12"/>
      <c r="AC24" s="12"/>
      <c r="AD24" s="12"/>
      <c r="AE24" s="12"/>
      <c r="AF24" s="12"/>
      <c r="AG24" s="12"/>
      <c r="AH24" s="12"/>
      <c r="AI24" s="12"/>
      <c r="AJ24" s="12"/>
      <c r="AK24" s="12"/>
      <c r="AL24" s="12"/>
      <c r="AM24" s="12"/>
      <c r="AN24" s="12"/>
      <c r="AO24" s="12"/>
      <c r="AP24" s="12"/>
      <c r="AQ24" s="12"/>
      <c r="AR24" s="12"/>
      <c r="AS24" s="12"/>
      <c r="AT24" s="12"/>
      <c r="AU24" s="12"/>
      <c r="AV24" s="12"/>
      <c r="AW24" s="12"/>
      <c r="AX24" s="12"/>
      <c r="AY24" s="12"/>
      <c r="AZ24" s="12"/>
      <c r="BA24" s="12"/>
      <c r="BB24" s="12"/>
      <c r="BC24" s="12"/>
      <c r="BD24" s="12"/>
      <c r="BE24" s="12"/>
      <c r="BF24" s="12"/>
      <c r="BG24" s="12"/>
      <c r="BH24" s="12"/>
      <c r="BI24" s="12"/>
      <c r="BJ24" s="12"/>
      <c r="BK24" s="12"/>
      <c r="BL24" s="12"/>
      <c r="BM24" s="12"/>
      <c r="BN24" s="12"/>
      <c r="BO24" s="12"/>
      <c r="BP24" s="12"/>
      <c r="BQ24" s="12"/>
      <c r="BR24" s="12"/>
      <c r="BS24" s="12"/>
      <c r="BT24" s="12"/>
      <c r="BU24" s="12"/>
      <c r="BV24" s="12"/>
      <c r="BW24" s="12"/>
      <c r="BX24" s="12"/>
      <c r="BY24" s="12"/>
      <c r="BZ24" s="12"/>
      <c r="CA24" s="12"/>
      <c r="CB24" s="12"/>
      <c r="CC24" s="12"/>
      <c r="CD24" s="12"/>
      <c r="CE24" s="12"/>
      <c r="CF24" s="12"/>
    </row>
    <row r="25" spans="1:84" x14ac:dyDescent="0.3">
      <c r="A25" s="12"/>
      <c r="B25" s="12"/>
      <c r="C25" s="12"/>
      <c r="D25" s="12"/>
      <c r="E25" s="12"/>
      <c r="F25" s="12"/>
      <c r="G25" s="12"/>
      <c r="H25" s="12"/>
      <c r="I25" s="12"/>
      <c r="J25" s="12"/>
      <c r="K25" s="12"/>
      <c r="L25" s="12"/>
      <c r="M25" s="12"/>
      <c r="N25" s="12"/>
      <c r="O25" s="12"/>
      <c r="P25" s="12"/>
      <c r="Q25" s="12"/>
      <c r="R25" s="12"/>
      <c r="S25" s="12"/>
      <c r="T25" s="12"/>
      <c r="U25" s="12"/>
      <c r="V25" s="12"/>
      <c r="W25" s="12"/>
      <c r="X25" s="12"/>
      <c r="Y25" s="12"/>
      <c r="Z25" s="12"/>
      <c r="AA25" s="12"/>
      <c r="AB25" s="12"/>
      <c r="AC25" s="12"/>
      <c r="AD25" s="12"/>
      <c r="AE25" s="12"/>
      <c r="AF25" s="12"/>
      <c r="AG25" s="12"/>
      <c r="AH25" s="12"/>
      <c r="AI25" s="12"/>
      <c r="AJ25" s="12"/>
      <c r="AK25" s="12"/>
      <c r="AL25" s="12"/>
      <c r="AM25" s="12"/>
      <c r="AN25" s="12"/>
      <c r="AO25" s="12"/>
      <c r="AP25" s="12"/>
      <c r="AQ25" s="12"/>
      <c r="AR25" s="12"/>
      <c r="AS25" s="12"/>
      <c r="AT25" s="12"/>
      <c r="AU25" s="12"/>
      <c r="AV25" s="12"/>
      <c r="AW25" s="12"/>
      <c r="AX25" s="12"/>
      <c r="AY25" s="12"/>
      <c r="AZ25" s="12"/>
      <c r="BA25" s="12"/>
      <c r="BB25" s="12"/>
      <c r="BC25" s="12"/>
      <c r="BD25" s="12"/>
      <c r="BE25" s="12"/>
      <c r="BF25" s="12"/>
      <c r="BG25" s="12"/>
      <c r="BH25" s="12"/>
      <c r="BI25" s="12"/>
      <c r="BJ25" s="12"/>
      <c r="BK25" s="12"/>
      <c r="BL25" s="12"/>
      <c r="BM25" s="12"/>
      <c r="BN25" s="12"/>
      <c r="BO25" s="12"/>
      <c r="BP25" s="12"/>
      <c r="BQ25" s="12"/>
      <c r="BR25" s="12"/>
      <c r="BS25" s="12"/>
      <c r="BT25" s="12"/>
      <c r="BU25" s="12"/>
      <c r="BV25" s="12"/>
      <c r="BW25" s="12"/>
      <c r="BX25" s="12"/>
      <c r="BY25" s="12"/>
      <c r="BZ25" s="12"/>
      <c r="CA25" s="12"/>
      <c r="CB25" s="12"/>
      <c r="CC25" s="12"/>
      <c r="CD25" s="12"/>
      <c r="CE25" s="12"/>
      <c r="CF25" s="12"/>
    </row>
    <row r="26" spans="1:84" x14ac:dyDescent="0.3">
      <c r="A26" s="12"/>
      <c r="B26" s="12"/>
      <c r="C26" s="12"/>
      <c r="D26" s="12"/>
      <c r="E26" s="12"/>
      <c r="F26" s="12"/>
      <c r="G26" s="12"/>
      <c r="H26" s="12"/>
      <c r="I26" s="12"/>
      <c r="J26" s="12"/>
      <c r="K26" s="12"/>
      <c r="L26" s="12"/>
      <c r="M26" s="12"/>
      <c r="N26" s="12"/>
      <c r="O26" s="12"/>
      <c r="P26" s="12"/>
      <c r="Q26" s="12"/>
      <c r="R26" s="12"/>
      <c r="S26" s="12"/>
      <c r="T26" s="12"/>
      <c r="U26" s="12"/>
      <c r="V26" s="12"/>
      <c r="W26" s="12"/>
      <c r="X26" s="12"/>
      <c r="Y26" s="12"/>
      <c r="Z26" s="12"/>
      <c r="AA26" s="12"/>
      <c r="AB26" s="12"/>
      <c r="AC26" s="12"/>
      <c r="AD26" s="12"/>
      <c r="AE26" s="12"/>
      <c r="AF26" s="12"/>
      <c r="AG26" s="12"/>
      <c r="AH26" s="12"/>
      <c r="AI26" s="12"/>
      <c r="AJ26" s="12"/>
      <c r="AK26" s="12"/>
      <c r="AL26" s="12"/>
      <c r="AM26" s="12"/>
      <c r="AN26" s="12"/>
      <c r="AO26" s="12"/>
      <c r="AP26" s="12"/>
      <c r="AQ26" s="12"/>
      <c r="AR26" s="12"/>
      <c r="AS26" s="12"/>
      <c r="AT26" s="12"/>
      <c r="AU26" s="12"/>
      <c r="AV26" s="12"/>
      <c r="AW26" s="12"/>
      <c r="AX26" s="12"/>
      <c r="AY26" s="12"/>
      <c r="AZ26" s="12"/>
      <c r="BA26" s="12"/>
      <c r="BB26" s="12"/>
      <c r="BC26" s="12"/>
      <c r="BD26" s="12"/>
      <c r="BE26" s="12"/>
      <c r="BF26" s="12"/>
      <c r="BG26" s="12"/>
      <c r="BH26" s="12"/>
      <c r="BI26" s="12"/>
      <c r="BJ26" s="12"/>
      <c r="BK26" s="12"/>
      <c r="BL26" s="12"/>
      <c r="BM26" s="12"/>
      <c r="BN26" s="12"/>
      <c r="BO26" s="12"/>
      <c r="BP26" s="12"/>
      <c r="BQ26" s="12"/>
      <c r="BR26" s="12"/>
      <c r="BS26" s="12"/>
      <c r="BT26" s="12"/>
      <c r="BU26" s="12"/>
      <c r="BV26" s="12"/>
      <c r="BW26" s="12"/>
      <c r="BX26" s="12"/>
      <c r="BY26" s="12"/>
      <c r="BZ26" s="12"/>
      <c r="CA26" s="12"/>
      <c r="CB26" s="12"/>
      <c r="CC26" s="12"/>
      <c r="CD26" s="12"/>
      <c r="CE26" s="12"/>
      <c r="CF26" s="12"/>
    </row>
    <row r="27" spans="1:84" x14ac:dyDescent="0.3">
      <c r="A27" s="12"/>
      <c r="B27" s="12"/>
      <c r="C27" s="12"/>
      <c r="D27" s="12"/>
      <c r="E27" s="12"/>
      <c r="F27" s="12"/>
      <c r="G27" s="12"/>
      <c r="H27" s="12"/>
      <c r="I27" s="12"/>
      <c r="J27" s="12"/>
      <c r="K27" s="12"/>
      <c r="L27" s="12"/>
      <c r="M27" s="12"/>
      <c r="N27" s="12"/>
      <c r="O27" s="12"/>
      <c r="P27" s="12"/>
      <c r="Q27" s="12"/>
      <c r="R27" s="12"/>
      <c r="S27" s="12"/>
      <c r="T27" s="12"/>
      <c r="U27" s="12"/>
      <c r="V27" s="12"/>
      <c r="W27" s="12"/>
      <c r="X27" s="12"/>
      <c r="Y27" s="12"/>
      <c r="Z27" s="12"/>
      <c r="AA27" s="12"/>
      <c r="AB27" s="12"/>
      <c r="AC27" s="12"/>
      <c r="AD27" s="12"/>
      <c r="AE27" s="12"/>
      <c r="AF27" s="12"/>
      <c r="AG27" s="12"/>
      <c r="AH27" s="12"/>
      <c r="AI27" s="12"/>
      <c r="AJ27" s="12"/>
      <c r="AK27" s="12"/>
      <c r="AL27" s="12"/>
      <c r="AM27" s="12"/>
      <c r="AN27" s="12"/>
      <c r="AO27" s="12"/>
      <c r="AP27" s="12"/>
      <c r="AQ27" s="12"/>
      <c r="AR27" s="12"/>
      <c r="AS27" s="12"/>
      <c r="AT27" s="12"/>
      <c r="AU27" s="12"/>
      <c r="AV27" s="12"/>
      <c r="AW27" s="12"/>
      <c r="AX27" s="12"/>
      <c r="AY27" s="12"/>
      <c r="AZ27" s="12"/>
      <c r="BA27" s="12"/>
      <c r="BB27" s="12"/>
      <c r="BC27" s="12"/>
      <c r="BD27" s="12"/>
      <c r="BE27" s="12"/>
      <c r="BF27" s="12"/>
      <c r="BG27" s="12"/>
      <c r="BH27" s="12"/>
      <c r="BI27" s="12"/>
      <c r="BJ27" s="12"/>
      <c r="BK27" s="12"/>
      <c r="BL27" s="12"/>
      <c r="BM27" s="12"/>
      <c r="BN27" s="12"/>
      <c r="BO27" s="12"/>
      <c r="BP27" s="12"/>
      <c r="BQ27" s="12"/>
      <c r="BR27" s="12"/>
      <c r="BS27" s="12"/>
      <c r="BT27" s="12"/>
      <c r="BU27" s="12"/>
      <c r="BV27" s="12"/>
      <c r="BW27" s="12"/>
      <c r="BX27" s="12"/>
      <c r="BY27" s="12"/>
      <c r="BZ27" s="12"/>
      <c r="CA27" s="12"/>
      <c r="CB27" s="12"/>
      <c r="CC27" s="12"/>
      <c r="CD27" s="12"/>
      <c r="CE27" s="12"/>
      <c r="CF27" s="12"/>
    </row>
    <row r="28" spans="1:84" x14ac:dyDescent="0.3">
      <c r="A28" s="12"/>
      <c r="B28" s="12"/>
      <c r="C28" s="12"/>
      <c r="D28" s="12"/>
      <c r="E28" s="12"/>
      <c r="F28" s="12"/>
      <c r="G28" s="12"/>
      <c r="H28" s="12"/>
      <c r="I28" s="12"/>
      <c r="J28" s="12"/>
      <c r="K28" s="12"/>
      <c r="L28" s="12"/>
      <c r="M28" s="12"/>
      <c r="N28" s="12"/>
      <c r="O28" s="12"/>
      <c r="P28" s="12"/>
      <c r="Q28" s="12"/>
      <c r="R28" s="12"/>
      <c r="S28" s="12"/>
      <c r="T28" s="12"/>
      <c r="U28" s="12"/>
      <c r="V28" s="12"/>
      <c r="W28" s="12"/>
      <c r="X28" s="12"/>
      <c r="Y28" s="12"/>
      <c r="Z28" s="12"/>
      <c r="AA28" s="12"/>
      <c r="AB28" s="12"/>
      <c r="AC28" s="12"/>
      <c r="AD28" s="12"/>
      <c r="AE28" s="12"/>
      <c r="AF28" s="12"/>
      <c r="AG28" s="12"/>
      <c r="AH28" s="12"/>
      <c r="AI28" s="12"/>
      <c r="AJ28" s="12"/>
      <c r="AK28" s="12"/>
      <c r="AL28" s="12"/>
      <c r="AM28" s="12"/>
      <c r="AN28" s="12"/>
      <c r="AO28" s="12"/>
      <c r="AP28" s="12"/>
      <c r="AQ28" s="12"/>
      <c r="AR28" s="12"/>
      <c r="AS28" s="12"/>
      <c r="AT28" s="12"/>
      <c r="AU28" s="12"/>
      <c r="AV28" s="12"/>
      <c r="AW28" s="12"/>
      <c r="AX28" s="12"/>
      <c r="AY28" s="12"/>
      <c r="AZ28" s="12"/>
      <c r="BA28" s="12"/>
      <c r="BB28" s="12"/>
      <c r="BC28" s="12"/>
      <c r="BD28" s="12"/>
      <c r="BE28" s="12"/>
      <c r="BF28" s="12"/>
      <c r="BG28" s="12"/>
      <c r="BH28" s="12"/>
      <c r="BI28" s="12"/>
      <c r="BJ28" s="12"/>
      <c r="BK28" s="12"/>
      <c r="BL28" s="12"/>
      <c r="BM28" s="12"/>
      <c r="BN28" s="12"/>
      <c r="BO28" s="12"/>
      <c r="BP28" s="12"/>
      <c r="BQ28" s="12"/>
      <c r="BR28" s="12"/>
      <c r="BS28" s="12"/>
      <c r="BT28" s="12"/>
      <c r="BU28" s="12"/>
      <c r="BV28" s="12"/>
      <c r="BW28" s="12"/>
      <c r="BX28" s="12"/>
      <c r="BY28" s="12"/>
      <c r="BZ28" s="12"/>
      <c r="CA28" s="12"/>
      <c r="CB28" s="12"/>
      <c r="CC28" s="12"/>
      <c r="CD28" s="12"/>
      <c r="CE28" s="12"/>
      <c r="CF28" s="12"/>
    </row>
    <row r="29" spans="1:84" x14ac:dyDescent="0.3">
      <c r="A29" s="12"/>
      <c r="B29" s="12"/>
      <c r="C29" s="12"/>
      <c r="D29" s="12"/>
      <c r="E29" s="12"/>
      <c r="F29" s="12"/>
      <c r="G29" s="12"/>
      <c r="H29" s="12"/>
      <c r="I29" s="12"/>
      <c r="J29" s="12"/>
      <c r="K29" s="12"/>
      <c r="L29" s="12"/>
      <c r="M29" s="12"/>
      <c r="N29" s="12"/>
      <c r="O29" s="12"/>
      <c r="P29" s="12"/>
      <c r="Q29" s="12"/>
      <c r="R29" s="12"/>
      <c r="S29" s="12"/>
      <c r="T29" s="12"/>
      <c r="U29" s="12"/>
      <c r="V29" s="12"/>
      <c r="W29" s="12"/>
      <c r="X29" s="12"/>
      <c r="Y29" s="12"/>
      <c r="Z29" s="12"/>
      <c r="AA29" s="12"/>
      <c r="AB29" s="12"/>
      <c r="AC29" s="12"/>
      <c r="AD29" s="12"/>
      <c r="AE29" s="12"/>
      <c r="AF29" s="12"/>
      <c r="AG29" s="12"/>
      <c r="AH29" s="12"/>
      <c r="AI29" s="12"/>
      <c r="AJ29" s="12"/>
      <c r="AK29" s="12"/>
      <c r="AL29" s="12"/>
      <c r="AM29" s="12"/>
      <c r="AN29" s="12"/>
      <c r="AO29" s="12"/>
      <c r="AP29" s="12"/>
      <c r="AQ29" s="12"/>
      <c r="AR29" s="12"/>
      <c r="AS29" s="12"/>
      <c r="AT29" s="12"/>
      <c r="AU29" s="12"/>
      <c r="AV29" s="12"/>
      <c r="AW29" s="12"/>
      <c r="AX29" s="12"/>
      <c r="AY29" s="12"/>
      <c r="AZ29" s="12"/>
      <c r="BA29" s="12"/>
      <c r="BB29" s="12"/>
      <c r="BC29" s="12"/>
      <c r="BD29" s="12"/>
      <c r="BE29" s="12"/>
      <c r="BF29" s="12"/>
      <c r="BG29" s="12"/>
      <c r="BH29" s="12"/>
      <c r="BI29" s="12"/>
      <c r="BJ29" s="12"/>
      <c r="BK29" s="12"/>
      <c r="BL29" s="12"/>
      <c r="BM29" s="12"/>
      <c r="BN29" s="12"/>
      <c r="BO29" s="12"/>
      <c r="BP29" s="12"/>
      <c r="BQ29" s="12"/>
      <c r="BR29" s="12"/>
      <c r="BS29" s="12"/>
      <c r="BT29" s="12"/>
      <c r="BU29" s="12"/>
      <c r="BV29" s="12"/>
      <c r="BW29" s="12"/>
      <c r="BX29" s="12"/>
      <c r="BY29" s="12"/>
      <c r="BZ29" s="12"/>
      <c r="CA29" s="12"/>
      <c r="CB29" s="12"/>
      <c r="CC29" s="12"/>
      <c r="CD29" s="12"/>
      <c r="CE29" s="12"/>
      <c r="CF29" s="12"/>
    </row>
    <row r="30" spans="1:84" x14ac:dyDescent="0.3">
      <c r="A30" s="12"/>
      <c r="B30" s="12"/>
      <c r="C30" s="12"/>
      <c r="D30" s="12"/>
      <c r="E30" s="12"/>
      <c r="F30" s="12"/>
      <c r="G30" s="12"/>
      <c r="H30" s="12"/>
      <c r="I30" s="12"/>
      <c r="J30" s="12"/>
      <c r="K30" s="12"/>
      <c r="L30" s="12"/>
      <c r="M30" s="12"/>
      <c r="N30" s="12"/>
      <c r="O30" s="12"/>
      <c r="P30" s="12"/>
      <c r="Q30" s="12"/>
      <c r="R30" s="12"/>
      <c r="S30" s="12"/>
      <c r="T30" s="12"/>
      <c r="U30" s="12"/>
      <c r="V30" s="12"/>
      <c r="W30" s="12"/>
      <c r="X30" s="12"/>
      <c r="Y30" s="12"/>
      <c r="Z30" s="12"/>
      <c r="AA30" s="12"/>
      <c r="AB30" s="12"/>
      <c r="AC30" s="12"/>
      <c r="AD30" s="12"/>
      <c r="AE30" s="12"/>
      <c r="AF30" s="12"/>
      <c r="AG30" s="12"/>
      <c r="AH30" s="12"/>
      <c r="AI30" s="12"/>
      <c r="AJ30" s="12"/>
      <c r="AK30" s="12"/>
      <c r="AL30" s="12"/>
      <c r="AM30" s="12"/>
      <c r="AN30" s="12"/>
      <c r="AO30" s="12"/>
      <c r="AP30" s="12"/>
      <c r="AQ30" s="12"/>
      <c r="AR30" s="12"/>
      <c r="AS30" s="12"/>
      <c r="AT30" s="12"/>
      <c r="AU30" s="12"/>
      <c r="AV30" s="12"/>
      <c r="AW30" s="12"/>
      <c r="AX30" s="12"/>
      <c r="AY30" s="12"/>
      <c r="AZ30" s="12"/>
      <c r="BA30" s="12"/>
      <c r="BB30" s="12"/>
      <c r="BC30" s="12"/>
      <c r="BD30" s="12"/>
      <c r="BE30" s="12"/>
      <c r="BF30" s="12"/>
      <c r="BG30" s="12"/>
      <c r="BH30" s="12"/>
      <c r="BI30" s="12"/>
      <c r="BJ30" s="12"/>
      <c r="BK30" s="12"/>
      <c r="BL30" s="12"/>
      <c r="BM30" s="12"/>
      <c r="BN30" s="12"/>
      <c r="BO30" s="12"/>
      <c r="BP30" s="12"/>
      <c r="BQ30" s="12"/>
      <c r="BR30" s="12"/>
      <c r="BS30" s="12"/>
      <c r="BT30" s="12"/>
      <c r="BU30" s="12"/>
      <c r="BV30" s="12"/>
      <c r="BW30" s="12"/>
      <c r="BX30" s="12"/>
      <c r="BY30" s="12"/>
      <c r="BZ30" s="12"/>
      <c r="CA30" s="12"/>
      <c r="CB30" s="12"/>
      <c r="CC30" s="12"/>
      <c r="CD30" s="12"/>
      <c r="CE30" s="12"/>
      <c r="CF30" s="12"/>
    </row>
    <row r="31" spans="1:84" x14ac:dyDescent="0.3">
      <c r="A31" s="12"/>
      <c r="B31" s="12"/>
      <c r="C31" s="12"/>
      <c r="D31" s="12"/>
      <c r="E31" s="12"/>
      <c r="F31" s="12"/>
      <c r="G31" s="12"/>
      <c r="H31" s="12"/>
      <c r="I31" s="12"/>
      <c r="J31" s="12"/>
      <c r="K31" s="12"/>
      <c r="L31" s="12"/>
      <c r="M31" s="12"/>
      <c r="N31" s="12"/>
      <c r="O31" s="12"/>
      <c r="P31" s="12"/>
      <c r="Q31" s="12"/>
      <c r="R31" s="12"/>
      <c r="S31" s="12"/>
      <c r="T31" s="12"/>
      <c r="U31" s="12"/>
      <c r="V31" s="12"/>
      <c r="W31" s="12"/>
      <c r="X31" s="12"/>
      <c r="Y31" s="12"/>
      <c r="Z31" s="12"/>
      <c r="AA31" s="12"/>
      <c r="AB31" s="12"/>
      <c r="AC31" s="12"/>
      <c r="AD31" s="12"/>
      <c r="AE31" s="12"/>
      <c r="AF31" s="12"/>
      <c r="AG31" s="12"/>
      <c r="AH31" s="12"/>
      <c r="AI31" s="12"/>
      <c r="AJ31" s="12"/>
      <c r="AK31" s="12"/>
      <c r="AL31" s="12"/>
      <c r="AM31" s="12"/>
      <c r="AN31" s="12"/>
      <c r="AO31" s="12"/>
      <c r="AP31" s="12"/>
      <c r="AQ31" s="12"/>
      <c r="AR31" s="12"/>
      <c r="AS31" s="12"/>
      <c r="AT31" s="12"/>
      <c r="AU31" s="12"/>
      <c r="AV31" s="12"/>
      <c r="AW31" s="12"/>
      <c r="AX31" s="12"/>
      <c r="AY31" s="12"/>
      <c r="AZ31" s="12"/>
      <c r="BA31" s="12"/>
      <c r="BB31" s="12"/>
      <c r="BC31" s="12"/>
      <c r="BD31" s="12"/>
      <c r="BE31" s="12"/>
      <c r="BF31" s="12"/>
      <c r="BG31" s="12"/>
      <c r="BH31" s="12"/>
      <c r="BI31" s="12"/>
      <c r="BJ31" s="12"/>
      <c r="BK31" s="12"/>
      <c r="BL31" s="12"/>
      <c r="BM31" s="12"/>
      <c r="BN31" s="12"/>
      <c r="BO31" s="12"/>
      <c r="BP31" s="12"/>
      <c r="BQ31" s="12"/>
      <c r="BR31" s="12"/>
      <c r="BS31" s="12"/>
      <c r="BT31" s="12"/>
      <c r="BU31" s="12"/>
      <c r="BV31" s="12"/>
      <c r="BW31" s="12"/>
      <c r="BX31" s="12"/>
      <c r="BY31" s="12"/>
      <c r="BZ31" s="12"/>
      <c r="CA31" s="12"/>
      <c r="CB31" s="12"/>
      <c r="CC31" s="12"/>
      <c r="CD31" s="12"/>
      <c r="CE31" s="12"/>
      <c r="CF31" s="12"/>
    </row>
    <row r="32" spans="1:84" x14ac:dyDescent="0.3">
      <c r="A32" s="12"/>
      <c r="B32" s="12"/>
      <c r="C32" s="12"/>
      <c r="D32" s="12"/>
      <c r="E32" s="12"/>
      <c r="F32" s="12"/>
      <c r="G32" s="12"/>
      <c r="H32" s="12"/>
      <c r="I32" s="12"/>
      <c r="J32" s="12"/>
      <c r="K32" s="12"/>
      <c r="L32" s="12"/>
      <c r="M32" s="12"/>
      <c r="N32" s="12"/>
      <c r="O32" s="12"/>
      <c r="P32" s="12"/>
      <c r="Q32" s="12"/>
      <c r="R32" s="12"/>
      <c r="S32" s="12"/>
      <c r="T32" s="12"/>
      <c r="U32" s="12"/>
      <c r="V32" s="12"/>
      <c r="W32" s="12"/>
      <c r="X32" s="12"/>
      <c r="Y32" s="12"/>
      <c r="Z32" s="12"/>
      <c r="AA32" s="12"/>
      <c r="AB32" s="12"/>
      <c r="AC32" s="12"/>
      <c r="AD32" s="12"/>
      <c r="AE32" s="12"/>
      <c r="AF32" s="12"/>
      <c r="AG32" s="12"/>
      <c r="AH32" s="12"/>
      <c r="AI32" s="12"/>
      <c r="AJ32" s="12"/>
      <c r="AK32" s="12"/>
      <c r="AL32" s="12"/>
      <c r="AM32" s="12"/>
      <c r="AN32" s="12"/>
      <c r="AO32" s="12"/>
      <c r="AP32" s="12"/>
      <c r="AQ32" s="12"/>
      <c r="AR32" s="12"/>
      <c r="AS32" s="12"/>
      <c r="AT32" s="12"/>
      <c r="AU32" s="12"/>
      <c r="AV32" s="12"/>
      <c r="AW32" s="12"/>
      <c r="AX32" s="12"/>
      <c r="AY32" s="12"/>
      <c r="AZ32" s="12"/>
      <c r="BA32" s="12"/>
      <c r="BB32" s="12"/>
      <c r="BC32" s="12"/>
      <c r="BD32" s="12"/>
      <c r="BE32" s="12"/>
      <c r="BF32" s="12"/>
      <c r="BG32" s="12"/>
      <c r="BH32" s="12"/>
      <c r="BI32" s="12"/>
      <c r="BJ32" s="12"/>
      <c r="BK32" s="12"/>
      <c r="BL32" s="12"/>
      <c r="BM32" s="12"/>
      <c r="BN32" s="12"/>
      <c r="BO32" s="12"/>
      <c r="BP32" s="12"/>
      <c r="BQ32" s="12"/>
      <c r="BR32" s="12"/>
      <c r="BS32" s="12"/>
      <c r="BT32" s="12"/>
      <c r="BU32" s="12"/>
      <c r="BV32" s="12"/>
      <c r="BW32" s="12"/>
      <c r="BX32" s="12"/>
      <c r="BY32" s="12"/>
      <c r="BZ32" s="12"/>
      <c r="CA32" s="12"/>
      <c r="CB32" s="12"/>
      <c r="CC32" s="12"/>
      <c r="CD32" s="12"/>
      <c r="CE32" s="12"/>
      <c r="CF32" s="12"/>
    </row>
    <row r="33" spans="1:84" x14ac:dyDescent="0.3">
      <c r="A33" s="12"/>
      <c r="B33" s="12"/>
      <c r="C33" s="12"/>
      <c r="D33" s="12"/>
      <c r="E33" s="12"/>
      <c r="F33" s="12"/>
      <c r="G33" s="12"/>
      <c r="H33" s="12"/>
      <c r="I33" s="12"/>
      <c r="J33" s="12"/>
      <c r="K33" s="12"/>
      <c r="L33" s="12"/>
      <c r="M33" s="12"/>
      <c r="N33" s="12"/>
      <c r="O33" s="12"/>
      <c r="P33" s="12"/>
      <c r="Q33" s="12"/>
      <c r="R33" s="12"/>
      <c r="S33" s="12"/>
      <c r="T33" s="12"/>
      <c r="U33" s="12"/>
      <c r="V33" s="12"/>
      <c r="W33" s="12"/>
      <c r="X33" s="12"/>
      <c r="Y33" s="12"/>
      <c r="Z33" s="12"/>
      <c r="AA33" s="12"/>
      <c r="AB33" s="12"/>
      <c r="AC33" s="12"/>
      <c r="AD33" s="12"/>
      <c r="AE33" s="12"/>
      <c r="AF33" s="12"/>
      <c r="AG33" s="12"/>
      <c r="AH33" s="12"/>
      <c r="AI33" s="12"/>
      <c r="AJ33" s="12"/>
      <c r="AK33" s="12"/>
      <c r="AL33" s="12"/>
      <c r="AM33" s="12"/>
      <c r="AN33" s="12"/>
      <c r="AO33" s="12"/>
      <c r="AP33" s="12"/>
      <c r="AQ33" s="12"/>
      <c r="AR33" s="12"/>
      <c r="AS33" s="12"/>
      <c r="AT33" s="12"/>
      <c r="AU33" s="12"/>
      <c r="AV33" s="12"/>
      <c r="AW33" s="12"/>
      <c r="AX33" s="12"/>
      <c r="AY33" s="12"/>
      <c r="AZ33" s="12"/>
      <c r="BA33" s="12"/>
      <c r="BB33" s="12"/>
      <c r="BC33" s="12"/>
      <c r="BD33" s="12"/>
      <c r="BE33" s="12"/>
      <c r="BF33" s="12"/>
      <c r="BG33" s="12"/>
      <c r="BH33" s="12"/>
      <c r="BI33" s="12"/>
      <c r="BJ33" s="12"/>
      <c r="BK33" s="12"/>
      <c r="BL33" s="12"/>
      <c r="BM33" s="12"/>
      <c r="BN33" s="12"/>
      <c r="BO33" s="12"/>
      <c r="BP33" s="12"/>
      <c r="BQ33" s="12"/>
      <c r="BR33" s="12"/>
      <c r="BS33" s="12"/>
      <c r="BT33" s="12"/>
      <c r="BU33" s="12"/>
      <c r="BV33" s="12"/>
      <c r="BW33" s="12"/>
      <c r="BX33" s="12"/>
      <c r="BY33" s="12"/>
      <c r="BZ33" s="12"/>
      <c r="CA33" s="12"/>
      <c r="CB33" s="12"/>
      <c r="CC33" s="12"/>
      <c r="CD33" s="12"/>
      <c r="CE33" s="12"/>
      <c r="CF33" s="12"/>
    </row>
    <row r="34" spans="1:84" x14ac:dyDescent="0.3">
      <c r="A34" s="12"/>
      <c r="B34" s="12"/>
      <c r="C34" s="12"/>
      <c r="D34" s="12"/>
      <c r="E34" s="12"/>
      <c r="F34" s="12"/>
      <c r="G34" s="12"/>
      <c r="H34" s="12"/>
      <c r="I34" s="12"/>
      <c r="J34" s="12"/>
      <c r="K34" s="12"/>
      <c r="L34" s="12"/>
      <c r="M34" s="12"/>
      <c r="N34" s="12"/>
      <c r="O34" s="12"/>
      <c r="P34" s="12"/>
      <c r="Q34" s="12"/>
      <c r="R34" s="12"/>
      <c r="S34" s="12"/>
      <c r="T34" s="12"/>
      <c r="U34" s="12"/>
      <c r="V34" s="12"/>
      <c r="W34" s="12"/>
      <c r="X34" s="12"/>
      <c r="Y34" s="12"/>
      <c r="Z34" s="12"/>
      <c r="AA34" s="12"/>
      <c r="AB34" s="12"/>
      <c r="AC34" s="12"/>
      <c r="AD34" s="12"/>
      <c r="AE34" s="12"/>
      <c r="AF34" s="12"/>
      <c r="AG34" s="12"/>
      <c r="AH34" s="12"/>
      <c r="AI34" s="12"/>
      <c r="AJ34" s="12"/>
      <c r="AK34" s="12"/>
      <c r="AL34" s="12"/>
      <c r="AM34" s="12"/>
      <c r="AN34" s="12"/>
      <c r="AO34" s="12"/>
      <c r="AP34" s="12"/>
      <c r="AQ34" s="12"/>
      <c r="AR34" s="12"/>
      <c r="AS34" s="12"/>
      <c r="AT34" s="12"/>
      <c r="AU34" s="12"/>
      <c r="AV34" s="12"/>
      <c r="AW34" s="12"/>
      <c r="AX34" s="12"/>
      <c r="AY34" s="12"/>
      <c r="AZ34" s="12"/>
      <c r="BA34" s="12"/>
      <c r="BB34" s="12"/>
      <c r="BC34" s="12"/>
      <c r="BD34" s="12"/>
      <c r="BE34" s="12"/>
      <c r="BF34" s="12"/>
      <c r="BG34" s="12"/>
      <c r="BH34" s="12"/>
      <c r="BI34" s="12"/>
      <c r="BJ34" s="12"/>
      <c r="BK34" s="12"/>
      <c r="BL34" s="12"/>
      <c r="BM34" s="12"/>
      <c r="BN34" s="12"/>
      <c r="BO34" s="12"/>
      <c r="BP34" s="12"/>
      <c r="BQ34" s="12"/>
      <c r="BR34" s="12"/>
      <c r="BS34" s="12"/>
      <c r="BT34" s="12"/>
      <c r="BU34" s="12"/>
      <c r="BV34" s="12"/>
      <c r="BW34" s="12"/>
      <c r="BX34" s="12"/>
      <c r="BY34" s="12"/>
      <c r="BZ34" s="12"/>
      <c r="CA34" s="12"/>
      <c r="CB34" s="12"/>
      <c r="CC34" s="12"/>
      <c r="CD34" s="12"/>
      <c r="CE34" s="12"/>
      <c r="CF34" s="12"/>
    </row>
    <row r="35" spans="1:84" x14ac:dyDescent="0.3">
      <c r="A35" s="12"/>
      <c r="B35" s="12"/>
      <c r="C35" s="12"/>
      <c r="D35" s="12"/>
      <c r="E35" s="12"/>
      <c r="F35" s="12"/>
      <c r="G35" s="12"/>
      <c r="H35" s="12"/>
      <c r="I35" s="12"/>
      <c r="J35" s="12"/>
      <c r="K35" s="12"/>
      <c r="L35" s="12"/>
      <c r="M35" s="12"/>
      <c r="N35" s="12"/>
      <c r="O35" s="12"/>
      <c r="P35" s="12"/>
      <c r="Q35" s="12"/>
      <c r="R35" s="12"/>
      <c r="S35" s="12"/>
      <c r="T35" s="12"/>
      <c r="U35" s="12"/>
      <c r="V35" s="12"/>
      <c r="W35" s="12"/>
      <c r="X35" s="12"/>
      <c r="Y35" s="12"/>
      <c r="Z35" s="12"/>
      <c r="AA35" s="12"/>
      <c r="AB35" s="12"/>
      <c r="AC35" s="12"/>
      <c r="AD35" s="12"/>
      <c r="AE35" s="12"/>
      <c r="AF35" s="12"/>
      <c r="AG35" s="12"/>
      <c r="AH35" s="12"/>
      <c r="AI35" s="12"/>
      <c r="AJ35" s="12"/>
      <c r="AK35" s="12"/>
      <c r="AL35" s="12"/>
      <c r="AM35" s="12"/>
      <c r="AN35" s="12"/>
      <c r="AO35" s="12"/>
      <c r="AP35" s="12"/>
      <c r="AQ35" s="12"/>
      <c r="AR35" s="12"/>
      <c r="AS35" s="12"/>
      <c r="AT35" s="12"/>
      <c r="AU35" s="12"/>
      <c r="AV35" s="12"/>
      <c r="AW35" s="12"/>
      <c r="AX35" s="12"/>
      <c r="AY35" s="12"/>
      <c r="AZ35" s="12"/>
      <c r="BA35" s="12"/>
      <c r="BB35" s="12"/>
      <c r="BC35" s="12"/>
      <c r="BD35" s="12"/>
      <c r="BE35" s="12"/>
      <c r="BF35" s="12"/>
      <c r="BG35" s="12"/>
      <c r="BH35" s="12"/>
      <c r="BI35" s="12"/>
      <c r="BJ35" s="12"/>
      <c r="BK35" s="12"/>
      <c r="BL35" s="12"/>
      <c r="BM35" s="12"/>
      <c r="BN35" s="12"/>
      <c r="BO35" s="12"/>
      <c r="BP35" s="12"/>
      <c r="BQ35" s="12"/>
      <c r="BR35" s="12"/>
      <c r="BS35" s="12"/>
      <c r="BT35" s="12"/>
      <c r="BU35" s="12"/>
      <c r="BV35" s="12"/>
      <c r="BW35" s="12"/>
      <c r="BX35" s="12"/>
      <c r="BY35" s="12"/>
      <c r="BZ35" s="12"/>
      <c r="CA35" s="12"/>
      <c r="CB35" s="12"/>
      <c r="CC35" s="12"/>
      <c r="CD35" s="12"/>
      <c r="CE35" s="12"/>
      <c r="CF35" s="12"/>
    </row>
    <row r="36" spans="1:84" x14ac:dyDescent="0.3">
      <c r="A36" s="12"/>
      <c r="B36" s="12"/>
      <c r="C36" s="12"/>
      <c r="D36" s="12"/>
      <c r="E36" s="12"/>
      <c r="F36" s="12"/>
      <c r="G36" s="12"/>
      <c r="H36" s="12"/>
      <c r="I36" s="12"/>
      <c r="J36" s="12"/>
      <c r="K36" s="12"/>
      <c r="L36" s="12"/>
      <c r="M36" s="12"/>
      <c r="N36" s="12"/>
      <c r="O36" s="12"/>
      <c r="P36" s="12"/>
      <c r="Q36" s="12"/>
      <c r="R36" s="12"/>
      <c r="S36" s="12"/>
      <c r="T36" s="12"/>
      <c r="U36" s="12"/>
      <c r="V36" s="12"/>
      <c r="W36" s="12"/>
      <c r="X36" s="12"/>
      <c r="Y36" s="12"/>
      <c r="Z36" s="12"/>
      <c r="AA36" s="12"/>
      <c r="AB36" s="12"/>
      <c r="AC36" s="12"/>
      <c r="AD36" s="12"/>
      <c r="AE36" s="12"/>
      <c r="AF36" s="12"/>
      <c r="AG36" s="12"/>
      <c r="AH36" s="12"/>
      <c r="AI36" s="12"/>
      <c r="AJ36" s="12"/>
      <c r="AK36" s="12"/>
      <c r="AL36" s="12"/>
      <c r="AM36" s="12"/>
      <c r="AN36" s="12"/>
      <c r="AO36" s="12"/>
      <c r="AP36" s="12"/>
      <c r="AQ36" s="12"/>
      <c r="AR36" s="12"/>
      <c r="AS36" s="12"/>
      <c r="AT36" s="12"/>
      <c r="AU36" s="12"/>
      <c r="AV36" s="12"/>
      <c r="AW36" s="12"/>
      <c r="AX36" s="12"/>
      <c r="AY36" s="12"/>
      <c r="AZ36" s="12"/>
      <c r="BA36" s="12"/>
      <c r="BB36" s="12"/>
      <c r="BC36" s="12"/>
      <c r="BD36" s="12"/>
      <c r="BE36" s="12"/>
      <c r="BF36" s="12"/>
      <c r="BG36" s="12"/>
      <c r="BH36" s="12"/>
      <c r="BI36" s="12"/>
      <c r="BJ36" s="12"/>
      <c r="BK36" s="12"/>
      <c r="BL36" s="12"/>
      <c r="BM36" s="12"/>
      <c r="BN36" s="12"/>
      <c r="BO36" s="12"/>
      <c r="BP36" s="12"/>
      <c r="BQ36" s="12"/>
      <c r="BR36" s="12"/>
      <c r="BS36" s="12"/>
      <c r="BT36" s="12"/>
      <c r="BU36" s="12"/>
      <c r="BV36" s="12"/>
      <c r="BW36" s="12"/>
      <c r="BX36" s="12"/>
      <c r="BY36" s="12"/>
      <c r="BZ36" s="12"/>
      <c r="CA36" s="12"/>
      <c r="CB36" s="12"/>
      <c r="CC36" s="12"/>
      <c r="CD36" s="12"/>
      <c r="CE36" s="12"/>
      <c r="CF36" s="12"/>
    </row>
    <row r="37" spans="1:84" x14ac:dyDescent="0.3">
      <c r="A37" s="12"/>
      <c r="B37" s="12"/>
      <c r="C37" s="12"/>
      <c r="D37" s="12"/>
      <c r="E37" s="12"/>
      <c r="F37" s="12"/>
      <c r="G37" s="12"/>
      <c r="H37" s="12"/>
      <c r="I37" s="12"/>
      <c r="J37" s="12"/>
      <c r="K37" s="12"/>
      <c r="L37" s="12"/>
      <c r="M37" s="12"/>
      <c r="N37" s="12"/>
      <c r="O37" s="12"/>
      <c r="P37" s="12"/>
      <c r="Q37" s="12"/>
      <c r="R37" s="12"/>
      <c r="S37" s="12"/>
      <c r="T37" s="12"/>
      <c r="U37" s="12"/>
      <c r="V37" s="12"/>
      <c r="W37" s="12"/>
      <c r="X37" s="12"/>
      <c r="Y37" s="12"/>
      <c r="Z37" s="12"/>
      <c r="AA37" s="12"/>
      <c r="AB37" s="12"/>
      <c r="AC37" s="12"/>
      <c r="AD37" s="12"/>
      <c r="AE37" s="12"/>
      <c r="AF37" s="12"/>
      <c r="AG37" s="12"/>
      <c r="AH37" s="12"/>
      <c r="AI37" s="12"/>
      <c r="AJ37" s="12"/>
      <c r="AK37" s="12"/>
      <c r="AL37" s="12"/>
      <c r="AM37" s="12"/>
      <c r="AN37" s="12"/>
      <c r="AO37" s="12"/>
      <c r="AP37" s="12"/>
      <c r="AQ37" s="12"/>
      <c r="AR37" s="12"/>
      <c r="AS37" s="12"/>
      <c r="AT37" s="12"/>
      <c r="AU37" s="12"/>
      <c r="AV37" s="12"/>
      <c r="AW37" s="12"/>
      <c r="AX37" s="12"/>
      <c r="AY37" s="12"/>
      <c r="AZ37" s="12"/>
      <c r="BA37" s="12"/>
      <c r="BB37" s="12"/>
      <c r="BC37" s="12"/>
      <c r="BD37" s="12"/>
      <c r="BE37" s="12"/>
      <c r="BF37" s="12"/>
      <c r="BG37" s="12"/>
      <c r="BH37" s="12"/>
      <c r="BI37" s="12"/>
      <c r="BJ37" s="12"/>
      <c r="BK37" s="12"/>
      <c r="BL37" s="12"/>
      <c r="BM37" s="12"/>
      <c r="BN37" s="12"/>
      <c r="BO37" s="12"/>
      <c r="BP37" s="12"/>
      <c r="BQ37" s="12"/>
      <c r="BR37" s="12"/>
      <c r="BS37" s="12"/>
      <c r="BT37" s="12"/>
      <c r="BU37" s="12"/>
      <c r="BV37" s="12"/>
      <c r="BW37" s="12"/>
      <c r="BX37" s="12"/>
      <c r="BY37" s="12"/>
      <c r="BZ37" s="12"/>
      <c r="CA37" s="12"/>
      <c r="CB37" s="12"/>
      <c r="CC37" s="12"/>
      <c r="CD37" s="12"/>
      <c r="CE37" s="12"/>
      <c r="CF37" s="12"/>
    </row>
    <row r="38" spans="1:84" x14ac:dyDescent="0.3">
      <c r="A38" s="12"/>
      <c r="B38" s="12"/>
      <c r="C38" s="12"/>
      <c r="D38" s="12"/>
      <c r="E38" s="12"/>
      <c r="F38" s="12"/>
      <c r="G38" s="12"/>
      <c r="H38" s="12"/>
      <c r="I38" s="12"/>
      <c r="J38" s="12"/>
      <c r="K38" s="12"/>
      <c r="L38" s="12"/>
      <c r="M38" s="12"/>
      <c r="N38" s="12"/>
      <c r="O38" s="12"/>
      <c r="P38" s="12"/>
      <c r="Q38" s="12"/>
      <c r="R38" s="12"/>
      <c r="S38" s="12"/>
      <c r="T38" s="12"/>
      <c r="U38" s="12"/>
      <c r="V38" s="12"/>
      <c r="W38" s="12"/>
      <c r="X38" s="12"/>
      <c r="Y38" s="12"/>
      <c r="Z38" s="12"/>
      <c r="AA38" s="12"/>
      <c r="AB38" s="12"/>
      <c r="AC38" s="12"/>
      <c r="AD38" s="12"/>
      <c r="AE38" s="12"/>
      <c r="AF38" s="12"/>
      <c r="AG38" s="12"/>
      <c r="AH38" s="12"/>
      <c r="AI38" s="12"/>
      <c r="AJ38" s="12"/>
      <c r="AK38" s="12"/>
      <c r="AL38" s="12"/>
      <c r="AM38" s="12"/>
      <c r="AN38" s="12"/>
      <c r="AO38" s="12"/>
      <c r="AP38" s="12"/>
      <c r="AQ38" s="12"/>
      <c r="AR38" s="12"/>
      <c r="AS38" s="12"/>
      <c r="AT38" s="12"/>
      <c r="AU38" s="12"/>
      <c r="AV38" s="12"/>
      <c r="AW38" s="12"/>
      <c r="AX38" s="12"/>
      <c r="AY38" s="12"/>
      <c r="AZ38" s="12"/>
      <c r="BA38" s="12"/>
      <c r="BB38" s="12"/>
      <c r="BC38" s="12"/>
      <c r="BD38" s="12"/>
      <c r="BE38" s="12"/>
      <c r="BF38" s="12"/>
      <c r="BG38" s="12"/>
      <c r="BH38" s="12"/>
      <c r="BI38" s="12"/>
      <c r="BJ38" s="12"/>
      <c r="BK38" s="12"/>
      <c r="BL38" s="12"/>
      <c r="BM38" s="12"/>
      <c r="BN38" s="12"/>
      <c r="BO38" s="12"/>
      <c r="BP38" s="12"/>
      <c r="BQ38" s="12"/>
      <c r="BR38" s="12"/>
      <c r="BS38" s="12"/>
      <c r="BT38" s="12"/>
      <c r="BU38" s="12"/>
      <c r="BV38" s="12"/>
      <c r="BW38" s="12"/>
      <c r="BX38" s="12"/>
      <c r="BY38" s="12"/>
      <c r="BZ38" s="12"/>
      <c r="CA38" s="12"/>
      <c r="CB38" s="12"/>
      <c r="CC38" s="12"/>
      <c r="CD38" s="12"/>
      <c r="CE38" s="12"/>
      <c r="CF38" s="12"/>
    </row>
    <row r="39" spans="1:84" x14ac:dyDescent="0.3">
      <c r="A39" s="12"/>
      <c r="B39" s="12"/>
      <c r="C39" s="12"/>
      <c r="D39" s="12"/>
      <c r="E39" s="12"/>
      <c r="F39" s="12"/>
      <c r="G39" s="12"/>
      <c r="H39" s="12"/>
      <c r="I39" s="12"/>
      <c r="J39" s="12"/>
      <c r="K39" s="12"/>
      <c r="L39" s="12"/>
      <c r="M39" s="12"/>
      <c r="N39" s="12"/>
      <c r="O39" s="12"/>
      <c r="P39" s="12"/>
      <c r="Q39" s="12"/>
      <c r="R39" s="12"/>
      <c r="S39" s="12"/>
      <c r="T39" s="12"/>
      <c r="U39" s="12"/>
      <c r="V39" s="12"/>
      <c r="W39" s="12"/>
      <c r="X39" s="12"/>
      <c r="Y39" s="12"/>
      <c r="Z39" s="12"/>
      <c r="AA39" s="12"/>
      <c r="AB39" s="12"/>
      <c r="AC39" s="12"/>
      <c r="AD39" s="12"/>
      <c r="AE39" s="12"/>
      <c r="AF39" s="12"/>
      <c r="AG39" s="12"/>
      <c r="AH39" s="12"/>
      <c r="AI39" s="12"/>
      <c r="AJ39" s="12"/>
      <c r="AK39" s="12"/>
      <c r="AL39" s="12"/>
      <c r="AM39" s="12"/>
      <c r="AN39" s="12"/>
      <c r="AO39" s="12"/>
      <c r="AP39" s="12"/>
      <c r="AQ39" s="12"/>
      <c r="AR39" s="12"/>
      <c r="AS39" s="12"/>
      <c r="AT39" s="12"/>
      <c r="AU39" s="12"/>
      <c r="AV39" s="12"/>
      <c r="AW39" s="12"/>
      <c r="AX39" s="12"/>
      <c r="AY39" s="12"/>
      <c r="AZ39" s="12"/>
      <c r="BA39" s="12"/>
      <c r="BB39" s="12"/>
      <c r="BC39" s="12"/>
      <c r="BD39" s="12"/>
      <c r="BE39" s="12"/>
      <c r="BF39" s="12"/>
      <c r="BG39" s="12"/>
      <c r="BH39" s="12"/>
      <c r="BI39" s="12"/>
      <c r="BJ39" s="12"/>
      <c r="BK39" s="12"/>
      <c r="BL39" s="12"/>
      <c r="BM39" s="12"/>
      <c r="BN39" s="12"/>
      <c r="BO39" s="12"/>
      <c r="BP39" s="12"/>
      <c r="BQ39" s="12"/>
      <c r="BR39" s="12"/>
      <c r="BS39" s="12"/>
      <c r="BT39" s="12"/>
      <c r="BU39" s="12"/>
      <c r="BV39" s="12"/>
      <c r="BW39" s="12"/>
      <c r="BX39" s="12"/>
      <c r="BY39" s="12"/>
      <c r="BZ39" s="12"/>
      <c r="CA39" s="12"/>
      <c r="CB39" s="12"/>
      <c r="CC39" s="12"/>
      <c r="CD39" s="12"/>
      <c r="CE39" s="12"/>
      <c r="CF39" s="12"/>
    </row>
    <row r="40" spans="1:84" x14ac:dyDescent="0.3">
      <c r="A40" s="12"/>
      <c r="B40" s="12"/>
      <c r="C40" s="12"/>
      <c r="D40" s="12"/>
      <c r="E40" s="12"/>
      <c r="F40" s="12"/>
      <c r="G40" s="12"/>
      <c r="H40" s="12"/>
      <c r="I40" s="12"/>
      <c r="J40" s="12"/>
      <c r="K40" s="12"/>
      <c r="L40" s="12"/>
      <c r="M40" s="12"/>
      <c r="N40" s="12"/>
      <c r="O40" s="12"/>
      <c r="P40" s="12"/>
      <c r="Q40" s="12"/>
      <c r="R40" s="12"/>
      <c r="S40" s="12"/>
      <c r="T40" s="12"/>
      <c r="U40" s="12"/>
      <c r="V40" s="12"/>
      <c r="W40" s="12"/>
      <c r="X40" s="12"/>
      <c r="Y40" s="12"/>
      <c r="Z40" s="12"/>
      <c r="AA40" s="12"/>
      <c r="AB40" s="12"/>
      <c r="AC40" s="12"/>
      <c r="AD40" s="12"/>
      <c r="AE40" s="12"/>
      <c r="AF40" s="12"/>
      <c r="AG40" s="12"/>
      <c r="AH40" s="12"/>
      <c r="AI40" s="12"/>
      <c r="AJ40" s="12"/>
      <c r="AK40" s="12"/>
      <c r="AL40" s="12"/>
      <c r="AM40" s="12"/>
      <c r="AN40" s="12"/>
      <c r="AO40" s="12"/>
      <c r="AP40" s="12"/>
      <c r="AQ40" s="12"/>
      <c r="AR40" s="12"/>
      <c r="AS40" s="12"/>
      <c r="AT40" s="12"/>
      <c r="AU40" s="12"/>
      <c r="AV40" s="12"/>
      <c r="AW40" s="12"/>
      <c r="AX40" s="12"/>
      <c r="AY40" s="12"/>
      <c r="AZ40" s="12"/>
      <c r="BA40" s="12"/>
      <c r="BB40" s="12"/>
      <c r="BC40" s="12"/>
      <c r="BD40" s="12"/>
      <c r="BE40" s="12"/>
      <c r="BF40" s="12"/>
      <c r="BG40" s="12"/>
      <c r="BH40" s="12"/>
      <c r="BI40" s="12"/>
      <c r="BJ40" s="12"/>
      <c r="BK40" s="12"/>
      <c r="BL40" s="12"/>
      <c r="BM40" s="12"/>
      <c r="BN40" s="12"/>
      <c r="BO40" s="12"/>
      <c r="BP40" s="12"/>
      <c r="BQ40" s="12"/>
      <c r="BR40" s="12"/>
      <c r="BS40" s="12"/>
      <c r="BT40" s="12"/>
      <c r="BU40" s="12"/>
      <c r="BV40" s="12"/>
      <c r="BW40" s="12"/>
      <c r="BX40" s="12"/>
      <c r="BY40" s="12"/>
      <c r="BZ40" s="12"/>
      <c r="CA40" s="12"/>
      <c r="CB40" s="12"/>
      <c r="CC40" s="12"/>
      <c r="CD40" s="12"/>
      <c r="CE40" s="12"/>
      <c r="CF40" s="12"/>
    </row>
    <row r="41" spans="1:84" x14ac:dyDescent="0.3">
      <c r="A41" s="12"/>
      <c r="B41" s="12"/>
      <c r="C41" s="12"/>
      <c r="D41" s="12"/>
      <c r="E41" s="12"/>
      <c r="F41" s="12"/>
      <c r="G41" s="12"/>
      <c r="H41" s="12"/>
      <c r="I41" s="12"/>
      <c r="J41" s="12"/>
      <c r="K41" s="12"/>
      <c r="L41" s="12"/>
      <c r="M41" s="12"/>
      <c r="N41" s="12"/>
      <c r="O41" s="12"/>
      <c r="P41" s="12"/>
      <c r="Q41" s="12"/>
      <c r="R41" s="12"/>
      <c r="S41" s="12"/>
      <c r="T41" s="12"/>
      <c r="U41" s="12"/>
      <c r="V41" s="12"/>
      <c r="W41" s="12"/>
      <c r="X41" s="12"/>
      <c r="Y41" s="12"/>
      <c r="Z41" s="12"/>
      <c r="AA41" s="12"/>
      <c r="AB41" s="12"/>
      <c r="AC41" s="12"/>
      <c r="AD41" s="12"/>
      <c r="AE41" s="12"/>
      <c r="AF41" s="12"/>
      <c r="AG41" s="12"/>
      <c r="AH41" s="12"/>
      <c r="AI41" s="12"/>
      <c r="AJ41" s="12"/>
      <c r="AK41" s="12"/>
      <c r="AL41" s="12"/>
      <c r="AM41" s="12"/>
      <c r="AN41" s="12"/>
      <c r="AO41" s="12"/>
      <c r="AP41" s="12"/>
      <c r="AQ41" s="12"/>
      <c r="AR41" s="12"/>
      <c r="AS41" s="12"/>
      <c r="AT41" s="12"/>
      <c r="AU41" s="12"/>
      <c r="AV41" s="12"/>
      <c r="AW41" s="12"/>
      <c r="AX41" s="12"/>
      <c r="AY41" s="12"/>
      <c r="AZ41" s="12"/>
      <c r="BA41" s="12"/>
      <c r="BB41" s="12"/>
      <c r="BC41" s="12"/>
      <c r="BD41" s="12"/>
      <c r="BE41" s="12"/>
      <c r="BF41" s="12"/>
      <c r="BG41" s="12"/>
      <c r="BH41" s="12"/>
      <c r="BI41" s="12"/>
      <c r="BJ41" s="12"/>
      <c r="BK41" s="12"/>
      <c r="BL41" s="12"/>
      <c r="BM41" s="12"/>
      <c r="BN41" s="12"/>
      <c r="BO41" s="12"/>
      <c r="BP41" s="12"/>
      <c r="BQ41" s="12"/>
      <c r="BR41" s="12"/>
      <c r="BS41" s="12"/>
      <c r="BT41" s="12"/>
      <c r="BU41" s="12"/>
      <c r="BV41" s="12"/>
      <c r="BW41" s="12"/>
      <c r="BX41" s="12"/>
      <c r="BY41" s="12"/>
      <c r="BZ41" s="12"/>
      <c r="CA41" s="12"/>
      <c r="CB41" s="12"/>
      <c r="CC41" s="12"/>
      <c r="CD41" s="12"/>
      <c r="CE41" s="12"/>
      <c r="CF41" s="12"/>
    </row>
    <row r="42" spans="1:84" x14ac:dyDescent="0.3">
      <c r="A42" s="12"/>
      <c r="B42" s="12"/>
      <c r="C42" s="12"/>
      <c r="D42" s="12"/>
      <c r="E42" s="12"/>
      <c r="F42" s="12"/>
      <c r="G42" s="12"/>
      <c r="H42" s="12"/>
      <c r="I42" s="12"/>
      <c r="J42" s="12"/>
      <c r="K42" s="12"/>
      <c r="L42" s="12"/>
      <c r="M42" s="12"/>
      <c r="N42" s="12"/>
      <c r="O42" s="12"/>
      <c r="P42" s="12"/>
      <c r="Q42" s="12"/>
      <c r="R42" s="12"/>
      <c r="S42" s="12"/>
      <c r="T42" s="12"/>
      <c r="U42" s="12"/>
      <c r="V42" s="12"/>
      <c r="W42" s="12"/>
      <c r="X42" s="12"/>
      <c r="Y42" s="12"/>
      <c r="Z42" s="12"/>
      <c r="AA42" s="12"/>
      <c r="AB42" s="12"/>
      <c r="AC42" s="12"/>
      <c r="AD42" s="12"/>
      <c r="AE42" s="12"/>
      <c r="AF42" s="12"/>
      <c r="AG42" s="12"/>
      <c r="AH42" s="12"/>
      <c r="AI42" s="12"/>
      <c r="AJ42" s="12"/>
      <c r="AK42" s="12"/>
      <c r="AL42" s="12"/>
      <c r="AM42" s="12"/>
      <c r="AN42" s="12"/>
      <c r="AO42" s="12"/>
      <c r="AP42" s="12"/>
      <c r="AQ42" s="12"/>
      <c r="AR42" s="12"/>
      <c r="AS42" s="12"/>
      <c r="AT42" s="12"/>
      <c r="AU42" s="12"/>
      <c r="AV42" s="12"/>
      <c r="AW42" s="12"/>
      <c r="AX42" s="12"/>
      <c r="AY42" s="12"/>
      <c r="AZ42" s="12"/>
      <c r="BA42" s="12"/>
      <c r="BB42" s="12"/>
      <c r="BC42" s="12"/>
      <c r="BD42" s="12"/>
      <c r="BE42" s="12"/>
      <c r="BF42" s="12"/>
      <c r="BG42" s="12"/>
      <c r="BH42" s="12"/>
      <c r="BI42" s="12"/>
      <c r="BJ42" s="12"/>
      <c r="BK42" s="12"/>
      <c r="BL42" s="12"/>
      <c r="BM42" s="12"/>
      <c r="BN42" s="12"/>
      <c r="BO42" s="12"/>
      <c r="BP42" s="12"/>
      <c r="BQ42" s="12"/>
      <c r="BR42" s="12"/>
      <c r="BS42" s="12"/>
      <c r="BT42" s="12"/>
      <c r="BU42" s="12"/>
      <c r="BV42" s="12"/>
      <c r="BW42" s="12"/>
      <c r="BX42" s="12"/>
      <c r="BY42" s="12"/>
      <c r="BZ42" s="12"/>
      <c r="CA42" s="12"/>
      <c r="CB42" s="12"/>
      <c r="CC42" s="12"/>
      <c r="CD42" s="12"/>
      <c r="CE42" s="12"/>
      <c r="CF42" s="12"/>
    </row>
    <row r="43" spans="1:84" x14ac:dyDescent="0.3">
      <c r="A43" s="12"/>
      <c r="B43" s="12"/>
      <c r="C43" s="12"/>
      <c r="D43" s="12"/>
      <c r="E43" s="12"/>
      <c r="F43" s="12"/>
      <c r="G43" s="12"/>
      <c r="H43" s="12"/>
      <c r="I43" s="12"/>
      <c r="J43" s="12"/>
      <c r="K43" s="12"/>
      <c r="L43" s="12"/>
      <c r="M43" s="12"/>
      <c r="N43" s="12"/>
      <c r="O43" s="12"/>
      <c r="P43" s="12"/>
      <c r="Q43" s="12"/>
      <c r="R43" s="12"/>
      <c r="S43" s="12"/>
      <c r="T43" s="12"/>
      <c r="U43" s="12"/>
      <c r="V43" s="12"/>
      <c r="W43" s="12"/>
      <c r="X43" s="12"/>
      <c r="Y43" s="12"/>
      <c r="Z43" s="12"/>
      <c r="AA43" s="12"/>
      <c r="AB43" s="12"/>
      <c r="AC43" s="12"/>
      <c r="AD43" s="12"/>
      <c r="AE43" s="12"/>
      <c r="AF43" s="12"/>
      <c r="AG43" s="12"/>
      <c r="AH43" s="12"/>
      <c r="AI43" s="12"/>
      <c r="AJ43" s="12"/>
      <c r="AK43" s="12"/>
      <c r="AL43" s="12"/>
      <c r="AM43" s="12"/>
      <c r="AN43" s="12"/>
      <c r="AO43" s="12"/>
      <c r="AP43" s="12"/>
      <c r="AQ43" s="12"/>
      <c r="AR43" s="12"/>
      <c r="AS43" s="12"/>
      <c r="AT43" s="12"/>
      <c r="AU43" s="12"/>
      <c r="AV43" s="12"/>
      <c r="AW43" s="12"/>
      <c r="AX43" s="12"/>
      <c r="AY43" s="12"/>
      <c r="AZ43" s="12"/>
      <c r="BA43" s="12"/>
      <c r="BB43" s="12"/>
      <c r="BC43" s="12"/>
      <c r="BD43" s="12"/>
      <c r="BE43" s="12"/>
      <c r="BF43" s="12"/>
      <c r="BG43" s="12"/>
      <c r="BH43" s="12"/>
      <c r="BI43" s="12"/>
      <c r="BJ43" s="12"/>
      <c r="BK43" s="12"/>
      <c r="BL43" s="12"/>
      <c r="BM43" s="12"/>
      <c r="BN43" s="12"/>
      <c r="BO43" s="12"/>
      <c r="BP43" s="12"/>
      <c r="BQ43" s="12"/>
      <c r="BR43" s="12"/>
      <c r="BS43" s="12"/>
      <c r="BT43" s="12"/>
      <c r="BU43" s="12"/>
      <c r="BV43" s="12"/>
      <c r="BW43" s="12"/>
      <c r="BX43" s="12"/>
      <c r="BY43" s="12"/>
      <c r="BZ43" s="12"/>
      <c r="CA43" s="12"/>
      <c r="CB43" s="12"/>
      <c r="CC43" s="12"/>
      <c r="CD43" s="12"/>
      <c r="CE43" s="12"/>
      <c r="CF43" s="12"/>
    </row>
    <row r="44" spans="1:84" x14ac:dyDescent="0.3">
      <c r="A44" s="12"/>
      <c r="B44" s="12"/>
      <c r="C44" s="12"/>
      <c r="D44" s="12"/>
      <c r="E44" s="12"/>
      <c r="F44" s="12"/>
      <c r="G44" s="12"/>
      <c r="H44" s="12"/>
      <c r="I44" s="12"/>
      <c r="J44" s="12"/>
      <c r="K44" s="12"/>
      <c r="L44" s="12"/>
      <c r="M44" s="12"/>
      <c r="N44" s="12"/>
      <c r="O44" s="12"/>
      <c r="P44" s="12"/>
      <c r="Q44" s="12"/>
      <c r="R44" s="12"/>
      <c r="S44" s="12"/>
      <c r="T44" s="12"/>
      <c r="U44" s="12"/>
      <c r="V44" s="12"/>
      <c r="W44" s="12"/>
      <c r="X44" s="12"/>
      <c r="Y44" s="12"/>
      <c r="Z44" s="12"/>
      <c r="AA44" s="12"/>
      <c r="AB44" s="12"/>
      <c r="AC44" s="12"/>
      <c r="AD44" s="12"/>
      <c r="AE44" s="12"/>
      <c r="AF44" s="12"/>
      <c r="AG44" s="12"/>
      <c r="AH44" s="12"/>
      <c r="AI44" s="12"/>
      <c r="AJ44" s="12"/>
      <c r="AK44" s="12"/>
      <c r="AL44" s="12"/>
      <c r="AM44" s="12"/>
      <c r="AN44" s="12"/>
      <c r="AO44" s="12"/>
      <c r="AP44" s="12"/>
      <c r="AQ44" s="12"/>
      <c r="AR44" s="12"/>
      <c r="AS44" s="12"/>
      <c r="AT44" s="12"/>
      <c r="AU44" s="12"/>
      <c r="AV44" s="12"/>
      <c r="AW44" s="12"/>
      <c r="AX44" s="12"/>
      <c r="AY44" s="12"/>
      <c r="AZ44" s="12"/>
      <c r="BA44" s="12"/>
      <c r="BB44" s="12"/>
      <c r="BC44" s="12"/>
      <c r="BD44" s="12"/>
      <c r="BE44" s="12"/>
      <c r="BF44" s="12"/>
      <c r="BG44" s="12"/>
      <c r="BH44" s="12"/>
      <c r="BI44" s="12"/>
      <c r="BJ44" s="12"/>
      <c r="BK44" s="12"/>
      <c r="BL44" s="12"/>
      <c r="BM44" s="12"/>
      <c r="BN44" s="12"/>
      <c r="BO44" s="12"/>
      <c r="BP44" s="12"/>
      <c r="BQ44" s="12"/>
      <c r="BR44" s="12"/>
      <c r="BS44" s="12"/>
      <c r="BT44" s="12"/>
      <c r="BU44" s="12"/>
      <c r="BV44" s="12"/>
      <c r="BW44" s="12"/>
      <c r="BX44" s="12"/>
      <c r="BY44" s="12"/>
      <c r="BZ44" s="12"/>
      <c r="CA44" s="12"/>
      <c r="CB44" s="12"/>
      <c r="CC44" s="12"/>
      <c r="CD44" s="12"/>
      <c r="CE44" s="12"/>
      <c r="CF44" s="12"/>
    </row>
    <row r="45" spans="1:84" x14ac:dyDescent="0.3">
      <c r="A45" s="12"/>
      <c r="B45" s="12"/>
      <c r="C45" s="12"/>
      <c r="D45" s="12"/>
      <c r="E45" s="12"/>
      <c r="F45" s="12"/>
      <c r="G45" s="12"/>
      <c r="H45" s="12"/>
      <c r="I45" s="12"/>
      <c r="J45" s="12"/>
      <c r="K45" s="12"/>
      <c r="L45" s="12"/>
      <c r="M45" s="12"/>
      <c r="N45" s="12"/>
      <c r="O45" s="12"/>
      <c r="P45" s="12"/>
      <c r="Q45" s="12"/>
      <c r="R45" s="12"/>
      <c r="S45" s="12"/>
      <c r="T45" s="12"/>
      <c r="U45" s="12"/>
      <c r="V45" s="12"/>
      <c r="W45" s="12"/>
      <c r="X45" s="12"/>
      <c r="Y45" s="12"/>
      <c r="Z45" s="12"/>
      <c r="AA45" s="12"/>
      <c r="AB45" s="12"/>
      <c r="AC45" s="12"/>
      <c r="AD45" s="12"/>
      <c r="AE45" s="12"/>
      <c r="AF45" s="12"/>
      <c r="AG45" s="12"/>
      <c r="AH45" s="12"/>
      <c r="AI45" s="12"/>
      <c r="AJ45" s="12"/>
      <c r="AK45" s="12"/>
      <c r="AL45" s="12"/>
      <c r="AM45" s="12"/>
      <c r="AN45" s="12"/>
      <c r="AO45" s="12"/>
      <c r="AP45" s="12"/>
      <c r="AQ45" s="12"/>
      <c r="AR45" s="12"/>
      <c r="AS45" s="12"/>
      <c r="AT45" s="12"/>
      <c r="AU45" s="12"/>
      <c r="AV45" s="12"/>
      <c r="AW45" s="12"/>
      <c r="AX45" s="12"/>
      <c r="AY45" s="12"/>
      <c r="AZ45" s="12"/>
      <c r="BA45" s="12"/>
      <c r="BB45" s="12"/>
      <c r="BC45" s="12"/>
      <c r="BD45" s="12"/>
      <c r="BE45" s="12"/>
      <c r="BF45" s="12"/>
      <c r="BG45" s="12"/>
      <c r="BH45" s="12"/>
      <c r="BI45" s="12"/>
      <c r="BJ45" s="12"/>
      <c r="BK45" s="12"/>
      <c r="BL45" s="12"/>
      <c r="BM45" s="12"/>
      <c r="BN45" s="12"/>
      <c r="BO45" s="12"/>
      <c r="BP45" s="12"/>
      <c r="BQ45" s="12"/>
      <c r="BR45" s="12"/>
      <c r="BS45" s="12"/>
      <c r="BT45" s="12"/>
      <c r="BU45" s="12"/>
      <c r="BV45" s="12"/>
      <c r="BW45" s="12"/>
      <c r="BX45" s="12"/>
      <c r="BY45" s="12"/>
      <c r="BZ45" s="12"/>
      <c r="CA45" s="12"/>
      <c r="CB45" s="12"/>
      <c r="CC45" s="12"/>
      <c r="CD45" s="12"/>
      <c r="CE45" s="12"/>
      <c r="CF45" s="12"/>
    </row>
    <row r="46" spans="1:84" x14ac:dyDescent="0.3">
      <c r="A46" s="12"/>
      <c r="B46" s="12"/>
      <c r="C46" s="12"/>
      <c r="D46" s="12"/>
      <c r="E46" s="12"/>
      <c r="F46" s="12"/>
      <c r="G46" s="12"/>
      <c r="H46" s="12"/>
      <c r="I46" s="12"/>
      <c r="J46" s="12"/>
      <c r="K46" s="12"/>
      <c r="L46" s="12"/>
      <c r="M46" s="12"/>
      <c r="N46" s="12"/>
      <c r="O46" s="12"/>
      <c r="P46" s="12"/>
      <c r="Q46" s="12"/>
      <c r="R46" s="12"/>
      <c r="S46" s="12"/>
      <c r="T46" s="12"/>
      <c r="U46" s="12"/>
      <c r="V46" s="12"/>
      <c r="W46" s="12"/>
      <c r="X46" s="12"/>
      <c r="Y46" s="12"/>
      <c r="Z46" s="12"/>
      <c r="AA46" s="12"/>
      <c r="AB46" s="12"/>
      <c r="AC46" s="12"/>
      <c r="AD46" s="12"/>
      <c r="AE46" s="12"/>
      <c r="AF46" s="12"/>
      <c r="AG46" s="12"/>
      <c r="AH46" s="12"/>
      <c r="AI46" s="12"/>
      <c r="AJ46" s="12"/>
      <c r="AK46" s="12"/>
      <c r="AL46" s="12"/>
      <c r="AM46" s="12"/>
      <c r="AN46" s="12"/>
      <c r="AO46" s="12"/>
      <c r="AP46" s="12"/>
      <c r="AQ46" s="12"/>
      <c r="AR46" s="12"/>
      <c r="AS46" s="12"/>
      <c r="AT46" s="12"/>
      <c r="AU46" s="12"/>
      <c r="AV46" s="12"/>
      <c r="AW46" s="12"/>
      <c r="AX46" s="12"/>
      <c r="AY46" s="12"/>
      <c r="AZ46" s="12"/>
      <c r="BA46" s="12"/>
      <c r="BB46" s="12"/>
      <c r="BC46" s="12"/>
      <c r="BD46" s="12"/>
      <c r="BE46" s="12"/>
      <c r="BF46" s="12"/>
      <c r="BG46" s="12"/>
      <c r="BH46" s="12"/>
      <c r="BI46" s="12"/>
      <c r="BJ46" s="12"/>
      <c r="BK46" s="12"/>
      <c r="BL46" s="12"/>
      <c r="BM46" s="12"/>
      <c r="BN46" s="12"/>
      <c r="BO46" s="12"/>
      <c r="BP46" s="12"/>
      <c r="BQ46" s="12"/>
      <c r="BR46" s="12"/>
      <c r="BS46" s="12"/>
      <c r="BT46" s="12"/>
      <c r="BU46" s="12"/>
      <c r="BV46" s="12"/>
      <c r="BW46" s="12"/>
      <c r="BX46" s="12"/>
      <c r="BY46" s="12"/>
      <c r="BZ46" s="12"/>
      <c r="CA46" s="12"/>
      <c r="CB46" s="12"/>
      <c r="CC46" s="12"/>
      <c r="CD46" s="12"/>
      <c r="CE46" s="12"/>
      <c r="CF46" s="12"/>
    </row>
    <row r="47" spans="1:84" x14ac:dyDescent="0.3">
      <c r="A47" s="12"/>
      <c r="B47" s="12"/>
      <c r="C47" s="12"/>
      <c r="D47" s="12"/>
      <c r="E47" s="12"/>
      <c r="F47" s="12"/>
      <c r="G47" s="12"/>
      <c r="H47" s="12"/>
      <c r="I47" s="12"/>
      <c r="J47" s="12"/>
      <c r="K47" s="12"/>
      <c r="L47" s="12"/>
      <c r="M47" s="12"/>
      <c r="N47" s="12"/>
      <c r="O47" s="12"/>
      <c r="P47" s="12"/>
      <c r="Q47" s="12"/>
      <c r="R47" s="12"/>
      <c r="S47" s="12"/>
      <c r="T47" s="12"/>
      <c r="U47" s="12"/>
      <c r="V47" s="12"/>
      <c r="W47" s="12"/>
      <c r="X47" s="12"/>
      <c r="Y47" s="12"/>
      <c r="Z47" s="12"/>
      <c r="AA47" s="12"/>
      <c r="AB47" s="12"/>
      <c r="AC47" s="12"/>
      <c r="AD47" s="12"/>
      <c r="AE47" s="12"/>
      <c r="AF47" s="12"/>
      <c r="AG47" s="12"/>
      <c r="AH47" s="12"/>
      <c r="AI47" s="12"/>
      <c r="AJ47" s="12"/>
      <c r="AK47" s="12"/>
      <c r="AL47" s="12"/>
      <c r="AM47" s="12"/>
      <c r="AN47" s="12"/>
      <c r="AO47" s="12"/>
      <c r="AP47" s="12"/>
      <c r="AQ47" s="12"/>
      <c r="AR47" s="12"/>
      <c r="AS47" s="12"/>
      <c r="AT47" s="12"/>
      <c r="AU47" s="12"/>
      <c r="AV47" s="12"/>
      <c r="AW47" s="12"/>
      <c r="AX47" s="12"/>
      <c r="AY47" s="12"/>
      <c r="AZ47" s="12"/>
      <c r="BA47" s="12"/>
      <c r="BB47" s="12"/>
      <c r="BC47" s="12"/>
      <c r="BD47" s="12"/>
      <c r="BE47" s="12"/>
      <c r="BF47" s="12"/>
      <c r="BG47" s="12"/>
      <c r="BH47" s="12"/>
      <c r="BI47" s="12"/>
      <c r="BJ47" s="12"/>
      <c r="BK47" s="12"/>
      <c r="BL47" s="12"/>
      <c r="BM47" s="12"/>
      <c r="BN47" s="12"/>
      <c r="BO47" s="12"/>
      <c r="BP47" s="12"/>
      <c r="BQ47" s="12"/>
      <c r="BR47" s="12"/>
      <c r="BS47" s="12"/>
      <c r="BT47" s="12"/>
      <c r="BU47" s="12"/>
      <c r="BV47" s="12"/>
      <c r="BW47" s="12"/>
      <c r="BX47" s="12"/>
      <c r="BY47" s="12"/>
      <c r="BZ47" s="12"/>
      <c r="CA47" s="12"/>
      <c r="CB47" s="12"/>
      <c r="CC47" s="12"/>
      <c r="CD47" s="12"/>
      <c r="CE47" s="12"/>
      <c r="CF47" s="12"/>
    </row>
    <row r="48" spans="1:84" x14ac:dyDescent="0.3">
      <c r="A48" s="12"/>
      <c r="B48" s="12"/>
      <c r="C48" s="12"/>
      <c r="D48" s="12"/>
      <c r="E48" s="12"/>
      <c r="F48" s="12"/>
      <c r="G48" s="12"/>
      <c r="H48" s="12"/>
      <c r="I48" s="12"/>
      <c r="J48" s="12"/>
      <c r="K48" s="12"/>
      <c r="L48" s="12"/>
      <c r="M48" s="12"/>
      <c r="N48" s="12"/>
      <c r="O48" s="12"/>
      <c r="P48" s="12"/>
      <c r="Q48" s="12"/>
      <c r="R48" s="12"/>
      <c r="S48" s="12"/>
      <c r="T48" s="12"/>
      <c r="U48" s="12"/>
      <c r="V48" s="12"/>
      <c r="W48" s="12"/>
      <c r="X48" s="12"/>
      <c r="Y48" s="12"/>
      <c r="Z48" s="12"/>
      <c r="AA48" s="12"/>
      <c r="AB48" s="12"/>
      <c r="AC48" s="12"/>
      <c r="AD48" s="12"/>
      <c r="AE48" s="12"/>
      <c r="AF48" s="12"/>
      <c r="AG48" s="12"/>
      <c r="AH48" s="12"/>
      <c r="AI48" s="12"/>
      <c r="AJ48" s="12"/>
      <c r="AK48" s="12"/>
      <c r="AL48" s="12"/>
      <c r="AM48" s="12"/>
      <c r="AN48" s="12"/>
      <c r="AO48" s="12"/>
      <c r="AP48" s="12"/>
      <c r="AQ48" s="12"/>
      <c r="AR48" s="12"/>
      <c r="AS48" s="12"/>
      <c r="AT48" s="12"/>
      <c r="AU48" s="12"/>
      <c r="AV48" s="12"/>
      <c r="AW48" s="12"/>
      <c r="AX48" s="12"/>
      <c r="AY48" s="12"/>
      <c r="AZ48" s="12"/>
      <c r="BA48" s="12"/>
      <c r="BB48" s="12"/>
      <c r="BC48" s="12"/>
      <c r="BD48" s="12"/>
      <c r="BE48" s="12"/>
      <c r="BF48" s="12"/>
      <c r="BG48" s="12"/>
      <c r="BH48" s="12"/>
      <c r="BI48" s="12"/>
      <c r="BJ48" s="12"/>
      <c r="BK48" s="12"/>
      <c r="BL48" s="12"/>
      <c r="BM48" s="12"/>
      <c r="BN48" s="12"/>
      <c r="BO48" s="12"/>
      <c r="BP48" s="12"/>
      <c r="BQ48" s="12"/>
      <c r="BR48" s="12"/>
      <c r="BS48" s="12"/>
      <c r="BT48" s="12"/>
      <c r="BU48" s="12"/>
      <c r="BV48" s="12"/>
      <c r="BW48" s="12"/>
      <c r="BX48" s="12"/>
      <c r="BY48" s="12"/>
      <c r="BZ48" s="12"/>
      <c r="CA48" s="12"/>
      <c r="CB48" s="12"/>
      <c r="CC48" s="12"/>
      <c r="CD48" s="12"/>
      <c r="CE48" s="12"/>
      <c r="CF48" s="12"/>
    </row>
    <row r="49" spans="1:84" x14ac:dyDescent="0.3">
      <c r="A49" s="12"/>
      <c r="B49" s="12"/>
      <c r="C49" s="12"/>
      <c r="D49" s="12"/>
      <c r="E49" s="12"/>
      <c r="F49" s="12"/>
      <c r="G49" s="12"/>
      <c r="H49" s="12"/>
      <c r="I49" s="12"/>
      <c r="J49" s="12"/>
      <c r="K49" s="12"/>
      <c r="L49" s="12"/>
      <c r="M49" s="12"/>
      <c r="N49" s="12"/>
      <c r="O49" s="12"/>
      <c r="P49" s="12"/>
      <c r="Q49" s="12"/>
      <c r="R49" s="12"/>
      <c r="S49" s="12"/>
      <c r="T49" s="12"/>
      <c r="U49" s="12"/>
      <c r="V49" s="12"/>
      <c r="W49" s="12"/>
      <c r="X49" s="12"/>
      <c r="Y49" s="12"/>
      <c r="Z49" s="12"/>
      <c r="AA49" s="12"/>
      <c r="AB49" s="12"/>
      <c r="AC49" s="12"/>
      <c r="AD49" s="12"/>
      <c r="AE49" s="12"/>
      <c r="AF49" s="12"/>
      <c r="AG49" s="12"/>
      <c r="AH49" s="12"/>
      <c r="AI49" s="12"/>
      <c r="AJ49" s="12"/>
      <c r="AK49" s="12"/>
      <c r="AL49" s="12"/>
      <c r="AM49" s="12"/>
      <c r="AN49" s="12"/>
      <c r="AO49" s="12"/>
      <c r="AP49" s="12"/>
      <c r="AQ49" s="12"/>
      <c r="AR49" s="12"/>
      <c r="AS49" s="12"/>
      <c r="AT49" s="12"/>
      <c r="AU49" s="12"/>
      <c r="AV49" s="12"/>
      <c r="AW49" s="12"/>
      <c r="AX49" s="12"/>
      <c r="AY49" s="12"/>
      <c r="AZ49" s="12"/>
      <c r="BA49" s="12"/>
      <c r="BB49" s="12"/>
      <c r="BC49" s="12"/>
      <c r="BD49" s="12"/>
      <c r="BE49" s="12"/>
      <c r="BF49" s="12"/>
      <c r="BG49" s="12"/>
      <c r="BH49" s="12"/>
      <c r="BI49" s="12"/>
      <c r="BJ49" s="12"/>
      <c r="BK49" s="12"/>
      <c r="BL49" s="12"/>
      <c r="BM49" s="12"/>
      <c r="BN49" s="12"/>
      <c r="BO49" s="12"/>
      <c r="BP49" s="12"/>
      <c r="BQ49" s="12"/>
      <c r="BR49" s="12"/>
      <c r="BS49" s="12"/>
      <c r="BT49" s="12"/>
      <c r="BU49" s="12"/>
      <c r="BV49" s="12"/>
      <c r="BW49" s="12"/>
      <c r="BX49" s="12"/>
      <c r="BY49" s="12"/>
      <c r="BZ49" s="12"/>
      <c r="CA49" s="12"/>
      <c r="CB49" s="12"/>
      <c r="CC49" s="12"/>
      <c r="CD49" s="12"/>
      <c r="CE49" s="12"/>
      <c r="CF49" s="12"/>
    </row>
    <row r="50" spans="1:84" x14ac:dyDescent="0.3">
      <c r="A50" s="12"/>
      <c r="B50" s="12"/>
      <c r="C50" s="12"/>
      <c r="D50" s="12"/>
      <c r="E50" s="12"/>
      <c r="F50" s="12"/>
      <c r="G50" s="12"/>
      <c r="H50" s="12"/>
      <c r="I50" s="12"/>
      <c r="J50" s="12"/>
      <c r="K50" s="12"/>
      <c r="L50" s="12"/>
      <c r="M50" s="12"/>
      <c r="N50" s="12"/>
      <c r="O50" s="12"/>
      <c r="P50" s="12"/>
      <c r="Q50" s="12"/>
      <c r="R50" s="12"/>
      <c r="S50" s="12"/>
      <c r="T50" s="12"/>
      <c r="U50" s="12"/>
      <c r="V50" s="12"/>
      <c r="W50" s="12"/>
      <c r="X50" s="12"/>
      <c r="Y50" s="12"/>
      <c r="Z50" s="12"/>
      <c r="AA50" s="12"/>
      <c r="AB50" s="12"/>
      <c r="AC50" s="12"/>
      <c r="AD50" s="12"/>
      <c r="AE50" s="12"/>
      <c r="AF50" s="12"/>
      <c r="AG50" s="12"/>
      <c r="AH50" s="12"/>
      <c r="AI50" s="12"/>
      <c r="AJ50" s="12"/>
      <c r="AK50" s="12"/>
      <c r="AL50" s="12"/>
      <c r="AM50" s="12"/>
      <c r="AN50" s="12"/>
      <c r="AO50" s="12"/>
      <c r="AP50" s="12"/>
      <c r="AQ50" s="12"/>
      <c r="AR50" s="12"/>
      <c r="AS50" s="12"/>
      <c r="AT50" s="12"/>
      <c r="AU50" s="12"/>
      <c r="AV50" s="12"/>
      <c r="AW50" s="12"/>
      <c r="AX50" s="12"/>
      <c r="AY50" s="12"/>
      <c r="AZ50" s="12"/>
      <c r="BA50" s="12"/>
      <c r="BB50" s="12"/>
      <c r="BC50" s="12"/>
      <c r="BD50" s="12"/>
      <c r="BE50" s="12"/>
      <c r="BF50" s="12"/>
      <c r="BG50" s="12"/>
      <c r="BH50" s="12"/>
      <c r="BI50" s="12"/>
      <c r="BJ50" s="12"/>
      <c r="BK50" s="12"/>
      <c r="BL50" s="12"/>
      <c r="BM50" s="12"/>
      <c r="BN50" s="12"/>
      <c r="BO50" s="12"/>
      <c r="BP50" s="12"/>
      <c r="BQ50" s="12"/>
      <c r="BR50" s="12"/>
      <c r="BS50" s="12"/>
      <c r="BT50" s="12"/>
      <c r="BU50" s="12"/>
      <c r="BV50" s="12"/>
      <c r="BW50" s="12"/>
      <c r="BX50" s="12"/>
      <c r="BY50" s="12"/>
      <c r="BZ50" s="12"/>
      <c r="CA50" s="12"/>
      <c r="CB50" s="12"/>
      <c r="CC50" s="12"/>
      <c r="CD50" s="12"/>
      <c r="CE50" s="12"/>
      <c r="CF50" s="12"/>
    </row>
    <row r="51" spans="1:84" x14ac:dyDescent="0.3">
      <c r="A51" s="12"/>
      <c r="B51" s="12"/>
      <c r="C51" s="12"/>
      <c r="D51" s="12"/>
      <c r="E51" s="12"/>
      <c r="F51" s="12"/>
      <c r="G51" s="12"/>
      <c r="H51" s="12"/>
      <c r="I51" s="12"/>
      <c r="J51" s="12"/>
      <c r="K51" s="12"/>
      <c r="L51" s="12"/>
      <c r="M51" s="12"/>
      <c r="N51" s="12"/>
      <c r="O51" s="12"/>
      <c r="P51" s="12"/>
      <c r="Q51" s="12"/>
      <c r="R51" s="12"/>
      <c r="S51" s="12"/>
      <c r="T51" s="12"/>
      <c r="U51" s="12"/>
      <c r="V51" s="12"/>
      <c r="W51" s="12"/>
      <c r="X51" s="12"/>
      <c r="Y51" s="12"/>
      <c r="Z51" s="12"/>
      <c r="AA51" s="12"/>
      <c r="AB51" s="12"/>
      <c r="AC51" s="12"/>
      <c r="AD51" s="12"/>
      <c r="AE51" s="12"/>
      <c r="AF51" s="12"/>
      <c r="AG51" s="12"/>
      <c r="AH51" s="12"/>
      <c r="AI51" s="12"/>
      <c r="AJ51" s="12"/>
      <c r="AK51" s="12"/>
      <c r="AL51" s="12"/>
      <c r="AM51" s="12"/>
      <c r="AN51" s="12"/>
      <c r="AO51" s="12"/>
      <c r="AP51" s="12"/>
      <c r="AQ51" s="12"/>
      <c r="AR51" s="12"/>
      <c r="AS51" s="12"/>
      <c r="AT51" s="12"/>
      <c r="AU51" s="12"/>
      <c r="AV51" s="12"/>
      <c r="AW51" s="12"/>
      <c r="AX51" s="12"/>
      <c r="AY51" s="12"/>
      <c r="AZ51" s="12"/>
      <c r="BA51" s="12"/>
      <c r="BB51" s="12"/>
      <c r="BC51" s="12"/>
      <c r="BD51" s="12"/>
      <c r="BE51" s="12"/>
      <c r="BF51" s="12"/>
      <c r="BG51" s="12"/>
      <c r="BH51" s="12"/>
      <c r="BI51" s="12"/>
      <c r="BJ51" s="12"/>
      <c r="BK51" s="12"/>
      <c r="BL51" s="12"/>
      <c r="BM51" s="12"/>
      <c r="BN51" s="12"/>
      <c r="BO51" s="12"/>
      <c r="BP51" s="12"/>
      <c r="BQ51" s="12"/>
      <c r="BR51" s="12"/>
      <c r="BS51" s="12"/>
      <c r="BT51" s="12"/>
      <c r="BU51" s="12"/>
      <c r="BV51" s="12"/>
      <c r="BW51" s="12"/>
      <c r="BX51" s="12"/>
      <c r="BY51" s="12"/>
      <c r="BZ51" s="12"/>
      <c r="CA51" s="12"/>
      <c r="CB51" s="12"/>
      <c r="CC51" s="12"/>
      <c r="CD51" s="12"/>
      <c r="CE51" s="12"/>
      <c r="CF51" s="12"/>
    </row>
    <row r="52" spans="1:84" x14ac:dyDescent="0.3">
      <c r="A52" s="12"/>
      <c r="B52" s="12"/>
      <c r="C52" s="12"/>
      <c r="D52" s="12"/>
      <c r="E52" s="12"/>
      <c r="F52" s="12"/>
      <c r="G52" s="12"/>
      <c r="H52" s="12"/>
      <c r="I52" s="12"/>
      <c r="J52" s="12"/>
      <c r="K52" s="12"/>
      <c r="L52" s="12"/>
      <c r="M52" s="12"/>
      <c r="N52" s="12"/>
      <c r="O52" s="12"/>
      <c r="P52" s="12"/>
      <c r="Q52" s="12"/>
      <c r="R52" s="12"/>
      <c r="S52" s="12"/>
      <c r="T52" s="12"/>
      <c r="U52" s="12"/>
      <c r="V52" s="12"/>
      <c r="W52" s="12"/>
      <c r="X52" s="12"/>
      <c r="Y52" s="12"/>
      <c r="Z52" s="12"/>
      <c r="AA52" s="12"/>
      <c r="AB52" s="12"/>
      <c r="AC52" s="12"/>
      <c r="AD52" s="12"/>
      <c r="AE52" s="12"/>
      <c r="AF52" s="12"/>
      <c r="AG52" s="12"/>
      <c r="AH52" s="12"/>
      <c r="AI52" s="12"/>
      <c r="AJ52" s="12"/>
      <c r="AK52" s="12"/>
      <c r="AL52" s="12"/>
      <c r="AM52" s="12"/>
      <c r="AN52" s="12"/>
      <c r="AO52" s="12"/>
      <c r="AP52" s="12"/>
      <c r="AQ52" s="12"/>
      <c r="AR52" s="12"/>
      <c r="AS52" s="12"/>
      <c r="AT52" s="12"/>
      <c r="AU52" s="12"/>
      <c r="AV52" s="12"/>
      <c r="AW52" s="12"/>
      <c r="AX52" s="12"/>
      <c r="AY52" s="12"/>
      <c r="AZ52" s="12"/>
      <c r="BA52" s="12"/>
      <c r="BB52" s="12"/>
      <c r="BC52" s="12"/>
      <c r="BD52" s="12"/>
      <c r="BE52" s="12"/>
      <c r="BF52" s="12"/>
      <c r="BG52" s="12"/>
      <c r="BH52" s="12"/>
      <c r="BI52" s="12"/>
      <c r="BJ52" s="12"/>
      <c r="BK52" s="12"/>
      <c r="BL52" s="12"/>
      <c r="BM52" s="12"/>
      <c r="BN52" s="12"/>
      <c r="BO52" s="12"/>
      <c r="BP52" s="12"/>
      <c r="BQ52" s="12"/>
      <c r="BR52" s="12"/>
      <c r="BS52" s="12"/>
      <c r="BT52" s="12"/>
      <c r="BU52" s="12"/>
      <c r="BV52" s="12"/>
      <c r="BW52" s="12"/>
      <c r="BX52" s="12"/>
      <c r="BY52" s="12"/>
      <c r="BZ52" s="12"/>
      <c r="CA52" s="12"/>
      <c r="CB52" s="12"/>
      <c r="CC52" s="12"/>
      <c r="CD52" s="12"/>
      <c r="CE52" s="12"/>
      <c r="CF52" s="12"/>
    </row>
    <row r="53" spans="1:84" x14ac:dyDescent="0.3">
      <c r="A53" s="12"/>
      <c r="B53" s="12"/>
      <c r="C53" s="12"/>
      <c r="D53" s="12"/>
      <c r="E53" s="12"/>
      <c r="F53" s="12"/>
      <c r="G53" s="12"/>
      <c r="H53" s="12"/>
      <c r="I53" s="12"/>
      <c r="J53" s="12"/>
      <c r="K53" s="12"/>
      <c r="L53" s="12"/>
      <c r="M53" s="12"/>
      <c r="N53" s="12"/>
      <c r="O53" s="12"/>
      <c r="P53" s="12"/>
      <c r="Q53" s="12"/>
      <c r="R53" s="12"/>
      <c r="S53" s="12"/>
      <c r="T53" s="12"/>
      <c r="U53" s="12"/>
      <c r="V53" s="12"/>
      <c r="W53" s="12"/>
      <c r="X53" s="12"/>
      <c r="Y53" s="12"/>
      <c r="Z53" s="12"/>
      <c r="AA53" s="12"/>
      <c r="AB53" s="12"/>
      <c r="AC53" s="12"/>
      <c r="AD53" s="12"/>
      <c r="AE53" s="12"/>
      <c r="AF53" s="12"/>
      <c r="AG53" s="12"/>
      <c r="AH53" s="12"/>
      <c r="AI53" s="12"/>
      <c r="AJ53" s="12"/>
      <c r="AK53" s="12"/>
      <c r="AL53" s="12"/>
      <c r="AM53" s="12"/>
      <c r="AN53" s="12"/>
      <c r="AO53" s="12"/>
      <c r="AP53" s="12"/>
      <c r="AQ53" s="12"/>
      <c r="AR53" s="12"/>
      <c r="AS53" s="12"/>
      <c r="AT53" s="12"/>
      <c r="AU53" s="12"/>
      <c r="AV53" s="12"/>
      <c r="AW53" s="12"/>
      <c r="AX53" s="12"/>
      <c r="AY53" s="12"/>
      <c r="AZ53" s="12"/>
      <c r="BA53" s="12"/>
      <c r="BB53" s="12"/>
      <c r="BC53" s="12"/>
      <c r="BD53" s="12"/>
      <c r="BE53" s="12"/>
      <c r="BF53" s="12"/>
      <c r="BG53" s="12"/>
      <c r="BH53" s="12"/>
      <c r="BI53" s="12"/>
      <c r="BJ53" s="12"/>
      <c r="BK53" s="12"/>
      <c r="BL53" s="12"/>
      <c r="BM53" s="12"/>
      <c r="BN53" s="12"/>
      <c r="BO53" s="12"/>
      <c r="BP53" s="12"/>
      <c r="BQ53" s="12"/>
      <c r="BR53" s="12"/>
      <c r="BS53" s="12"/>
      <c r="BT53" s="12"/>
      <c r="BU53" s="12"/>
      <c r="BV53" s="12"/>
      <c r="BW53" s="12"/>
      <c r="BX53" s="12"/>
      <c r="BY53" s="12"/>
      <c r="BZ53" s="12"/>
      <c r="CA53" s="12"/>
      <c r="CB53" s="12"/>
      <c r="CC53" s="12"/>
      <c r="CD53" s="12"/>
      <c r="CE53" s="12"/>
      <c r="CF53" s="12"/>
    </row>
    <row r="54" spans="1:84" x14ac:dyDescent="0.3">
      <c r="A54" s="12"/>
      <c r="B54" s="12"/>
      <c r="C54" s="12"/>
      <c r="D54" s="12"/>
      <c r="E54" s="12"/>
      <c r="F54" s="12"/>
      <c r="G54" s="12"/>
      <c r="H54" s="12"/>
      <c r="I54" s="12"/>
      <c r="J54" s="12"/>
      <c r="K54" s="12"/>
      <c r="L54" s="12"/>
      <c r="M54" s="12"/>
      <c r="N54" s="12"/>
      <c r="O54" s="12"/>
      <c r="P54" s="12"/>
      <c r="Q54" s="12"/>
      <c r="R54" s="12"/>
      <c r="S54" s="12"/>
      <c r="T54" s="12"/>
      <c r="U54" s="12"/>
      <c r="V54" s="12"/>
      <c r="W54" s="12"/>
      <c r="X54" s="12"/>
      <c r="Y54" s="12"/>
      <c r="Z54" s="12"/>
      <c r="AA54" s="12"/>
      <c r="AB54" s="12"/>
      <c r="AC54" s="12"/>
      <c r="AD54" s="12"/>
      <c r="AE54" s="12"/>
      <c r="AF54" s="12"/>
      <c r="AG54" s="12"/>
      <c r="AH54" s="12"/>
      <c r="AI54" s="12"/>
      <c r="AJ54" s="12"/>
      <c r="AK54" s="12"/>
      <c r="AL54" s="12"/>
      <c r="AM54" s="12"/>
      <c r="AN54" s="12"/>
      <c r="AO54" s="12"/>
      <c r="AP54" s="12"/>
      <c r="AQ54" s="12"/>
      <c r="AR54" s="12"/>
      <c r="AS54" s="12"/>
      <c r="AT54" s="12"/>
      <c r="AU54" s="12"/>
      <c r="AV54" s="12"/>
      <c r="AW54" s="12"/>
      <c r="AX54" s="12"/>
      <c r="AY54" s="12"/>
      <c r="AZ54" s="12"/>
      <c r="BA54" s="12"/>
      <c r="BB54" s="12"/>
      <c r="BC54" s="12"/>
      <c r="BD54" s="12"/>
      <c r="BE54" s="12"/>
      <c r="BF54" s="12"/>
      <c r="BG54" s="12"/>
      <c r="BH54" s="12"/>
      <c r="BI54" s="12"/>
      <c r="BJ54" s="12"/>
      <c r="BK54" s="12"/>
      <c r="BL54" s="12"/>
      <c r="BM54" s="12"/>
      <c r="BN54" s="12"/>
      <c r="BO54" s="12"/>
      <c r="BP54" s="12"/>
      <c r="BQ54" s="12"/>
      <c r="BR54" s="12"/>
      <c r="BS54" s="12"/>
      <c r="BT54" s="12"/>
      <c r="BU54" s="12"/>
      <c r="BV54" s="12"/>
      <c r="BW54" s="12"/>
      <c r="BX54" s="12"/>
      <c r="BY54" s="12"/>
      <c r="BZ54" s="12"/>
      <c r="CA54" s="12"/>
      <c r="CB54" s="12"/>
      <c r="CC54" s="12"/>
      <c r="CD54" s="12"/>
      <c r="CE54" s="12"/>
      <c r="CF54" s="12"/>
    </row>
    <row r="55" spans="1:84" x14ac:dyDescent="0.3">
      <c r="A55" s="12"/>
      <c r="B55" s="12"/>
      <c r="C55" s="12"/>
      <c r="D55" s="12"/>
      <c r="E55" s="12"/>
      <c r="F55" s="12"/>
      <c r="G55" s="12"/>
      <c r="H55" s="12"/>
      <c r="I55" s="12"/>
      <c r="J55" s="12"/>
      <c r="K55" s="12"/>
      <c r="L55" s="12"/>
      <c r="M55" s="12"/>
      <c r="N55" s="12"/>
      <c r="O55" s="12"/>
      <c r="P55" s="12"/>
      <c r="Q55" s="12"/>
      <c r="R55" s="12"/>
      <c r="S55" s="12"/>
      <c r="T55" s="12"/>
      <c r="U55" s="12"/>
      <c r="V55" s="12"/>
      <c r="W55" s="12"/>
      <c r="X55" s="12"/>
      <c r="Y55" s="12"/>
      <c r="Z55" s="12"/>
      <c r="AA55" s="12"/>
      <c r="AB55" s="12"/>
      <c r="AC55" s="12"/>
      <c r="AD55" s="12"/>
      <c r="AE55" s="12"/>
      <c r="AF55" s="12"/>
      <c r="AG55" s="12"/>
      <c r="AH55" s="12"/>
      <c r="AI55" s="12"/>
      <c r="AJ55" s="12"/>
      <c r="AK55" s="12"/>
      <c r="AL55" s="12"/>
      <c r="AM55" s="12"/>
      <c r="AN55" s="12"/>
      <c r="AO55" s="12"/>
      <c r="AP55" s="12"/>
      <c r="AQ55" s="12"/>
      <c r="AR55" s="12"/>
      <c r="AS55" s="12"/>
      <c r="AT55" s="12"/>
      <c r="AU55" s="12"/>
      <c r="AV55" s="12"/>
      <c r="AW55" s="12"/>
      <c r="AX55" s="12"/>
      <c r="AY55" s="12"/>
      <c r="AZ55" s="12"/>
      <c r="BA55" s="12"/>
      <c r="BB55" s="12"/>
      <c r="BC55" s="12"/>
      <c r="BD55" s="12"/>
      <c r="BE55" s="12"/>
      <c r="BF55" s="12"/>
      <c r="BG55" s="12"/>
      <c r="BH55" s="12"/>
      <c r="BI55" s="12"/>
      <c r="BJ55" s="12"/>
      <c r="BK55" s="12"/>
      <c r="BL55" s="12"/>
      <c r="BM55" s="12"/>
      <c r="BN55" s="12"/>
      <c r="BO55" s="12"/>
      <c r="BP55" s="12"/>
      <c r="BQ55" s="12"/>
      <c r="BR55" s="12"/>
      <c r="BS55" s="12"/>
      <c r="BT55" s="12"/>
      <c r="BU55" s="12"/>
      <c r="BV55" s="12"/>
      <c r="BW55" s="12"/>
      <c r="BX55" s="12"/>
      <c r="BY55" s="12"/>
      <c r="BZ55" s="12"/>
      <c r="CA55" s="12"/>
      <c r="CB55" s="12"/>
      <c r="CC55" s="12"/>
      <c r="CD55" s="12"/>
      <c r="CE55" s="12"/>
      <c r="CF55" s="12"/>
    </row>
    <row r="56" spans="1:84" x14ac:dyDescent="0.3">
      <c r="A56" s="12"/>
      <c r="B56" s="12"/>
      <c r="C56" s="12"/>
      <c r="D56" s="12"/>
      <c r="E56" s="12"/>
      <c r="F56" s="12"/>
      <c r="G56" s="12"/>
      <c r="H56" s="12"/>
      <c r="I56" s="12"/>
      <c r="J56" s="12"/>
      <c r="K56" s="12"/>
      <c r="L56" s="12"/>
      <c r="M56" s="12"/>
      <c r="N56" s="12"/>
      <c r="O56" s="12"/>
      <c r="P56" s="12"/>
      <c r="Q56" s="12"/>
      <c r="R56" s="12"/>
      <c r="S56" s="12"/>
      <c r="T56" s="12"/>
      <c r="U56" s="12"/>
      <c r="V56" s="12"/>
      <c r="W56" s="12"/>
      <c r="X56" s="12"/>
      <c r="Y56" s="12"/>
      <c r="Z56" s="12"/>
      <c r="AA56" s="12"/>
      <c r="AB56" s="12"/>
      <c r="AC56" s="12"/>
      <c r="AD56" s="12"/>
      <c r="AE56" s="12"/>
      <c r="AF56" s="12"/>
      <c r="AG56" s="12"/>
      <c r="AH56" s="12"/>
      <c r="AI56" s="12"/>
      <c r="AJ56" s="12"/>
      <c r="AK56" s="12"/>
      <c r="AL56" s="12"/>
      <c r="AM56" s="12"/>
      <c r="AN56" s="12"/>
      <c r="AO56" s="12"/>
      <c r="AP56" s="12"/>
      <c r="AQ56" s="12"/>
      <c r="AR56" s="12"/>
      <c r="AS56" s="12"/>
      <c r="AT56" s="12"/>
      <c r="AU56" s="12"/>
      <c r="AV56" s="12"/>
      <c r="AW56" s="12"/>
      <c r="AX56" s="12"/>
      <c r="AY56" s="12"/>
      <c r="AZ56" s="12"/>
      <c r="BA56" s="12"/>
      <c r="BB56" s="12"/>
      <c r="BC56" s="12"/>
      <c r="BD56" s="12"/>
      <c r="BE56" s="12"/>
      <c r="BF56" s="12"/>
      <c r="BG56" s="12"/>
      <c r="BH56" s="12"/>
      <c r="BI56" s="12"/>
      <c r="BJ56" s="12"/>
      <c r="BK56" s="12"/>
      <c r="BL56" s="12"/>
      <c r="BM56" s="12"/>
      <c r="BN56" s="12"/>
      <c r="BO56" s="12"/>
      <c r="BP56" s="12"/>
      <c r="BQ56" s="12"/>
      <c r="BR56" s="12"/>
      <c r="BS56" s="12"/>
      <c r="BT56" s="12"/>
      <c r="BU56" s="12"/>
      <c r="BV56" s="12"/>
      <c r="BW56" s="12"/>
      <c r="BX56" s="12"/>
      <c r="BY56" s="12"/>
      <c r="BZ56" s="12"/>
      <c r="CA56" s="12"/>
      <c r="CB56" s="12"/>
      <c r="CC56" s="12"/>
      <c r="CD56" s="12"/>
      <c r="CE56" s="12"/>
      <c r="CF56" s="12"/>
    </row>
    <row r="57" spans="1:84" x14ac:dyDescent="0.3">
      <c r="A57" s="12"/>
      <c r="B57" s="12"/>
      <c r="C57" s="12"/>
      <c r="D57" s="12"/>
      <c r="E57" s="12"/>
      <c r="F57" s="12"/>
      <c r="G57" s="12"/>
      <c r="H57" s="12"/>
      <c r="I57" s="12"/>
      <c r="J57" s="12"/>
      <c r="K57" s="12"/>
      <c r="L57" s="12"/>
      <c r="M57" s="12"/>
      <c r="N57" s="12"/>
      <c r="O57" s="12"/>
      <c r="P57" s="12"/>
      <c r="Q57" s="12"/>
      <c r="R57" s="12"/>
      <c r="S57" s="12"/>
      <c r="T57" s="12"/>
      <c r="U57" s="12"/>
      <c r="V57" s="12"/>
      <c r="W57" s="12"/>
      <c r="X57" s="12"/>
      <c r="Y57" s="12"/>
      <c r="Z57" s="12"/>
      <c r="AA57" s="12"/>
      <c r="AB57" s="12"/>
      <c r="AC57" s="12"/>
      <c r="AD57" s="12"/>
      <c r="AE57" s="12"/>
      <c r="AF57" s="12"/>
      <c r="AG57" s="12"/>
      <c r="AH57" s="12"/>
      <c r="AI57" s="12"/>
      <c r="AJ57" s="12"/>
      <c r="AK57" s="12"/>
      <c r="AL57" s="12"/>
      <c r="AM57" s="12"/>
      <c r="AN57" s="12"/>
      <c r="AO57" s="12"/>
      <c r="AP57" s="12"/>
      <c r="AQ57" s="12"/>
      <c r="AR57" s="12"/>
      <c r="AS57" s="12"/>
      <c r="AT57" s="12"/>
      <c r="AU57" s="12"/>
      <c r="AV57" s="12"/>
      <c r="AW57" s="12"/>
      <c r="AX57" s="12"/>
      <c r="AY57" s="12"/>
      <c r="AZ57" s="12"/>
      <c r="BA57" s="12"/>
      <c r="BB57" s="12"/>
      <c r="BC57" s="12"/>
      <c r="BD57" s="12"/>
      <c r="BE57" s="12"/>
      <c r="BF57" s="12"/>
      <c r="BG57" s="12"/>
      <c r="BH57" s="12"/>
      <c r="BI57" s="12"/>
      <c r="BJ57" s="12"/>
      <c r="BK57" s="12"/>
      <c r="BL57" s="12"/>
      <c r="BM57" s="12"/>
      <c r="BN57" s="12"/>
      <c r="BO57" s="12"/>
      <c r="BP57" s="12"/>
      <c r="BQ57" s="12"/>
      <c r="BR57" s="12"/>
      <c r="BS57" s="12"/>
      <c r="BT57" s="12"/>
      <c r="BU57" s="12"/>
      <c r="BV57" s="12"/>
      <c r="BW57" s="12"/>
      <c r="BX57" s="12"/>
      <c r="BY57" s="12"/>
      <c r="BZ57" s="12"/>
      <c r="CA57" s="12"/>
      <c r="CB57" s="12"/>
      <c r="CC57" s="12"/>
      <c r="CD57" s="12"/>
      <c r="CE57" s="12"/>
      <c r="CF57" s="12"/>
    </row>
    <row r="58" spans="1:84" x14ac:dyDescent="0.3">
      <c r="A58" s="12"/>
      <c r="B58" s="12"/>
      <c r="C58" s="12"/>
      <c r="D58" s="12"/>
      <c r="E58" s="12"/>
      <c r="F58" s="12"/>
      <c r="G58" s="12"/>
      <c r="H58" s="12"/>
      <c r="I58" s="12"/>
      <c r="J58" s="12"/>
      <c r="K58" s="12"/>
      <c r="L58" s="12"/>
      <c r="M58" s="12"/>
      <c r="N58" s="12"/>
      <c r="O58" s="12"/>
      <c r="P58" s="12"/>
      <c r="Q58" s="12"/>
      <c r="R58" s="12"/>
      <c r="S58" s="12"/>
      <c r="T58" s="12"/>
      <c r="U58" s="12"/>
      <c r="V58" s="12"/>
      <c r="W58" s="12"/>
      <c r="X58" s="12"/>
      <c r="Y58" s="12"/>
      <c r="Z58" s="12"/>
      <c r="AA58" s="12"/>
      <c r="AB58" s="12"/>
      <c r="AC58" s="12"/>
      <c r="AD58" s="12"/>
      <c r="AE58" s="12"/>
      <c r="AF58" s="12"/>
      <c r="AG58" s="12"/>
      <c r="AH58" s="12"/>
      <c r="AI58" s="12"/>
      <c r="AJ58" s="12"/>
      <c r="AK58" s="12"/>
      <c r="AL58" s="12"/>
      <c r="AM58" s="12"/>
      <c r="AN58" s="12"/>
      <c r="AO58" s="12"/>
      <c r="AP58" s="12"/>
      <c r="AQ58" s="12"/>
      <c r="AR58" s="12"/>
      <c r="AS58" s="12"/>
      <c r="AT58" s="12"/>
      <c r="AU58" s="12"/>
      <c r="AV58" s="12"/>
      <c r="AW58" s="12"/>
      <c r="AX58" s="12"/>
      <c r="AY58" s="12"/>
      <c r="AZ58" s="12"/>
      <c r="BA58" s="12"/>
      <c r="BB58" s="12"/>
      <c r="BC58" s="12"/>
      <c r="BD58" s="12"/>
      <c r="BE58" s="12"/>
      <c r="BF58" s="12"/>
      <c r="BG58" s="12"/>
      <c r="BH58" s="12"/>
      <c r="BI58" s="12"/>
      <c r="BJ58" s="12"/>
      <c r="BK58" s="12"/>
      <c r="BL58" s="12"/>
      <c r="BM58" s="12"/>
      <c r="BN58" s="12"/>
      <c r="BO58" s="12"/>
      <c r="BP58" s="12"/>
      <c r="BQ58" s="12"/>
      <c r="BR58" s="12"/>
      <c r="BS58" s="12"/>
      <c r="BT58" s="12"/>
      <c r="BU58" s="12"/>
      <c r="BV58" s="12"/>
      <c r="BW58" s="12"/>
      <c r="BX58" s="12"/>
      <c r="BY58" s="12"/>
      <c r="BZ58" s="12"/>
      <c r="CA58" s="12"/>
      <c r="CB58" s="12"/>
      <c r="CC58" s="12"/>
      <c r="CD58" s="12"/>
      <c r="CE58" s="12"/>
      <c r="CF58" s="12"/>
    </row>
    <row r="59" spans="1:84" x14ac:dyDescent="0.3">
      <c r="A59" s="12"/>
      <c r="B59" s="12"/>
      <c r="C59" s="12"/>
      <c r="D59" s="12"/>
      <c r="E59" s="12"/>
      <c r="F59" s="12"/>
      <c r="G59" s="12"/>
      <c r="H59" s="12"/>
      <c r="I59" s="12"/>
      <c r="J59" s="12"/>
      <c r="K59" s="12"/>
      <c r="L59" s="12"/>
      <c r="M59" s="12"/>
      <c r="N59" s="12"/>
      <c r="O59" s="12"/>
      <c r="P59" s="12"/>
      <c r="Q59" s="12"/>
      <c r="R59" s="12"/>
      <c r="S59" s="12"/>
      <c r="T59" s="12"/>
      <c r="U59" s="12"/>
      <c r="V59" s="12"/>
      <c r="W59" s="12"/>
      <c r="X59" s="12"/>
      <c r="Y59" s="12"/>
      <c r="Z59" s="12"/>
      <c r="AA59" s="12"/>
      <c r="AB59" s="12"/>
      <c r="AC59" s="12"/>
      <c r="AD59" s="12"/>
      <c r="AE59" s="12"/>
      <c r="AF59" s="12"/>
      <c r="AG59" s="12"/>
      <c r="AH59" s="12"/>
      <c r="AI59" s="12"/>
      <c r="AJ59" s="12"/>
      <c r="AK59" s="12"/>
      <c r="AL59" s="12"/>
      <c r="AM59" s="12"/>
      <c r="AN59" s="12"/>
      <c r="AO59" s="12"/>
      <c r="AP59" s="12"/>
      <c r="AQ59" s="12"/>
      <c r="AR59" s="12"/>
      <c r="AS59" s="12"/>
      <c r="AT59" s="12"/>
      <c r="AU59" s="12"/>
      <c r="AV59" s="12"/>
      <c r="AW59" s="12"/>
      <c r="AX59" s="12"/>
      <c r="AY59" s="12"/>
      <c r="AZ59" s="12"/>
      <c r="BA59" s="12"/>
      <c r="BB59" s="12"/>
      <c r="BC59" s="12"/>
      <c r="BD59" s="12"/>
      <c r="BE59" s="12"/>
      <c r="BF59" s="12"/>
      <c r="BG59" s="12"/>
      <c r="BH59" s="12"/>
      <c r="BI59" s="12"/>
      <c r="BJ59" s="12"/>
      <c r="BK59" s="12"/>
      <c r="BL59" s="12"/>
      <c r="BM59" s="12"/>
      <c r="BN59" s="12"/>
      <c r="BO59" s="12"/>
      <c r="BP59" s="12"/>
      <c r="BQ59" s="12"/>
      <c r="BR59" s="12"/>
      <c r="BS59" s="12"/>
      <c r="BT59" s="12"/>
      <c r="BU59" s="12"/>
      <c r="BV59" s="12"/>
      <c r="BW59" s="12"/>
      <c r="BX59" s="12"/>
      <c r="BY59" s="12"/>
      <c r="BZ59" s="12"/>
      <c r="CA59" s="12"/>
      <c r="CB59" s="12"/>
      <c r="CC59" s="12"/>
      <c r="CD59" s="12"/>
      <c r="CE59" s="12"/>
      <c r="CF59" s="12"/>
    </row>
    <row r="60" spans="1:84" x14ac:dyDescent="0.3">
      <c r="A60" s="12"/>
      <c r="B60" s="12"/>
      <c r="C60" s="12"/>
      <c r="D60" s="12"/>
      <c r="E60" s="12"/>
      <c r="F60" s="12"/>
      <c r="G60" s="12"/>
      <c r="H60" s="12"/>
      <c r="I60" s="12"/>
      <c r="J60" s="12"/>
      <c r="K60" s="12"/>
      <c r="L60" s="12"/>
      <c r="M60" s="12"/>
      <c r="N60" s="12"/>
      <c r="O60" s="12"/>
      <c r="P60" s="12"/>
      <c r="Q60" s="12"/>
      <c r="R60" s="12"/>
      <c r="S60" s="12"/>
      <c r="T60" s="12"/>
      <c r="U60" s="12"/>
      <c r="V60" s="12"/>
      <c r="W60" s="12"/>
      <c r="X60" s="12"/>
      <c r="Y60" s="12"/>
      <c r="Z60" s="12"/>
      <c r="AA60" s="12"/>
      <c r="AB60" s="12"/>
      <c r="AC60" s="12"/>
      <c r="AD60" s="12"/>
      <c r="AE60" s="12"/>
      <c r="AF60" s="12"/>
      <c r="AG60" s="12"/>
      <c r="AH60" s="12"/>
      <c r="AI60" s="12"/>
      <c r="AJ60" s="12"/>
      <c r="AK60" s="12"/>
      <c r="AL60" s="12"/>
      <c r="AM60" s="12"/>
      <c r="AN60" s="12"/>
      <c r="AO60" s="12"/>
      <c r="AP60" s="12"/>
      <c r="AQ60" s="12"/>
      <c r="AR60" s="12"/>
      <c r="AS60" s="12"/>
      <c r="AT60" s="12"/>
      <c r="AU60" s="12"/>
      <c r="AV60" s="12"/>
      <c r="AW60" s="12"/>
      <c r="AX60" s="12"/>
      <c r="AY60" s="12"/>
      <c r="AZ60" s="12"/>
      <c r="BA60" s="12"/>
      <c r="BB60" s="12"/>
      <c r="BC60" s="12"/>
      <c r="BD60" s="12"/>
      <c r="BE60" s="12"/>
      <c r="BF60" s="12"/>
      <c r="BG60" s="12"/>
      <c r="BH60" s="12"/>
      <c r="BI60" s="12"/>
      <c r="BJ60" s="12"/>
      <c r="BK60" s="12"/>
      <c r="BL60" s="12"/>
      <c r="BM60" s="12"/>
      <c r="BN60" s="12"/>
      <c r="BO60" s="12"/>
      <c r="BP60" s="12"/>
      <c r="BQ60" s="12"/>
      <c r="BR60" s="12"/>
      <c r="BS60" s="12"/>
      <c r="BT60" s="12"/>
      <c r="BU60" s="12"/>
      <c r="BV60" s="12"/>
      <c r="BW60" s="12"/>
      <c r="BX60" s="12"/>
      <c r="BY60" s="12"/>
      <c r="BZ60" s="12"/>
      <c r="CA60" s="12"/>
      <c r="CB60" s="12"/>
      <c r="CC60" s="12"/>
      <c r="CD60" s="12"/>
      <c r="CE60" s="12"/>
      <c r="CF60" s="12"/>
    </row>
    <row r="61" spans="1:84" x14ac:dyDescent="0.3">
      <c r="A61" s="12"/>
      <c r="B61" s="12"/>
      <c r="C61" s="12"/>
      <c r="D61" s="12"/>
      <c r="E61" s="12"/>
      <c r="F61" s="12"/>
      <c r="G61" s="12"/>
      <c r="H61" s="12"/>
      <c r="I61" s="12"/>
      <c r="J61" s="12"/>
      <c r="K61" s="12"/>
      <c r="L61" s="12"/>
      <c r="M61" s="12"/>
      <c r="N61" s="12"/>
      <c r="O61" s="12"/>
      <c r="P61" s="12"/>
      <c r="Q61" s="12"/>
      <c r="R61" s="12"/>
      <c r="S61" s="12"/>
      <c r="T61" s="12"/>
      <c r="U61" s="12"/>
      <c r="V61" s="12"/>
      <c r="W61" s="12"/>
      <c r="X61" s="12"/>
      <c r="Y61" s="12"/>
      <c r="Z61" s="12"/>
      <c r="AA61" s="12"/>
      <c r="AB61" s="12"/>
      <c r="AC61" s="12"/>
      <c r="AD61" s="12"/>
      <c r="AE61" s="12"/>
      <c r="AF61" s="12"/>
      <c r="AG61" s="12"/>
      <c r="AH61" s="12"/>
      <c r="AI61" s="12"/>
      <c r="AJ61" s="12"/>
      <c r="AK61" s="12"/>
      <c r="AL61" s="12"/>
      <c r="AM61" s="12"/>
      <c r="AN61" s="12"/>
      <c r="AO61" s="12"/>
      <c r="AP61" s="12"/>
      <c r="AQ61" s="12"/>
      <c r="AR61" s="12"/>
      <c r="AS61" s="12"/>
      <c r="AT61" s="12"/>
      <c r="AU61" s="12"/>
      <c r="AV61" s="12"/>
      <c r="AW61" s="12"/>
      <c r="AX61" s="12"/>
      <c r="AY61" s="12"/>
      <c r="AZ61" s="12"/>
      <c r="BA61" s="12"/>
      <c r="BB61" s="12"/>
      <c r="BC61" s="12"/>
      <c r="BD61" s="12"/>
      <c r="BE61" s="12"/>
      <c r="BF61" s="12"/>
      <c r="BG61" s="12"/>
      <c r="BH61" s="12"/>
      <c r="BI61" s="12"/>
      <c r="BJ61" s="12"/>
      <c r="BK61" s="12"/>
      <c r="BL61" s="12"/>
      <c r="BM61" s="12"/>
      <c r="BN61" s="12"/>
      <c r="BO61" s="12"/>
      <c r="BP61" s="12"/>
      <c r="BQ61" s="12"/>
      <c r="BR61" s="12"/>
      <c r="BS61" s="12"/>
      <c r="BT61" s="12"/>
      <c r="BU61" s="12"/>
      <c r="BV61" s="12"/>
      <c r="BW61" s="12"/>
      <c r="BX61" s="12"/>
      <c r="BY61" s="12"/>
      <c r="BZ61" s="12"/>
      <c r="CA61" s="12"/>
      <c r="CB61" s="12"/>
      <c r="CC61" s="12"/>
      <c r="CD61" s="12"/>
      <c r="CE61" s="12"/>
      <c r="CF61" s="12"/>
    </row>
    <row r="62" spans="1:84" x14ac:dyDescent="0.3">
      <c r="A62" s="12"/>
      <c r="B62" s="12"/>
      <c r="C62" s="12"/>
      <c r="D62" s="12"/>
      <c r="E62" s="12"/>
      <c r="F62" s="12"/>
      <c r="G62" s="12"/>
      <c r="H62" s="12"/>
      <c r="I62" s="12"/>
      <c r="J62" s="12"/>
      <c r="K62" s="12"/>
      <c r="L62" s="12"/>
      <c r="M62" s="12"/>
      <c r="N62" s="12"/>
      <c r="O62" s="12"/>
      <c r="P62" s="12"/>
      <c r="Q62" s="12"/>
      <c r="R62" s="12"/>
      <c r="S62" s="12"/>
      <c r="T62" s="12"/>
      <c r="U62" s="12"/>
      <c r="V62" s="12"/>
      <c r="W62" s="12"/>
      <c r="X62" s="12"/>
      <c r="Y62" s="12"/>
      <c r="Z62" s="12"/>
      <c r="AA62" s="12"/>
      <c r="AB62" s="12"/>
      <c r="AC62" s="12"/>
      <c r="AD62" s="12"/>
      <c r="AE62" s="12"/>
      <c r="AF62" s="12"/>
      <c r="AG62" s="12"/>
      <c r="AH62" s="12"/>
      <c r="AI62" s="12"/>
      <c r="AJ62" s="12"/>
      <c r="AK62" s="12"/>
      <c r="AL62" s="12"/>
      <c r="AM62" s="12"/>
      <c r="AN62" s="12"/>
      <c r="AO62" s="12"/>
      <c r="AP62" s="12"/>
      <c r="AQ62" s="12"/>
      <c r="AR62" s="12"/>
      <c r="AS62" s="12"/>
      <c r="AT62" s="12"/>
      <c r="AU62" s="12"/>
      <c r="AV62" s="12"/>
      <c r="AW62" s="12"/>
      <c r="AX62" s="12"/>
      <c r="AY62" s="12"/>
      <c r="AZ62" s="12"/>
      <c r="BA62" s="12"/>
      <c r="BB62" s="12"/>
      <c r="BC62" s="12"/>
      <c r="BD62" s="12"/>
      <c r="BE62" s="12"/>
      <c r="BF62" s="12"/>
      <c r="BG62" s="12"/>
      <c r="BH62" s="12"/>
      <c r="BI62" s="12"/>
      <c r="BJ62" s="12"/>
      <c r="BK62" s="12"/>
      <c r="BL62" s="12"/>
      <c r="BM62" s="12"/>
      <c r="BN62" s="12"/>
      <c r="BO62" s="12"/>
      <c r="BP62" s="12"/>
      <c r="BQ62" s="12"/>
      <c r="BR62" s="12"/>
      <c r="BS62" s="12"/>
      <c r="BT62" s="12"/>
      <c r="BU62" s="12"/>
      <c r="BV62" s="12"/>
      <c r="BW62" s="12"/>
      <c r="BX62" s="12"/>
      <c r="BY62" s="12"/>
      <c r="BZ62" s="12"/>
      <c r="CA62" s="12"/>
      <c r="CB62" s="12"/>
      <c r="CC62" s="12"/>
      <c r="CD62" s="12"/>
      <c r="CE62" s="12"/>
      <c r="CF62" s="12"/>
    </row>
    <row r="63" spans="1:84" x14ac:dyDescent="0.3">
      <c r="A63" s="12"/>
      <c r="B63" s="12"/>
      <c r="C63" s="12"/>
      <c r="D63" s="12"/>
      <c r="E63" s="12"/>
      <c r="F63" s="12"/>
      <c r="G63" s="12"/>
      <c r="H63" s="12"/>
      <c r="I63" s="12"/>
      <c r="J63" s="12"/>
      <c r="K63" s="12"/>
      <c r="L63" s="12"/>
      <c r="M63" s="12"/>
      <c r="N63" s="12"/>
      <c r="O63" s="12"/>
      <c r="P63" s="12"/>
      <c r="Q63" s="12"/>
      <c r="R63" s="12"/>
      <c r="S63" s="12"/>
      <c r="T63" s="12"/>
      <c r="U63" s="12"/>
      <c r="V63" s="12"/>
      <c r="W63" s="12"/>
      <c r="X63" s="12"/>
      <c r="Y63" s="12"/>
      <c r="Z63" s="12"/>
      <c r="AA63" s="12"/>
      <c r="AB63" s="12"/>
      <c r="AC63" s="12"/>
      <c r="AD63" s="12"/>
      <c r="AE63" s="12"/>
      <c r="AF63" s="12"/>
      <c r="AG63" s="12"/>
      <c r="AH63" s="12"/>
      <c r="AI63" s="12"/>
      <c r="AJ63" s="12"/>
      <c r="AK63" s="12"/>
      <c r="AL63" s="12"/>
      <c r="AM63" s="12"/>
      <c r="AN63" s="12"/>
      <c r="AO63" s="12"/>
      <c r="AP63" s="12"/>
      <c r="AQ63" s="12"/>
      <c r="AR63" s="12"/>
      <c r="AS63" s="12"/>
      <c r="AT63" s="12"/>
      <c r="AU63" s="12"/>
      <c r="AV63" s="12"/>
      <c r="AW63" s="12"/>
      <c r="AX63" s="12"/>
      <c r="AY63" s="12"/>
      <c r="AZ63" s="12"/>
      <c r="BA63" s="12"/>
      <c r="BB63" s="12"/>
      <c r="BC63" s="12"/>
      <c r="BD63" s="12"/>
      <c r="BE63" s="12"/>
      <c r="BF63" s="12"/>
      <c r="BG63" s="12"/>
      <c r="BH63" s="12"/>
      <c r="BI63" s="12"/>
      <c r="BJ63" s="12"/>
      <c r="BK63" s="12"/>
      <c r="BL63" s="12"/>
      <c r="BM63" s="12"/>
      <c r="BN63" s="12"/>
      <c r="BO63" s="12"/>
      <c r="BP63" s="12"/>
      <c r="BQ63" s="12"/>
      <c r="BR63" s="12"/>
      <c r="BS63" s="12"/>
      <c r="BT63" s="12"/>
      <c r="BU63" s="12"/>
      <c r="BV63" s="12"/>
      <c r="BW63" s="12"/>
      <c r="BX63" s="12"/>
      <c r="BY63" s="12"/>
      <c r="BZ63" s="12"/>
      <c r="CA63" s="12"/>
      <c r="CB63" s="12"/>
      <c r="CC63" s="12"/>
      <c r="CD63" s="12"/>
      <c r="CE63" s="12"/>
      <c r="CF63" s="12"/>
    </row>
    <row r="64" spans="1:84" x14ac:dyDescent="0.3">
      <c r="A64" s="12"/>
      <c r="B64" s="12"/>
      <c r="C64" s="12"/>
      <c r="D64" s="12"/>
      <c r="E64" s="12"/>
      <c r="F64" s="12"/>
      <c r="G64" s="12"/>
      <c r="H64" s="12"/>
      <c r="I64" s="12"/>
      <c r="J64" s="12"/>
      <c r="K64" s="12"/>
      <c r="L64" s="12"/>
      <c r="M64" s="12"/>
      <c r="N64" s="12"/>
      <c r="O64" s="12"/>
      <c r="P64" s="12"/>
      <c r="Q64" s="12"/>
      <c r="R64" s="12"/>
      <c r="S64" s="12"/>
      <c r="T64" s="12"/>
      <c r="U64" s="12"/>
      <c r="V64" s="12"/>
      <c r="W64" s="12"/>
      <c r="X64" s="12"/>
      <c r="Y64" s="12"/>
      <c r="Z64" s="12"/>
      <c r="AA64" s="12"/>
      <c r="AB64" s="12"/>
      <c r="AC64" s="12"/>
      <c r="AD64" s="12"/>
      <c r="AE64" s="12"/>
      <c r="AF64" s="12"/>
      <c r="AG64" s="12"/>
      <c r="AH64" s="12"/>
      <c r="AI64" s="12"/>
      <c r="AJ64" s="12"/>
      <c r="AK64" s="12"/>
      <c r="AL64" s="12"/>
      <c r="AM64" s="12"/>
      <c r="AN64" s="12"/>
      <c r="AO64" s="12"/>
      <c r="AP64" s="12"/>
      <c r="AQ64" s="12"/>
      <c r="AR64" s="12"/>
      <c r="AS64" s="12"/>
      <c r="AT64" s="12"/>
      <c r="AU64" s="12"/>
      <c r="AV64" s="12"/>
      <c r="AW64" s="12"/>
      <c r="AX64" s="12"/>
      <c r="AY64" s="12"/>
      <c r="AZ64" s="12"/>
      <c r="BA64" s="12"/>
      <c r="BB64" s="12"/>
      <c r="BC64" s="12"/>
      <c r="BD64" s="12"/>
      <c r="BE64" s="12"/>
      <c r="BF64" s="12"/>
      <c r="BG64" s="12"/>
      <c r="BH64" s="12"/>
      <c r="BI64" s="12"/>
      <c r="BJ64" s="12"/>
      <c r="BK64" s="12"/>
      <c r="BL64" s="12"/>
      <c r="BM64" s="12"/>
      <c r="BN64" s="12"/>
      <c r="BO64" s="12"/>
      <c r="BP64" s="12"/>
      <c r="BQ64" s="12"/>
      <c r="BR64" s="12"/>
      <c r="BS64" s="12"/>
      <c r="BT64" s="12"/>
      <c r="BU64" s="12"/>
      <c r="BV64" s="12"/>
      <c r="BW64" s="12"/>
      <c r="BX64" s="12"/>
      <c r="BY64" s="12"/>
      <c r="BZ64" s="12"/>
      <c r="CA64" s="12"/>
      <c r="CB64" s="12"/>
      <c r="CC64" s="12"/>
      <c r="CD64" s="12"/>
      <c r="CE64" s="12"/>
      <c r="CF64" s="12"/>
    </row>
    <row r="65" spans="1:84" x14ac:dyDescent="0.3">
      <c r="A65" s="12"/>
      <c r="B65" s="12"/>
      <c r="C65" s="12"/>
      <c r="D65" s="12"/>
      <c r="E65" s="12"/>
      <c r="F65" s="12"/>
      <c r="G65" s="12"/>
      <c r="H65" s="12"/>
      <c r="I65" s="12"/>
      <c r="J65" s="12"/>
      <c r="K65" s="12"/>
      <c r="L65" s="12"/>
      <c r="M65" s="12"/>
      <c r="N65" s="12"/>
      <c r="O65" s="12"/>
      <c r="P65" s="12"/>
      <c r="Q65" s="12"/>
      <c r="R65" s="12"/>
      <c r="S65" s="12"/>
      <c r="T65" s="12"/>
      <c r="U65" s="12"/>
      <c r="V65" s="12"/>
      <c r="W65" s="12"/>
      <c r="X65" s="12"/>
      <c r="Y65" s="12"/>
      <c r="Z65" s="12"/>
      <c r="AA65" s="12"/>
      <c r="AB65" s="12"/>
      <c r="AC65" s="12"/>
      <c r="AD65" s="12"/>
      <c r="AE65" s="12"/>
      <c r="AF65" s="12"/>
      <c r="AG65" s="12"/>
      <c r="AH65" s="12"/>
      <c r="AI65" s="12"/>
      <c r="AJ65" s="12"/>
      <c r="AK65" s="12"/>
      <c r="AL65" s="12"/>
      <c r="AM65" s="12"/>
      <c r="AN65" s="12"/>
      <c r="AO65" s="12"/>
      <c r="AP65" s="12"/>
      <c r="AQ65" s="12"/>
      <c r="AR65" s="12"/>
      <c r="AS65" s="12"/>
      <c r="AT65" s="12"/>
      <c r="AU65" s="12"/>
      <c r="AV65" s="12"/>
      <c r="AW65" s="12"/>
      <c r="AX65" s="12"/>
      <c r="AY65" s="12"/>
      <c r="AZ65" s="12"/>
      <c r="BA65" s="12"/>
      <c r="BB65" s="12"/>
      <c r="BC65" s="12"/>
      <c r="BD65" s="12"/>
      <c r="BE65" s="12"/>
      <c r="BF65" s="12"/>
      <c r="BG65" s="12"/>
      <c r="BH65" s="12"/>
      <c r="BI65" s="12"/>
      <c r="BJ65" s="12"/>
      <c r="BK65" s="12"/>
      <c r="BL65" s="12"/>
      <c r="BM65" s="12"/>
      <c r="BN65" s="12"/>
      <c r="BO65" s="12"/>
      <c r="BP65" s="12"/>
      <c r="BQ65" s="12"/>
      <c r="BR65" s="12"/>
      <c r="BS65" s="12"/>
      <c r="BT65" s="12"/>
      <c r="BU65" s="12"/>
      <c r="BV65" s="12"/>
      <c r="BW65" s="12"/>
      <c r="BX65" s="12"/>
      <c r="BY65" s="12"/>
      <c r="BZ65" s="12"/>
      <c r="CA65" s="12"/>
      <c r="CB65" s="12"/>
      <c r="CC65" s="12"/>
      <c r="CD65" s="12"/>
      <c r="CE65" s="12"/>
      <c r="CF65" s="12"/>
    </row>
    <row r="66" spans="1:84" x14ac:dyDescent="0.3">
      <c r="A66" s="12"/>
      <c r="B66" s="12"/>
      <c r="C66" s="12"/>
      <c r="D66" s="12"/>
      <c r="E66" s="12"/>
      <c r="F66" s="12"/>
      <c r="G66" s="12"/>
      <c r="H66" s="12"/>
      <c r="I66" s="12"/>
      <c r="J66" s="12"/>
      <c r="K66" s="12"/>
      <c r="L66" s="12"/>
      <c r="M66" s="12"/>
      <c r="N66" s="12"/>
      <c r="O66" s="12"/>
      <c r="P66" s="12"/>
      <c r="Q66" s="12"/>
      <c r="R66" s="12"/>
      <c r="S66" s="12"/>
      <c r="T66" s="12"/>
      <c r="U66" s="12"/>
      <c r="V66" s="12"/>
      <c r="W66" s="12"/>
      <c r="X66" s="12"/>
      <c r="Y66" s="12"/>
      <c r="Z66" s="12"/>
      <c r="AA66" s="12"/>
      <c r="AB66" s="12"/>
      <c r="AC66" s="12"/>
      <c r="AD66" s="12"/>
      <c r="AE66" s="12"/>
      <c r="AF66" s="12"/>
      <c r="AG66" s="12"/>
      <c r="AH66" s="12"/>
      <c r="AI66" s="12"/>
      <c r="AJ66" s="12"/>
      <c r="AK66" s="12"/>
      <c r="AL66" s="12"/>
      <c r="AM66" s="12"/>
      <c r="AN66" s="12"/>
      <c r="AO66" s="12"/>
      <c r="AP66" s="12"/>
      <c r="AQ66" s="12"/>
      <c r="AR66" s="12"/>
      <c r="AS66" s="12"/>
      <c r="AT66" s="12"/>
      <c r="AU66" s="12"/>
      <c r="AV66" s="12"/>
      <c r="AW66" s="12"/>
      <c r="AX66" s="12"/>
      <c r="AY66" s="12"/>
      <c r="AZ66" s="12"/>
      <c r="BA66" s="12"/>
      <c r="BB66" s="12"/>
      <c r="BC66" s="12"/>
      <c r="BD66" s="12"/>
      <c r="BE66" s="12"/>
      <c r="BF66" s="12"/>
      <c r="BG66" s="12"/>
      <c r="BH66" s="12"/>
      <c r="BI66" s="12"/>
      <c r="BJ66" s="12"/>
      <c r="BK66" s="12"/>
      <c r="BL66" s="12"/>
      <c r="BM66" s="12"/>
      <c r="BN66" s="12"/>
      <c r="BO66" s="12"/>
      <c r="BP66" s="12"/>
      <c r="BQ66" s="12"/>
      <c r="BR66" s="12"/>
      <c r="BS66" s="12"/>
      <c r="BT66" s="12"/>
      <c r="BU66" s="12"/>
      <c r="BV66" s="12"/>
      <c r="BW66" s="12"/>
      <c r="BX66" s="12"/>
      <c r="BY66" s="12"/>
      <c r="BZ66" s="12"/>
      <c r="CA66" s="12"/>
      <c r="CB66" s="12"/>
      <c r="CC66" s="12"/>
      <c r="CD66" s="12"/>
      <c r="CE66" s="12"/>
      <c r="CF66" s="12"/>
    </row>
    <row r="67" spans="1:84" x14ac:dyDescent="0.3">
      <c r="A67" s="12"/>
      <c r="B67" s="12"/>
      <c r="C67" s="12"/>
      <c r="D67" s="12"/>
      <c r="E67" s="12"/>
      <c r="F67" s="12"/>
      <c r="G67" s="12"/>
      <c r="H67" s="12"/>
      <c r="I67" s="12"/>
      <c r="J67" s="12"/>
      <c r="K67" s="12"/>
      <c r="L67" s="12"/>
      <c r="M67" s="12"/>
      <c r="N67" s="12"/>
      <c r="O67" s="12"/>
      <c r="P67" s="12"/>
      <c r="Q67" s="12"/>
      <c r="R67" s="12"/>
      <c r="S67" s="12"/>
      <c r="T67" s="12"/>
      <c r="U67" s="12"/>
      <c r="V67" s="12"/>
      <c r="W67" s="12"/>
      <c r="X67" s="12"/>
      <c r="Y67" s="12"/>
      <c r="Z67" s="12"/>
      <c r="AA67" s="12"/>
      <c r="AB67" s="12"/>
      <c r="AC67" s="12"/>
      <c r="AD67" s="12"/>
      <c r="AE67" s="12"/>
      <c r="AF67" s="12"/>
      <c r="AG67" s="12"/>
      <c r="AH67" s="12"/>
      <c r="AI67" s="12"/>
      <c r="AJ67" s="12"/>
      <c r="AK67" s="12"/>
      <c r="AL67" s="12"/>
      <c r="AM67" s="12"/>
      <c r="AN67" s="12"/>
      <c r="AO67" s="12"/>
      <c r="AP67" s="12"/>
      <c r="AQ67" s="12"/>
      <c r="AR67" s="12"/>
      <c r="AS67" s="12"/>
      <c r="AT67" s="12"/>
      <c r="AU67" s="12"/>
      <c r="AV67" s="12"/>
      <c r="AW67" s="12"/>
      <c r="AX67" s="12"/>
      <c r="AY67" s="12"/>
      <c r="AZ67" s="12"/>
      <c r="BA67" s="12"/>
      <c r="BB67" s="12"/>
      <c r="BC67" s="12"/>
      <c r="BD67" s="12"/>
      <c r="BE67" s="12"/>
      <c r="BF67" s="12"/>
      <c r="BG67" s="12"/>
      <c r="BH67" s="12"/>
      <c r="BI67" s="12"/>
      <c r="BJ67" s="12"/>
      <c r="BK67" s="12"/>
      <c r="BL67" s="12"/>
      <c r="BM67" s="12"/>
      <c r="BN67" s="12"/>
      <c r="BO67" s="12"/>
      <c r="BP67" s="12"/>
      <c r="BQ67" s="12"/>
      <c r="BR67" s="12"/>
      <c r="BS67" s="12"/>
      <c r="BT67" s="12"/>
      <c r="BU67" s="12"/>
      <c r="BV67" s="12"/>
      <c r="BW67" s="12"/>
      <c r="BX67" s="12"/>
      <c r="BY67" s="12"/>
      <c r="BZ67" s="12"/>
      <c r="CA67" s="12"/>
      <c r="CB67" s="12"/>
      <c r="CC67" s="12"/>
      <c r="CD67" s="12"/>
      <c r="CE67" s="12"/>
      <c r="CF67" s="12"/>
    </row>
    <row r="68" spans="1:84" x14ac:dyDescent="0.3">
      <c r="A68" s="12"/>
      <c r="B68" s="12"/>
      <c r="C68" s="12"/>
      <c r="D68" s="12"/>
      <c r="E68" s="12"/>
      <c r="F68" s="12"/>
      <c r="G68" s="12"/>
      <c r="H68" s="12"/>
      <c r="I68" s="12"/>
      <c r="J68" s="12"/>
      <c r="K68" s="12"/>
      <c r="L68" s="12"/>
      <c r="M68" s="12"/>
      <c r="N68" s="12"/>
      <c r="O68" s="12"/>
      <c r="P68" s="12"/>
      <c r="Q68" s="12"/>
      <c r="R68" s="12"/>
      <c r="S68" s="12"/>
      <c r="T68" s="12"/>
      <c r="U68" s="12"/>
      <c r="V68" s="12"/>
      <c r="W68" s="12"/>
      <c r="X68" s="12"/>
      <c r="Y68" s="12"/>
      <c r="Z68" s="12"/>
      <c r="AA68" s="12"/>
      <c r="AB68" s="12"/>
      <c r="AC68" s="12"/>
      <c r="AD68" s="12"/>
      <c r="AE68" s="12"/>
      <c r="AF68" s="12"/>
      <c r="AG68" s="12"/>
      <c r="AH68" s="12"/>
      <c r="AI68" s="12"/>
      <c r="AJ68" s="12"/>
      <c r="AK68" s="12"/>
      <c r="AL68" s="12"/>
      <c r="AM68" s="12"/>
      <c r="AN68" s="12"/>
      <c r="AO68" s="12"/>
      <c r="AP68" s="12"/>
      <c r="AQ68" s="12"/>
      <c r="AR68" s="12"/>
      <c r="AS68" s="12"/>
      <c r="AT68" s="12"/>
      <c r="AU68" s="12"/>
      <c r="AV68" s="12"/>
      <c r="AW68" s="12"/>
      <c r="AX68" s="12"/>
      <c r="AY68" s="12"/>
      <c r="AZ68" s="12"/>
      <c r="BA68" s="12"/>
      <c r="BB68" s="12"/>
      <c r="BC68" s="12"/>
      <c r="BD68" s="12"/>
      <c r="BE68" s="12"/>
      <c r="BF68" s="12"/>
      <c r="BG68" s="12"/>
      <c r="BH68" s="12"/>
      <c r="BI68" s="12"/>
      <c r="BJ68" s="12"/>
      <c r="BK68" s="12"/>
      <c r="BL68" s="12"/>
      <c r="BM68" s="12"/>
      <c r="BN68" s="12"/>
      <c r="BO68" s="12"/>
      <c r="BP68" s="12"/>
      <c r="BQ68" s="12"/>
      <c r="BR68" s="12"/>
      <c r="BS68" s="12"/>
      <c r="BT68" s="12"/>
      <c r="BU68" s="12"/>
      <c r="BV68" s="12"/>
      <c r="BW68" s="12"/>
      <c r="BX68" s="12"/>
      <c r="BY68" s="12"/>
      <c r="BZ68" s="12"/>
      <c r="CA68" s="12"/>
      <c r="CB68" s="12"/>
      <c r="CC68" s="12"/>
      <c r="CD68" s="12"/>
      <c r="CE68" s="12"/>
      <c r="CF68" s="12"/>
    </row>
    <row r="69" spans="1:84" x14ac:dyDescent="0.3">
      <c r="A69" s="12"/>
      <c r="B69" s="12"/>
      <c r="C69" s="12"/>
      <c r="D69" s="12"/>
      <c r="E69" s="12"/>
      <c r="F69" s="12"/>
      <c r="G69" s="12"/>
      <c r="H69" s="12"/>
      <c r="I69" s="12"/>
      <c r="J69" s="12"/>
      <c r="K69" s="12"/>
      <c r="L69" s="12"/>
      <c r="M69" s="12"/>
      <c r="N69" s="12"/>
      <c r="O69" s="12"/>
      <c r="P69" s="12"/>
      <c r="Q69" s="12"/>
      <c r="R69" s="12"/>
      <c r="S69" s="12"/>
      <c r="T69" s="12"/>
      <c r="U69" s="12"/>
      <c r="V69" s="12"/>
      <c r="W69" s="12"/>
      <c r="X69" s="12"/>
      <c r="Y69" s="12"/>
      <c r="Z69" s="12"/>
      <c r="AA69" s="12"/>
      <c r="AB69" s="12"/>
      <c r="AC69" s="12"/>
      <c r="AD69" s="12"/>
      <c r="AE69" s="12"/>
      <c r="AF69" s="12"/>
      <c r="AG69" s="12"/>
      <c r="AH69" s="12"/>
      <c r="AI69" s="12"/>
      <c r="AJ69" s="12"/>
      <c r="AK69" s="12"/>
      <c r="AL69" s="12"/>
      <c r="AM69" s="12"/>
      <c r="AN69" s="12"/>
      <c r="AO69" s="12"/>
      <c r="AP69" s="12"/>
      <c r="AQ69" s="12"/>
      <c r="AR69" s="12"/>
      <c r="AS69" s="12"/>
      <c r="AT69" s="12"/>
      <c r="AU69" s="12"/>
      <c r="AV69" s="12"/>
      <c r="AW69" s="12"/>
      <c r="AX69" s="12"/>
      <c r="AY69" s="12"/>
      <c r="AZ69" s="12"/>
      <c r="BA69" s="12"/>
      <c r="BB69" s="12"/>
      <c r="BC69" s="12"/>
      <c r="BD69" s="12"/>
      <c r="BE69" s="12"/>
      <c r="BF69" s="12"/>
      <c r="BG69" s="12"/>
      <c r="BH69" s="12"/>
      <c r="BI69" s="12"/>
      <c r="BJ69" s="12"/>
      <c r="BK69" s="12"/>
      <c r="BL69" s="12"/>
      <c r="BM69" s="12"/>
      <c r="BN69" s="12"/>
      <c r="BO69" s="12"/>
      <c r="BP69" s="12"/>
      <c r="BQ69" s="12"/>
      <c r="BR69" s="12"/>
      <c r="BS69" s="12"/>
      <c r="BT69" s="12"/>
      <c r="BU69" s="12"/>
      <c r="BV69" s="12"/>
      <c r="BW69" s="12"/>
      <c r="BX69" s="12"/>
      <c r="BY69" s="12"/>
      <c r="BZ69" s="12"/>
      <c r="CA69" s="12"/>
      <c r="CB69" s="12"/>
      <c r="CC69" s="12"/>
      <c r="CD69" s="12"/>
      <c r="CE69" s="12"/>
      <c r="CF69" s="12"/>
    </row>
    <row r="70" spans="1:84" x14ac:dyDescent="0.3">
      <c r="A70" s="12"/>
      <c r="B70" s="12"/>
      <c r="C70" s="12"/>
      <c r="D70" s="12"/>
      <c r="E70" s="12"/>
      <c r="F70" s="12"/>
      <c r="G70" s="12"/>
      <c r="H70" s="12"/>
      <c r="I70" s="12"/>
      <c r="J70" s="12"/>
      <c r="K70" s="12"/>
      <c r="L70" s="12"/>
      <c r="M70" s="12"/>
      <c r="N70" s="12"/>
      <c r="O70" s="12"/>
      <c r="P70" s="12"/>
      <c r="Q70" s="12"/>
      <c r="R70" s="12"/>
      <c r="S70" s="12"/>
      <c r="T70" s="12"/>
      <c r="U70" s="12"/>
      <c r="V70" s="12"/>
      <c r="W70" s="12"/>
      <c r="X70" s="12"/>
      <c r="Y70" s="12"/>
      <c r="Z70" s="12"/>
      <c r="AA70" s="12"/>
      <c r="AB70" s="12"/>
      <c r="AC70" s="12"/>
      <c r="AD70" s="12"/>
      <c r="AE70" s="12"/>
      <c r="AF70" s="12"/>
      <c r="AG70" s="12"/>
      <c r="AH70" s="12"/>
      <c r="AI70" s="12"/>
      <c r="AJ70" s="12"/>
      <c r="AK70" s="12"/>
      <c r="AL70" s="12"/>
      <c r="AM70" s="12"/>
      <c r="AN70" s="12"/>
      <c r="AO70" s="12"/>
      <c r="AP70" s="12"/>
      <c r="AQ70" s="12"/>
      <c r="AR70" s="12"/>
      <c r="AS70" s="12"/>
      <c r="AT70" s="12"/>
      <c r="AU70" s="12"/>
      <c r="AV70" s="12"/>
      <c r="AW70" s="12"/>
      <c r="AX70" s="12"/>
      <c r="AY70" s="12"/>
      <c r="AZ70" s="12"/>
      <c r="BA70" s="12"/>
      <c r="BB70" s="12"/>
      <c r="BC70" s="12"/>
      <c r="BD70" s="12"/>
      <c r="BE70" s="12"/>
      <c r="BF70" s="12"/>
      <c r="BG70" s="12"/>
      <c r="BH70" s="12"/>
      <c r="BI70" s="12"/>
      <c r="BJ70" s="12"/>
      <c r="BK70" s="12"/>
      <c r="BL70" s="12"/>
      <c r="BM70" s="12"/>
      <c r="BN70" s="12"/>
      <c r="BO70" s="12"/>
      <c r="BP70" s="12"/>
      <c r="BQ70" s="12"/>
      <c r="BR70" s="12"/>
      <c r="BS70" s="12"/>
      <c r="BT70" s="12"/>
      <c r="BU70" s="12"/>
      <c r="BV70" s="12"/>
      <c r="BW70" s="12"/>
      <c r="BX70" s="12"/>
      <c r="BY70" s="12"/>
      <c r="BZ70" s="12"/>
      <c r="CA70" s="12"/>
      <c r="CB70" s="12"/>
      <c r="CC70" s="12"/>
      <c r="CD70" s="12"/>
      <c r="CE70" s="12"/>
      <c r="CF70" s="12"/>
    </row>
    <row r="71" spans="1:84" x14ac:dyDescent="0.3">
      <c r="A71" s="12"/>
      <c r="B71" s="12"/>
      <c r="C71" s="12"/>
      <c r="D71" s="12"/>
      <c r="E71" s="12"/>
      <c r="F71" s="12"/>
      <c r="G71" s="12"/>
      <c r="H71" s="12"/>
      <c r="I71" s="12"/>
      <c r="J71" s="12"/>
      <c r="K71" s="12"/>
      <c r="L71" s="12"/>
      <c r="M71" s="12"/>
      <c r="N71" s="12"/>
      <c r="O71" s="12"/>
      <c r="P71" s="12"/>
      <c r="Q71" s="12"/>
      <c r="R71" s="12"/>
      <c r="S71" s="12"/>
      <c r="T71" s="12"/>
      <c r="U71" s="12"/>
      <c r="V71" s="12"/>
      <c r="W71" s="12"/>
      <c r="X71" s="12"/>
      <c r="Y71" s="12"/>
      <c r="Z71" s="12"/>
      <c r="AA71" s="12"/>
      <c r="AB71" s="12"/>
      <c r="AC71" s="12"/>
      <c r="AD71" s="12"/>
      <c r="AE71" s="12"/>
      <c r="AF71" s="12"/>
      <c r="AG71" s="12"/>
      <c r="AH71" s="12"/>
      <c r="AI71" s="12"/>
      <c r="AJ71" s="12"/>
      <c r="AK71" s="12"/>
      <c r="AL71" s="12"/>
      <c r="AM71" s="12"/>
      <c r="AN71" s="12"/>
      <c r="AO71" s="12"/>
      <c r="AP71" s="12"/>
      <c r="AQ71" s="12"/>
      <c r="AR71" s="12"/>
      <c r="AS71" s="12"/>
      <c r="AT71" s="12"/>
      <c r="AU71" s="12"/>
      <c r="AV71" s="12"/>
      <c r="AW71" s="12"/>
      <c r="AX71" s="12"/>
      <c r="AY71" s="12"/>
      <c r="AZ71" s="12"/>
      <c r="BA71" s="12"/>
      <c r="BB71" s="12"/>
      <c r="BC71" s="12"/>
      <c r="BD71" s="12"/>
      <c r="BE71" s="12"/>
      <c r="BF71" s="12"/>
      <c r="BG71" s="12"/>
      <c r="BH71" s="12"/>
      <c r="BI71" s="12"/>
      <c r="BJ71" s="12"/>
      <c r="BK71" s="12"/>
      <c r="BL71" s="12"/>
      <c r="BM71" s="12"/>
      <c r="BN71" s="12"/>
      <c r="BO71" s="12"/>
      <c r="BP71" s="12"/>
      <c r="BQ71" s="12"/>
      <c r="BR71" s="12"/>
      <c r="BS71" s="12"/>
      <c r="BT71" s="12"/>
      <c r="BU71" s="12"/>
      <c r="BV71" s="12"/>
      <c r="BW71" s="12"/>
      <c r="BX71" s="12"/>
      <c r="BY71" s="12"/>
      <c r="BZ71" s="12"/>
      <c r="CA71" s="12"/>
      <c r="CB71" s="12"/>
      <c r="CC71" s="12"/>
      <c r="CD71" s="12"/>
      <c r="CE71" s="12"/>
      <c r="CF71" s="12"/>
    </row>
    <row r="72" spans="1:84" x14ac:dyDescent="0.3">
      <c r="A72" s="12"/>
      <c r="B72" s="12"/>
      <c r="C72" s="12"/>
      <c r="D72" s="12"/>
      <c r="E72" s="12"/>
      <c r="F72" s="12"/>
      <c r="G72" s="12"/>
      <c r="H72" s="12"/>
      <c r="I72" s="12"/>
      <c r="J72" s="12"/>
      <c r="K72" s="12"/>
      <c r="L72" s="12"/>
      <c r="M72" s="12"/>
      <c r="N72" s="12"/>
      <c r="O72" s="12"/>
      <c r="P72" s="12"/>
      <c r="Q72" s="12"/>
      <c r="R72" s="12"/>
      <c r="S72" s="12"/>
      <c r="T72" s="12"/>
      <c r="U72" s="12"/>
      <c r="V72" s="12"/>
      <c r="W72" s="12"/>
      <c r="X72" s="12"/>
      <c r="Y72" s="12"/>
      <c r="Z72" s="12"/>
      <c r="AA72" s="12"/>
      <c r="AB72" s="12"/>
      <c r="AC72" s="12"/>
      <c r="AD72" s="12"/>
      <c r="AE72" s="12"/>
      <c r="AF72" s="12"/>
      <c r="AG72" s="12"/>
      <c r="AH72" s="12"/>
      <c r="AI72" s="12"/>
      <c r="AJ72" s="12"/>
      <c r="AK72" s="12"/>
      <c r="AL72" s="12"/>
      <c r="AM72" s="12"/>
      <c r="AN72" s="12"/>
      <c r="AO72" s="12"/>
      <c r="AP72" s="12"/>
      <c r="AQ72" s="12"/>
      <c r="AR72" s="12"/>
      <c r="AS72" s="12"/>
      <c r="AT72" s="12"/>
      <c r="AU72" s="12"/>
      <c r="AV72" s="12"/>
      <c r="AW72" s="12"/>
      <c r="AX72" s="12"/>
      <c r="AY72" s="12"/>
      <c r="AZ72" s="12"/>
      <c r="BA72" s="12"/>
      <c r="BB72" s="12"/>
      <c r="BC72" s="12"/>
      <c r="BD72" s="12"/>
      <c r="BE72" s="12"/>
      <c r="BF72" s="12"/>
      <c r="BG72" s="12"/>
      <c r="BH72" s="12"/>
      <c r="BI72" s="12"/>
      <c r="BJ72" s="12"/>
      <c r="BK72" s="12"/>
      <c r="BL72" s="12"/>
      <c r="BM72" s="12"/>
      <c r="BN72" s="12"/>
      <c r="BO72" s="12"/>
      <c r="BP72" s="12"/>
      <c r="BQ72" s="12"/>
      <c r="BR72" s="12"/>
      <c r="BS72" s="12"/>
      <c r="BT72" s="12"/>
      <c r="BU72" s="12"/>
      <c r="BV72" s="12"/>
      <c r="BW72" s="12"/>
      <c r="BX72" s="12"/>
      <c r="BY72" s="12"/>
      <c r="BZ72" s="12"/>
      <c r="CA72" s="12"/>
      <c r="CB72" s="12"/>
      <c r="CC72" s="12"/>
      <c r="CD72" s="12"/>
      <c r="CE72" s="12"/>
      <c r="CF72" s="12"/>
    </row>
    <row r="73" spans="1:84" x14ac:dyDescent="0.3">
      <c r="A73" s="12"/>
      <c r="B73" s="12"/>
      <c r="C73" s="12"/>
      <c r="D73" s="12"/>
      <c r="E73" s="12"/>
      <c r="F73" s="12"/>
      <c r="G73" s="12"/>
      <c r="H73" s="12"/>
      <c r="I73" s="12"/>
      <c r="J73" s="12"/>
      <c r="K73" s="12"/>
      <c r="L73" s="12"/>
      <c r="M73" s="12"/>
      <c r="N73" s="12"/>
      <c r="O73" s="12"/>
      <c r="P73" s="12"/>
      <c r="Q73" s="12"/>
      <c r="R73" s="12"/>
      <c r="S73" s="12"/>
      <c r="T73" s="12"/>
      <c r="U73" s="12"/>
      <c r="V73" s="12"/>
      <c r="W73" s="12"/>
      <c r="X73" s="12"/>
      <c r="Y73" s="12"/>
      <c r="Z73" s="12"/>
      <c r="AA73" s="12"/>
      <c r="AB73" s="12"/>
      <c r="AC73" s="12"/>
      <c r="AD73" s="12"/>
      <c r="AE73" s="12"/>
      <c r="AF73" s="12"/>
      <c r="AG73" s="12"/>
      <c r="AH73" s="12"/>
      <c r="AI73" s="12"/>
      <c r="AJ73" s="12"/>
      <c r="AK73" s="12"/>
      <c r="AL73" s="12"/>
      <c r="AM73" s="12"/>
      <c r="AN73" s="12"/>
      <c r="AO73" s="12"/>
      <c r="AP73" s="12"/>
      <c r="AQ73" s="12"/>
      <c r="AR73" s="12"/>
      <c r="AS73" s="12"/>
      <c r="AT73" s="12"/>
      <c r="AU73" s="12"/>
      <c r="AV73" s="12"/>
      <c r="AW73" s="12"/>
      <c r="AX73" s="12"/>
      <c r="AY73" s="12"/>
      <c r="AZ73" s="12"/>
      <c r="BA73" s="12"/>
      <c r="BB73" s="12"/>
      <c r="BC73" s="12"/>
      <c r="BD73" s="12"/>
      <c r="BE73" s="12"/>
      <c r="BF73" s="12"/>
      <c r="BG73" s="12"/>
      <c r="BH73" s="12"/>
      <c r="BI73" s="12"/>
      <c r="BJ73" s="12"/>
      <c r="BK73" s="12"/>
      <c r="BL73" s="12"/>
      <c r="BM73" s="12"/>
      <c r="BN73" s="12"/>
      <c r="BO73" s="12"/>
      <c r="BP73" s="12"/>
      <c r="BQ73" s="12"/>
      <c r="BR73" s="12"/>
      <c r="BS73" s="12"/>
      <c r="BT73" s="12"/>
      <c r="BU73" s="12"/>
      <c r="BV73" s="12"/>
      <c r="BW73" s="12"/>
      <c r="BX73" s="12"/>
      <c r="BY73" s="12"/>
      <c r="BZ73" s="12"/>
      <c r="CA73" s="12"/>
      <c r="CB73" s="12"/>
      <c r="CC73" s="12"/>
      <c r="CD73" s="12"/>
      <c r="CE73" s="12"/>
      <c r="CF73" s="12"/>
    </row>
    <row r="74" spans="1:84" x14ac:dyDescent="0.3">
      <c r="A74" s="12"/>
      <c r="B74" s="12"/>
      <c r="C74" s="12"/>
      <c r="D74" s="12"/>
      <c r="E74" s="12"/>
      <c r="F74" s="12"/>
      <c r="G74" s="12"/>
      <c r="H74" s="12"/>
      <c r="I74" s="12"/>
      <c r="J74" s="12"/>
      <c r="K74" s="12"/>
      <c r="L74" s="12"/>
      <c r="M74" s="12"/>
      <c r="N74" s="12"/>
      <c r="O74" s="12"/>
      <c r="P74" s="12"/>
      <c r="Q74" s="12"/>
      <c r="R74" s="12"/>
      <c r="S74" s="12"/>
      <c r="T74" s="12"/>
      <c r="U74" s="12"/>
      <c r="V74" s="12"/>
      <c r="W74" s="12"/>
      <c r="X74" s="12"/>
      <c r="Y74" s="12"/>
      <c r="Z74" s="12"/>
      <c r="AA74" s="12"/>
      <c r="AB74" s="12"/>
      <c r="AC74" s="12"/>
      <c r="AD74" s="12"/>
      <c r="AE74" s="12"/>
      <c r="AF74" s="12"/>
      <c r="AG74" s="12"/>
      <c r="AH74" s="12"/>
      <c r="AI74" s="12"/>
      <c r="AJ74" s="12"/>
      <c r="AK74" s="12"/>
      <c r="AL74" s="12"/>
      <c r="AM74" s="12"/>
      <c r="AN74" s="12"/>
      <c r="AO74" s="12"/>
      <c r="AP74" s="12"/>
      <c r="AQ74" s="12"/>
      <c r="AR74" s="12"/>
      <c r="AS74" s="12"/>
      <c r="AT74" s="12"/>
      <c r="AU74" s="12"/>
      <c r="AV74" s="12"/>
      <c r="AW74" s="12"/>
      <c r="AX74" s="12"/>
      <c r="AY74" s="12"/>
      <c r="AZ74" s="12"/>
      <c r="BA74" s="12"/>
      <c r="BB74" s="12"/>
      <c r="BC74" s="12"/>
      <c r="BD74" s="12"/>
      <c r="BE74" s="12"/>
      <c r="BF74" s="12"/>
      <c r="BG74" s="12"/>
      <c r="BH74" s="12"/>
      <c r="BI74" s="12"/>
      <c r="BJ74" s="12"/>
      <c r="BK74" s="12"/>
      <c r="BL74" s="12"/>
      <c r="BM74" s="12"/>
      <c r="BN74" s="12"/>
      <c r="BO74" s="12"/>
      <c r="BP74" s="12"/>
      <c r="BQ74" s="12"/>
      <c r="BR74" s="12"/>
      <c r="BS74" s="12"/>
      <c r="BT74" s="12"/>
      <c r="BU74" s="12"/>
      <c r="BV74" s="12"/>
      <c r="BW74" s="12"/>
      <c r="BX74" s="12"/>
      <c r="BY74" s="12"/>
      <c r="BZ74" s="12"/>
      <c r="CA74" s="12"/>
      <c r="CB74" s="12"/>
      <c r="CC74" s="12"/>
      <c r="CD74" s="12"/>
      <c r="CE74" s="12"/>
      <c r="CF74" s="12"/>
    </row>
    <row r="75" spans="1:84" x14ac:dyDescent="0.3">
      <c r="A75" s="12"/>
      <c r="B75" s="12"/>
      <c r="C75" s="12"/>
      <c r="D75" s="12"/>
      <c r="E75" s="12"/>
      <c r="F75" s="12"/>
      <c r="G75" s="12"/>
      <c r="H75" s="12"/>
      <c r="I75" s="12"/>
      <c r="J75" s="12"/>
      <c r="K75" s="12"/>
      <c r="L75" s="12"/>
      <c r="M75" s="12"/>
      <c r="N75" s="12"/>
      <c r="O75" s="12"/>
      <c r="P75" s="12"/>
      <c r="Q75" s="12"/>
      <c r="R75" s="12"/>
      <c r="S75" s="12"/>
      <c r="T75" s="12"/>
      <c r="U75" s="12"/>
      <c r="V75" s="12"/>
      <c r="W75" s="12"/>
      <c r="X75" s="12"/>
      <c r="Y75" s="12"/>
      <c r="Z75" s="12"/>
      <c r="AA75" s="12"/>
      <c r="AB75" s="12"/>
      <c r="AC75" s="12"/>
      <c r="AD75" s="12"/>
      <c r="AE75" s="12"/>
      <c r="AF75" s="12"/>
      <c r="AG75" s="12"/>
      <c r="AH75" s="12"/>
      <c r="AI75" s="12"/>
      <c r="AJ75" s="12"/>
      <c r="AK75" s="12"/>
      <c r="AL75" s="12"/>
      <c r="AM75" s="12"/>
      <c r="AN75" s="12"/>
      <c r="AO75" s="12"/>
      <c r="AP75" s="12"/>
      <c r="AQ75" s="12"/>
      <c r="AR75" s="12"/>
      <c r="AS75" s="12"/>
      <c r="AT75" s="12"/>
      <c r="AU75" s="12"/>
      <c r="AV75" s="12"/>
      <c r="AW75" s="12"/>
      <c r="AX75" s="12"/>
      <c r="AY75" s="12"/>
      <c r="AZ75" s="12"/>
      <c r="BA75" s="12"/>
      <c r="BB75" s="12"/>
      <c r="BC75" s="12"/>
      <c r="BD75" s="12"/>
      <c r="BE75" s="12"/>
      <c r="BF75" s="12"/>
      <c r="BG75" s="12"/>
      <c r="BH75" s="12"/>
      <c r="BI75" s="12"/>
      <c r="BJ75" s="12"/>
      <c r="BK75" s="12"/>
      <c r="BL75" s="12"/>
      <c r="BM75" s="12"/>
      <c r="BN75" s="12"/>
      <c r="BO75" s="12"/>
      <c r="BP75" s="12"/>
      <c r="BQ75" s="12"/>
      <c r="BR75" s="12"/>
      <c r="BS75" s="12"/>
      <c r="BT75" s="12"/>
      <c r="BU75" s="12"/>
      <c r="BV75" s="12"/>
      <c r="BW75" s="12"/>
      <c r="BX75" s="12"/>
      <c r="BY75" s="12"/>
      <c r="BZ75" s="12"/>
      <c r="CA75" s="12"/>
      <c r="CB75" s="12"/>
      <c r="CC75" s="12"/>
      <c r="CD75" s="12"/>
      <c r="CE75" s="12"/>
      <c r="CF75" s="12"/>
    </row>
    <row r="76" spans="1:84" x14ac:dyDescent="0.3">
      <c r="A76" s="12"/>
      <c r="B76" s="12"/>
      <c r="C76" s="12"/>
      <c r="D76" s="12"/>
      <c r="E76" s="12"/>
      <c r="F76" s="12"/>
      <c r="G76" s="12"/>
      <c r="H76" s="12"/>
      <c r="I76" s="12"/>
      <c r="J76" s="12"/>
      <c r="K76" s="12"/>
      <c r="L76" s="12"/>
      <c r="M76" s="12"/>
      <c r="N76" s="12"/>
      <c r="O76" s="12"/>
      <c r="P76" s="12"/>
      <c r="Q76" s="12"/>
      <c r="R76" s="12"/>
      <c r="S76" s="12"/>
      <c r="T76" s="12"/>
      <c r="U76" s="12"/>
      <c r="V76" s="12"/>
      <c r="W76" s="12"/>
      <c r="X76" s="12"/>
      <c r="Y76" s="12"/>
      <c r="Z76" s="12"/>
      <c r="AA76" s="12"/>
      <c r="AB76" s="12"/>
      <c r="AC76" s="12"/>
      <c r="AD76" s="12"/>
      <c r="AE76" s="12"/>
      <c r="AF76" s="12"/>
      <c r="AG76" s="12"/>
      <c r="AH76" s="12"/>
      <c r="AI76" s="12"/>
      <c r="AJ76" s="12"/>
      <c r="AK76" s="12"/>
      <c r="AL76" s="12"/>
      <c r="AM76" s="12"/>
      <c r="AN76" s="12"/>
      <c r="AO76" s="12"/>
      <c r="AP76" s="12"/>
      <c r="AQ76" s="12"/>
      <c r="AR76" s="12"/>
      <c r="AS76" s="12"/>
      <c r="AT76" s="12"/>
      <c r="AU76" s="12"/>
      <c r="AV76" s="12"/>
      <c r="AW76" s="12"/>
      <c r="AX76" s="12"/>
      <c r="AY76" s="12"/>
      <c r="AZ76" s="12"/>
      <c r="BA76" s="12"/>
      <c r="BB76" s="12"/>
      <c r="BC76" s="12"/>
      <c r="BD76" s="12"/>
      <c r="BE76" s="12"/>
      <c r="BF76" s="12"/>
      <c r="BG76" s="12"/>
      <c r="BH76" s="12"/>
      <c r="BI76" s="12"/>
      <c r="BJ76" s="12"/>
      <c r="BK76" s="12"/>
      <c r="BL76" s="12"/>
      <c r="BM76" s="12"/>
      <c r="BN76" s="12"/>
      <c r="BO76" s="12"/>
      <c r="BP76" s="12"/>
      <c r="BQ76" s="12"/>
      <c r="BR76" s="12"/>
      <c r="BS76" s="12"/>
      <c r="BT76" s="12"/>
      <c r="BU76" s="12"/>
      <c r="BV76" s="12"/>
      <c r="BW76" s="12"/>
      <c r="BX76" s="12"/>
      <c r="BY76" s="12"/>
      <c r="BZ76" s="12"/>
      <c r="CA76" s="12"/>
      <c r="CB76" s="12"/>
      <c r="CC76" s="12"/>
      <c r="CD76" s="12"/>
      <c r="CE76" s="12"/>
      <c r="CF76" s="12"/>
    </row>
    <row r="77" spans="1:84" x14ac:dyDescent="0.3">
      <c r="A77" s="12"/>
      <c r="B77" s="12"/>
      <c r="C77" s="12"/>
      <c r="D77" s="12"/>
      <c r="E77" s="12"/>
      <c r="F77" s="12"/>
      <c r="G77" s="12"/>
      <c r="H77" s="12"/>
      <c r="I77" s="12"/>
      <c r="J77" s="12"/>
      <c r="K77" s="12"/>
      <c r="L77" s="12"/>
      <c r="M77" s="12"/>
      <c r="N77" s="12"/>
      <c r="O77" s="12"/>
      <c r="P77" s="12"/>
      <c r="Q77" s="12"/>
      <c r="R77" s="12"/>
      <c r="S77" s="12"/>
      <c r="T77" s="12"/>
      <c r="U77" s="12"/>
      <c r="V77" s="12"/>
      <c r="W77" s="12"/>
      <c r="X77" s="12"/>
      <c r="Y77" s="12"/>
      <c r="Z77" s="12"/>
      <c r="AA77" s="12"/>
      <c r="AB77" s="12"/>
      <c r="AC77" s="12"/>
      <c r="AD77" s="12"/>
      <c r="AE77" s="12"/>
      <c r="AF77" s="12"/>
      <c r="AG77" s="12"/>
      <c r="AH77" s="12"/>
      <c r="AI77" s="12"/>
      <c r="AJ77" s="12"/>
      <c r="AK77" s="12"/>
      <c r="AL77" s="12"/>
      <c r="AM77" s="12"/>
      <c r="AN77" s="12"/>
      <c r="AO77" s="12"/>
      <c r="AP77" s="12"/>
      <c r="AQ77" s="12"/>
      <c r="AR77" s="12"/>
      <c r="AS77" s="12"/>
      <c r="AT77" s="12"/>
      <c r="AU77" s="12"/>
      <c r="AV77" s="12"/>
      <c r="AW77" s="12"/>
      <c r="AX77" s="12"/>
      <c r="AY77" s="12"/>
      <c r="AZ77" s="12"/>
      <c r="BA77" s="12"/>
      <c r="BB77" s="12"/>
      <c r="BC77" s="12"/>
      <c r="BD77" s="12"/>
      <c r="BE77" s="12"/>
      <c r="BF77" s="12"/>
      <c r="BG77" s="12"/>
      <c r="BH77" s="12"/>
      <c r="BI77" s="12"/>
      <c r="BJ77" s="12"/>
      <c r="BK77" s="12"/>
      <c r="BL77" s="12"/>
      <c r="BM77" s="12"/>
      <c r="BN77" s="12"/>
      <c r="BO77" s="12"/>
      <c r="BP77" s="12"/>
      <c r="BQ77" s="12"/>
      <c r="BR77" s="12"/>
      <c r="BS77" s="12"/>
      <c r="BT77" s="12"/>
      <c r="BU77" s="12"/>
      <c r="BV77" s="12"/>
      <c r="BW77" s="12"/>
      <c r="BX77" s="12"/>
      <c r="BY77" s="12"/>
      <c r="BZ77" s="12"/>
      <c r="CA77" s="12"/>
      <c r="CB77" s="12"/>
      <c r="CC77" s="12"/>
      <c r="CD77" s="12"/>
      <c r="CE77" s="12"/>
      <c r="CF77" s="12"/>
    </row>
    <row r="78" spans="1:84" x14ac:dyDescent="0.3">
      <c r="A78" s="12"/>
      <c r="B78" s="12"/>
      <c r="C78" s="12"/>
      <c r="D78" s="12"/>
      <c r="E78" s="12"/>
      <c r="F78" s="12"/>
      <c r="G78" s="12"/>
      <c r="H78" s="12"/>
      <c r="I78" s="12"/>
      <c r="J78" s="12"/>
      <c r="K78" s="12"/>
      <c r="L78" s="12"/>
      <c r="M78" s="12"/>
      <c r="N78" s="12"/>
      <c r="O78" s="12"/>
      <c r="P78" s="12"/>
      <c r="Q78" s="12"/>
      <c r="R78" s="12"/>
      <c r="S78" s="12"/>
      <c r="T78" s="12"/>
      <c r="U78" s="12"/>
      <c r="V78" s="12"/>
      <c r="W78" s="12"/>
      <c r="X78" s="12"/>
      <c r="Y78" s="12"/>
      <c r="Z78" s="12"/>
      <c r="AA78" s="12"/>
      <c r="AB78" s="12"/>
      <c r="AC78" s="12"/>
      <c r="AD78" s="12"/>
      <c r="AE78" s="12"/>
      <c r="AF78" s="12"/>
      <c r="AG78" s="12"/>
      <c r="AH78" s="12"/>
      <c r="AI78" s="12"/>
      <c r="AJ78" s="12"/>
      <c r="AK78" s="12"/>
      <c r="AL78" s="12"/>
      <c r="AM78" s="12"/>
      <c r="AN78" s="12"/>
      <c r="AO78" s="12"/>
      <c r="AP78" s="12"/>
      <c r="AQ78" s="12"/>
      <c r="AR78" s="12"/>
      <c r="AS78" s="12"/>
      <c r="AT78" s="12"/>
      <c r="AU78" s="12"/>
      <c r="AV78" s="12"/>
      <c r="AW78" s="12"/>
      <c r="AX78" s="12"/>
      <c r="AY78" s="12"/>
      <c r="AZ78" s="12"/>
      <c r="BA78" s="12"/>
      <c r="BB78" s="12"/>
      <c r="BC78" s="12"/>
      <c r="BD78" s="12"/>
      <c r="BE78" s="12"/>
      <c r="BF78" s="12"/>
      <c r="BG78" s="12"/>
      <c r="BH78" s="12"/>
      <c r="BI78" s="12"/>
      <c r="BJ78" s="12"/>
      <c r="BK78" s="12"/>
      <c r="BL78" s="12"/>
      <c r="BM78" s="12"/>
      <c r="BN78" s="12"/>
      <c r="BO78" s="12"/>
      <c r="BP78" s="12"/>
      <c r="BQ78" s="12"/>
      <c r="BR78" s="12"/>
      <c r="BS78" s="12"/>
      <c r="BT78" s="12"/>
      <c r="BU78" s="12"/>
      <c r="BV78" s="12"/>
      <c r="BW78" s="12"/>
      <c r="BX78" s="12"/>
      <c r="BY78" s="12"/>
      <c r="BZ78" s="12"/>
      <c r="CA78" s="12"/>
      <c r="CB78" s="12"/>
      <c r="CC78" s="12"/>
      <c r="CD78" s="12"/>
      <c r="CE78" s="12"/>
      <c r="CF78" s="12"/>
    </row>
    <row r="79" spans="1:84" x14ac:dyDescent="0.3">
      <c r="A79" s="12"/>
      <c r="B79" s="12"/>
      <c r="C79" s="12"/>
      <c r="D79" s="12"/>
      <c r="E79" s="12"/>
      <c r="F79" s="12"/>
      <c r="G79" s="12"/>
      <c r="H79" s="12"/>
      <c r="I79" s="12"/>
      <c r="J79" s="12"/>
      <c r="K79" s="12"/>
      <c r="L79" s="12"/>
      <c r="M79" s="12"/>
      <c r="N79" s="12"/>
      <c r="O79" s="12"/>
      <c r="P79" s="12"/>
      <c r="Q79" s="12"/>
      <c r="R79" s="12"/>
      <c r="S79" s="12"/>
      <c r="T79" s="12"/>
      <c r="U79" s="12"/>
      <c r="V79" s="12"/>
      <c r="W79" s="12"/>
      <c r="X79" s="12"/>
      <c r="Y79" s="12"/>
      <c r="Z79" s="12"/>
      <c r="AA79" s="12"/>
      <c r="AB79" s="12"/>
      <c r="AC79" s="12"/>
      <c r="AD79" s="12"/>
      <c r="AE79" s="12"/>
      <c r="AF79" s="12"/>
      <c r="AG79" s="12"/>
      <c r="AH79" s="12"/>
      <c r="AI79" s="12"/>
      <c r="AJ79" s="12"/>
      <c r="AK79" s="12"/>
      <c r="AL79" s="12"/>
      <c r="AM79" s="12"/>
      <c r="AN79" s="12"/>
      <c r="AO79" s="12"/>
      <c r="AP79" s="12"/>
      <c r="AQ79" s="12"/>
      <c r="AR79" s="12"/>
      <c r="AS79" s="12"/>
      <c r="AT79" s="12"/>
      <c r="AU79" s="12"/>
      <c r="AV79" s="12"/>
      <c r="AW79" s="12"/>
      <c r="AX79" s="12"/>
      <c r="AY79" s="12"/>
      <c r="AZ79" s="12"/>
      <c r="BA79" s="12"/>
      <c r="BB79" s="12"/>
      <c r="BC79" s="12"/>
      <c r="BD79" s="12"/>
      <c r="BE79" s="12"/>
      <c r="BF79" s="12"/>
      <c r="BG79" s="12"/>
      <c r="BH79" s="12"/>
      <c r="BI79" s="12"/>
      <c r="BJ79" s="12"/>
      <c r="BK79" s="12"/>
      <c r="BL79" s="12"/>
      <c r="BM79" s="12"/>
      <c r="BN79" s="12"/>
      <c r="BO79" s="12"/>
      <c r="BP79" s="12"/>
      <c r="BQ79" s="12"/>
      <c r="BR79" s="12"/>
      <c r="BS79" s="12"/>
      <c r="BT79" s="12"/>
      <c r="BU79" s="12"/>
      <c r="BV79" s="12"/>
      <c r="BW79" s="12"/>
      <c r="BX79" s="12"/>
      <c r="BY79" s="12"/>
      <c r="BZ79" s="12"/>
      <c r="CA79" s="12"/>
      <c r="CB79" s="12"/>
      <c r="CC79" s="12"/>
      <c r="CD79" s="12"/>
      <c r="CE79" s="12"/>
      <c r="CF79" s="12"/>
    </row>
    <row r="80" spans="1:84" x14ac:dyDescent="0.3">
      <c r="A80" s="12"/>
      <c r="B80" s="12"/>
      <c r="C80" s="12"/>
      <c r="D80" s="12"/>
      <c r="E80" s="12"/>
      <c r="F80" s="12"/>
      <c r="G80" s="12"/>
      <c r="H80" s="12"/>
      <c r="I80" s="12"/>
      <c r="J80" s="12"/>
      <c r="K80" s="12"/>
      <c r="L80" s="12"/>
      <c r="M80" s="12"/>
      <c r="N80" s="12"/>
      <c r="O80" s="12"/>
      <c r="P80" s="12"/>
      <c r="Q80" s="12"/>
      <c r="R80" s="12"/>
      <c r="S80" s="12"/>
      <c r="T80" s="12"/>
      <c r="U80" s="12"/>
      <c r="V80" s="12"/>
      <c r="W80" s="12"/>
      <c r="X80" s="12"/>
      <c r="Y80" s="12"/>
      <c r="Z80" s="12"/>
      <c r="AA80" s="12"/>
      <c r="AB80" s="12"/>
      <c r="AC80" s="12"/>
      <c r="AD80" s="12"/>
      <c r="AE80" s="12"/>
      <c r="AF80" s="12"/>
      <c r="AG80" s="12"/>
      <c r="AH80" s="12"/>
      <c r="AI80" s="12"/>
      <c r="AJ80" s="12"/>
      <c r="AK80" s="12"/>
      <c r="AL80" s="12"/>
      <c r="AM80" s="12"/>
      <c r="AN80" s="12"/>
      <c r="AO80" s="12"/>
      <c r="AP80" s="12"/>
      <c r="AQ80" s="12"/>
      <c r="AR80" s="12"/>
      <c r="AS80" s="12"/>
      <c r="AT80" s="12"/>
      <c r="AU80" s="12"/>
      <c r="AV80" s="12"/>
      <c r="AW80" s="12"/>
      <c r="AX80" s="12"/>
      <c r="AY80" s="12"/>
      <c r="AZ80" s="12"/>
      <c r="BA80" s="12"/>
      <c r="BB80" s="12"/>
      <c r="BC80" s="12"/>
      <c r="BD80" s="12"/>
      <c r="BE80" s="12"/>
      <c r="BF80" s="12"/>
      <c r="BG80" s="12"/>
      <c r="BH80" s="12"/>
      <c r="BI80" s="12"/>
      <c r="BJ80" s="12"/>
      <c r="BK80" s="12"/>
      <c r="BL80" s="12"/>
      <c r="BM80" s="12"/>
      <c r="BN80" s="12"/>
      <c r="BO80" s="12"/>
      <c r="BP80" s="12"/>
      <c r="BQ80" s="12"/>
      <c r="BR80" s="12"/>
      <c r="BS80" s="12"/>
      <c r="BT80" s="12"/>
      <c r="BU80" s="12"/>
      <c r="BV80" s="12"/>
      <c r="BW80" s="12"/>
      <c r="BX80" s="12"/>
      <c r="BY80" s="12"/>
      <c r="BZ80" s="12"/>
      <c r="CA80" s="12"/>
      <c r="CB80" s="12"/>
      <c r="CC80" s="12"/>
      <c r="CD80" s="12"/>
      <c r="CE80" s="12"/>
      <c r="CF80" s="12"/>
    </row>
    <row r="81" spans="1:84" x14ac:dyDescent="0.3">
      <c r="A81" s="12"/>
      <c r="B81" s="12"/>
      <c r="C81" s="12"/>
      <c r="D81" s="12"/>
      <c r="E81" s="12"/>
      <c r="F81" s="12"/>
      <c r="G81" s="12"/>
      <c r="H81" s="12"/>
      <c r="I81" s="12"/>
      <c r="J81" s="12"/>
      <c r="K81" s="12"/>
      <c r="L81" s="12"/>
      <c r="M81" s="12"/>
      <c r="N81" s="12"/>
      <c r="O81" s="12"/>
      <c r="P81" s="12"/>
      <c r="Q81" s="12"/>
      <c r="R81" s="12"/>
      <c r="S81" s="12"/>
      <c r="T81" s="12"/>
      <c r="U81" s="12"/>
      <c r="V81" s="12"/>
      <c r="W81" s="12"/>
      <c r="X81" s="12"/>
      <c r="Y81" s="12"/>
      <c r="Z81" s="12"/>
      <c r="AA81" s="12"/>
      <c r="AB81" s="12"/>
      <c r="AC81" s="12"/>
      <c r="AD81" s="12"/>
      <c r="AE81" s="12"/>
      <c r="AF81" s="12"/>
      <c r="AG81" s="12"/>
      <c r="AH81" s="12"/>
      <c r="AI81" s="12"/>
      <c r="AJ81" s="12"/>
      <c r="AK81" s="12"/>
      <c r="AL81" s="12"/>
      <c r="AM81" s="12"/>
      <c r="AN81" s="12"/>
      <c r="AO81" s="12"/>
      <c r="AP81" s="12"/>
      <c r="AQ81" s="12"/>
      <c r="AR81" s="12"/>
      <c r="AS81" s="12"/>
      <c r="AT81" s="12"/>
      <c r="AU81" s="12"/>
      <c r="AV81" s="12"/>
      <c r="AW81" s="12"/>
      <c r="AX81" s="12"/>
      <c r="AY81" s="12"/>
      <c r="AZ81" s="12"/>
      <c r="BA81" s="12"/>
      <c r="BB81" s="12"/>
      <c r="BC81" s="12"/>
      <c r="BD81" s="12"/>
      <c r="BE81" s="12"/>
      <c r="BF81" s="12"/>
      <c r="BG81" s="12"/>
      <c r="BH81" s="12"/>
      <c r="BI81" s="12"/>
      <c r="BJ81" s="12"/>
      <c r="BK81" s="12"/>
      <c r="BL81" s="12"/>
      <c r="BM81" s="12"/>
      <c r="BN81" s="12"/>
      <c r="BO81" s="12"/>
      <c r="BP81" s="12"/>
      <c r="BQ81" s="12"/>
      <c r="BR81" s="12"/>
      <c r="BS81" s="12"/>
      <c r="BT81" s="12"/>
      <c r="BU81" s="12"/>
      <c r="BV81" s="12"/>
      <c r="BW81" s="12"/>
      <c r="BX81" s="12"/>
      <c r="BY81" s="12"/>
      <c r="BZ81" s="12"/>
      <c r="CA81" s="12"/>
      <c r="CB81" s="12"/>
      <c r="CC81" s="12"/>
      <c r="CD81" s="12"/>
      <c r="CE81" s="12"/>
      <c r="CF81" s="12"/>
    </row>
    <row r="82" spans="1:84" x14ac:dyDescent="0.3">
      <c r="A82" s="12"/>
      <c r="B82" s="12"/>
      <c r="C82" s="12"/>
      <c r="D82" s="12"/>
      <c r="E82" s="12"/>
      <c r="F82" s="12"/>
      <c r="G82" s="12"/>
      <c r="H82" s="12"/>
      <c r="I82" s="12"/>
      <c r="J82" s="12"/>
      <c r="K82" s="12"/>
      <c r="L82" s="12"/>
      <c r="M82" s="12"/>
      <c r="N82" s="12"/>
      <c r="O82" s="12"/>
      <c r="P82" s="12"/>
      <c r="Q82" s="12"/>
      <c r="R82" s="12"/>
      <c r="S82" s="12"/>
      <c r="T82" s="12"/>
      <c r="U82" s="12"/>
      <c r="V82" s="12"/>
      <c r="W82" s="12"/>
      <c r="X82" s="12"/>
      <c r="Y82" s="12"/>
      <c r="Z82" s="12"/>
      <c r="AA82" s="12"/>
      <c r="AB82" s="12"/>
      <c r="AC82" s="12"/>
      <c r="AD82" s="12"/>
      <c r="AE82" s="12"/>
      <c r="AF82" s="12"/>
      <c r="AG82" s="12"/>
      <c r="AH82" s="12"/>
      <c r="AI82" s="12"/>
      <c r="AJ82" s="12"/>
      <c r="AK82" s="12"/>
      <c r="AL82" s="12"/>
      <c r="AM82" s="12"/>
      <c r="AN82" s="12"/>
      <c r="AO82" s="12"/>
      <c r="AP82" s="12"/>
      <c r="AQ82" s="12"/>
      <c r="AR82" s="12"/>
      <c r="AS82" s="12"/>
      <c r="AT82" s="12"/>
      <c r="AU82" s="12"/>
      <c r="AV82" s="12"/>
      <c r="AW82" s="12"/>
      <c r="AX82" s="12"/>
      <c r="AY82" s="12"/>
      <c r="AZ82" s="12"/>
      <c r="BA82" s="12"/>
      <c r="BB82" s="12"/>
      <c r="BC82" s="12"/>
      <c r="BD82" s="12"/>
      <c r="BE82" s="12"/>
      <c r="BF82" s="12"/>
      <c r="BG82" s="12"/>
      <c r="BH82" s="12"/>
      <c r="BI82" s="12"/>
      <c r="BJ82" s="12"/>
      <c r="BK82" s="12"/>
      <c r="BL82" s="12"/>
      <c r="BM82" s="12"/>
      <c r="BN82" s="12"/>
      <c r="BO82" s="12"/>
      <c r="BP82" s="12"/>
      <c r="BQ82" s="12"/>
      <c r="BR82" s="12"/>
      <c r="BS82" s="12"/>
      <c r="BT82" s="12"/>
      <c r="BU82" s="12"/>
      <c r="BV82" s="12"/>
      <c r="BW82" s="12"/>
      <c r="BX82" s="12"/>
      <c r="BY82" s="12"/>
      <c r="BZ82" s="12"/>
      <c r="CA82" s="12"/>
      <c r="CB82" s="12"/>
      <c r="CC82" s="12"/>
      <c r="CD82" s="12"/>
      <c r="CE82" s="12"/>
      <c r="CF82" s="12"/>
    </row>
    <row r="83" spans="1:84" x14ac:dyDescent="0.3">
      <c r="A83" s="12"/>
      <c r="B83" s="12"/>
      <c r="C83" s="12"/>
      <c r="D83" s="12"/>
      <c r="E83" s="12"/>
      <c r="F83" s="12"/>
      <c r="G83" s="12"/>
      <c r="H83" s="12"/>
      <c r="I83" s="12"/>
      <c r="J83" s="12"/>
      <c r="K83" s="12"/>
      <c r="L83" s="12"/>
      <c r="M83" s="12"/>
      <c r="N83" s="12"/>
      <c r="O83" s="12"/>
      <c r="P83" s="12"/>
      <c r="Q83" s="12"/>
      <c r="R83" s="12"/>
      <c r="S83" s="12"/>
      <c r="T83" s="12"/>
      <c r="U83" s="12"/>
      <c r="V83" s="12"/>
      <c r="W83" s="12"/>
      <c r="X83" s="12"/>
      <c r="Y83" s="12"/>
      <c r="Z83" s="12"/>
      <c r="AA83" s="12"/>
      <c r="AB83" s="12"/>
      <c r="AC83" s="12"/>
      <c r="AD83" s="12"/>
      <c r="AE83" s="12"/>
      <c r="AF83" s="12"/>
      <c r="AG83" s="12"/>
      <c r="AH83" s="12"/>
      <c r="AI83" s="12"/>
      <c r="AJ83" s="12"/>
      <c r="AK83" s="12"/>
      <c r="AL83" s="12"/>
      <c r="AM83" s="12"/>
      <c r="AN83" s="12"/>
      <c r="AO83" s="12"/>
      <c r="AP83" s="12"/>
      <c r="AQ83" s="12"/>
      <c r="AR83" s="12"/>
      <c r="AS83" s="12"/>
      <c r="AT83" s="12"/>
      <c r="AU83" s="12"/>
      <c r="AV83" s="12"/>
      <c r="AW83" s="12"/>
      <c r="AX83" s="12"/>
      <c r="AY83" s="12"/>
      <c r="AZ83" s="12"/>
      <c r="BA83" s="12"/>
      <c r="BB83" s="12"/>
      <c r="BC83" s="12"/>
      <c r="BD83" s="12"/>
      <c r="BE83" s="12"/>
      <c r="BF83" s="12"/>
      <c r="BG83" s="12"/>
      <c r="BH83" s="12"/>
      <c r="BI83" s="12"/>
      <c r="BJ83" s="12"/>
      <c r="BK83" s="12"/>
      <c r="BL83" s="12"/>
      <c r="BM83" s="12"/>
      <c r="BN83" s="12"/>
      <c r="BO83" s="12"/>
      <c r="BP83" s="12"/>
      <c r="BQ83" s="12"/>
      <c r="BR83" s="12"/>
      <c r="BS83" s="12"/>
      <c r="BT83" s="12"/>
      <c r="BU83" s="12"/>
      <c r="BV83" s="12"/>
      <c r="BW83" s="12"/>
      <c r="BX83" s="12"/>
      <c r="BY83" s="12"/>
      <c r="BZ83" s="12"/>
      <c r="CA83" s="12"/>
      <c r="CB83" s="12"/>
      <c r="CC83" s="12"/>
      <c r="CD83" s="12"/>
      <c r="CE83" s="12"/>
      <c r="CF83" s="12"/>
    </row>
    <row r="84" spans="1:84" x14ac:dyDescent="0.3">
      <c r="A84" s="12"/>
      <c r="B84" s="12"/>
      <c r="C84" s="12"/>
      <c r="D84" s="12"/>
      <c r="E84" s="12"/>
      <c r="F84" s="12"/>
      <c r="G84" s="12"/>
      <c r="H84" s="12"/>
      <c r="I84" s="12"/>
      <c r="J84" s="12"/>
      <c r="K84" s="12"/>
      <c r="L84" s="12"/>
      <c r="M84" s="12"/>
      <c r="N84" s="12"/>
      <c r="O84" s="12"/>
      <c r="P84" s="12"/>
      <c r="Q84" s="12"/>
      <c r="R84" s="12"/>
      <c r="S84" s="12"/>
      <c r="T84" s="12"/>
      <c r="U84" s="12"/>
      <c r="V84" s="12"/>
      <c r="W84" s="12"/>
      <c r="X84" s="12"/>
      <c r="Y84" s="12"/>
      <c r="Z84" s="12"/>
      <c r="AA84" s="12"/>
      <c r="AB84" s="12"/>
      <c r="AC84" s="12"/>
      <c r="AD84" s="12"/>
      <c r="AE84" s="12"/>
      <c r="AF84" s="12"/>
      <c r="AG84" s="12"/>
      <c r="AH84" s="12"/>
      <c r="AI84" s="12"/>
      <c r="AJ84" s="12"/>
      <c r="AK84" s="12"/>
      <c r="AL84" s="12"/>
      <c r="AM84" s="12"/>
      <c r="AN84" s="12"/>
      <c r="AO84" s="12"/>
      <c r="AP84" s="12"/>
      <c r="AQ84" s="12"/>
      <c r="AR84" s="12"/>
      <c r="AS84" s="12"/>
      <c r="AT84" s="12"/>
      <c r="AU84" s="12"/>
      <c r="AV84" s="12"/>
      <c r="AW84" s="12"/>
      <c r="AX84" s="12"/>
      <c r="AY84" s="12"/>
      <c r="AZ84" s="12"/>
      <c r="BA84" s="12"/>
      <c r="BB84" s="12"/>
      <c r="BC84" s="12"/>
      <c r="BD84" s="12"/>
      <c r="BE84" s="12"/>
      <c r="BF84" s="12"/>
      <c r="BG84" s="12"/>
      <c r="BH84" s="12"/>
      <c r="BI84" s="12"/>
      <c r="BJ84" s="12"/>
      <c r="BK84" s="12"/>
      <c r="BL84" s="12"/>
      <c r="BM84" s="12"/>
      <c r="BN84" s="12"/>
      <c r="BO84" s="12"/>
      <c r="BP84" s="12"/>
      <c r="BQ84" s="12"/>
      <c r="BR84" s="12"/>
      <c r="BS84" s="12"/>
      <c r="BT84" s="12"/>
      <c r="BU84" s="12"/>
      <c r="BV84" s="12"/>
      <c r="BW84" s="12"/>
      <c r="BX84" s="12"/>
      <c r="BY84" s="12"/>
      <c r="BZ84" s="12"/>
      <c r="CA84" s="12"/>
      <c r="CB84" s="12"/>
      <c r="CC84" s="12"/>
      <c r="CD84" s="12"/>
      <c r="CE84" s="12"/>
      <c r="CF84" s="12"/>
    </row>
    <row r="85" spans="1:84" x14ac:dyDescent="0.3">
      <c r="A85" s="12"/>
      <c r="B85" s="12"/>
      <c r="C85" s="12"/>
      <c r="D85" s="12"/>
      <c r="E85" s="12"/>
      <c r="F85" s="12"/>
      <c r="G85" s="12"/>
      <c r="H85" s="12"/>
      <c r="I85" s="12"/>
      <c r="J85" s="12"/>
      <c r="K85" s="12"/>
      <c r="L85" s="12"/>
      <c r="M85" s="12"/>
      <c r="N85" s="12"/>
      <c r="O85" s="12"/>
      <c r="P85" s="12"/>
      <c r="Q85" s="12"/>
      <c r="R85" s="12"/>
      <c r="S85" s="12"/>
      <c r="T85" s="12"/>
      <c r="U85" s="12"/>
      <c r="V85" s="12"/>
      <c r="W85" s="12"/>
      <c r="X85" s="12"/>
      <c r="Y85" s="12"/>
      <c r="Z85" s="12"/>
      <c r="AA85" s="12"/>
      <c r="AB85" s="12"/>
      <c r="AC85" s="12"/>
      <c r="AD85" s="12"/>
      <c r="AE85" s="12"/>
      <c r="AF85" s="12"/>
      <c r="AG85" s="12"/>
      <c r="AH85" s="12"/>
      <c r="AI85" s="12"/>
      <c r="AJ85" s="12"/>
      <c r="AK85" s="12"/>
      <c r="AL85" s="12"/>
      <c r="AM85" s="12"/>
      <c r="AN85" s="12"/>
      <c r="AO85" s="12"/>
      <c r="AP85" s="12"/>
      <c r="AQ85" s="12"/>
      <c r="AR85" s="12"/>
      <c r="AS85" s="12"/>
      <c r="AT85" s="12"/>
      <c r="AU85" s="12"/>
      <c r="AV85" s="12"/>
      <c r="AW85" s="12"/>
      <c r="AX85" s="12"/>
      <c r="AY85" s="12"/>
      <c r="AZ85" s="12"/>
      <c r="BA85" s="12"/>
      <c r="BB85" s="12"/>
      <c r="BC85" s="12"/>
      <c r="BD85" s="12"/>
      <c r="BE85" s="12"/>
      <c r="BF85" s="12"/>
      <c r="BG85" s="12"/>
      <c r="BH85" s="12"/>
      <c r="BI85" s="12"/>
      <c r="BJ85" s="12"/>
      <c r="BK85" s="12"/>
      <c r="BL85" s="12"/>
      <c r="BM85" s="12"/>
      <c r="BN85" s="12"/>
      <c r="BO85" s="12"/>
      <c r="BP85" s="12"/>
      <c r="BQ85" s="12"/>
      <c r="BR85" s="12"/>
      <c r="BS85" s="12"/>
      <c r="BT85" s="12"/>
      <c r="BU85" s="12"/>
      <c r="BV85" s="12"/>
      <c r="BW85" s="12"/>
      <c r="BX85" s="12"/>
      <c r="BY85" s="12"/>
      <c r="BZ85" s="12"/>
      <c r="CA85" s="12"/>
      <c r="CB85" s="12"/>
      <c r="CC85" s="12"/>
      <c r="CD85" s="12"/>
      <c r="CE85" s="12"/>
      <c r="CF85" s="12"/>
    </row>
    <row r="86" spans="1:84" x14ac:dyDescent="0.3">
      <c r="A86" s="12"/>
      <c r="B86" s="12"/>
      <c r="C86" s="12"/>
      <c r="D86" s="12"/>
      <c r="E86" s="12"/>
      <c r="F86" s="12"/>
      <c r="G86" s="12"/>
      <c r="H86" s="12"/>
      <c r="I86" s="12"/>
      <c r="J86" s="12"/>
      <c r="K86" s="12"/>
      <c r="L86" s="12"/>
      <c r="M86" s="12"/>
      <c r="N86" s="12"/>
      <c r="O86" s="12"/>
      <c r="P86" s="12"/>
      <c r="Q86" s="12"/>
      <c r="R86" s="12"/>
      <c r="S86" s="12"/>
      <c r="T86" s="12"/>
      <c r="U86" s="12"/>
      <c r="V86" s="12"/>
      <c r="W86" s="12"/>
      <c r="X86" s="12"/>
      <c r="Y86" s="12"/>
      <c r="Z86" s="12"/>
      <c r="AA86" s="12"/>
      <c r="AB86" s="12"/>
      <c r="AC86" s="12"/>
      <c r="AD86" s="12"/>
      <c r="AE86" s="12"/>
      <c r="AF86" s="12"/>
      <c r="AG86" s="12"/>
      <c r="AH86" s="12"/>
      <c r="AI86" s="12"/>
      <c r="AJ86" s="12"/>
      <c r="AK86" s="12"/>
      <c r="AL86" s="12"/>
      <c r="AM86" s="12"/>
      <c r="AN86" s="12"/>
      <c r="AO86" s="12"/>
      <c r="AP86" s="12"/>
      <c r="AQ86" s="12"/>
      <c r="AR86" s="12"/>
      <c r="AS86" s="12"/>
      <c r="AT86" s="12"/>
      <c r="AU86" s="12"/>
      <c r="AV86" s="12"/>
      <c r="AW86" s="12"/>
      <c r="AX86" s="12"/>
      <c r="AY86" s="12"/>
      <c r="AZ86" s="12"/>
      <c r="BA86" s="12"/>
      <c r="BB86" s="12"/>
      <c r="BC86" s="12"/>
      <c r="BD86" s="12"/>
      <c r="BE86" s="12"/>
      <c r="BF86" s="12"/>
      <c r="BG86" s="12"/>
      <c r="BH86" s="12"/>
      <c r="BI86" s="12"/>
      <c r="BJ86" s="12"/>
      <c r="BK86" s="12"/>
      <c r="BL86" s="12"/>
      <c r="BM86" s="12"/>
      <c r="BN86" s="12"/>
      <c r="BO86" s="12"/>
      <c r="BP86" s="12"/>
      <c r="BQ86" s="12"/>
      <c r="BR86" s="12"/>
      <c r="BS86" s="12"/>
      <c r="BT86" s="12"/>
      <c r="BU86" s="12"/>
      <c r="BV86" s="12"/>
      <c r="BW86" s="12"/>
      <c r="BX86" s="12"/>
      <c r="BY86" s="12"/>
      <c r="BZ86" s="12"/>
      <c r="CA86" s="12"/>
      <c r="CB86" s="12"/>
      <c r="CC86" s="12"/>
      <c r="CD86" s="12"/>
      <c r="CE86" s="12"/>
      <c r="CF86" s="12"/>
    </row>
    <row r="87" spans="1:84" x14ac:dyDescent="0.3">
      <c r="A87" s="12"/>
      <c r="B87" s="12"/>
      <c r="C87" s="12"/>
      <c r="D87" s="12"/>
      <c r="E87" s="12"/>
      <c r="F87" s="12"/>
      <c r="G87" s="12"/>
      <c r="H87" s="12"/>
      <c r="I87" s="12"/>
      <c r="J87" s="12"/>
      <c r="K87" s="12"/>
      <c r="L87" s="12"/>
      <c r="M87" s="12"/>
      <c r="N87" s="12"/>
      <c r="O87" s="12"/>
      <c r="P87" s="12"/>
      <c r="Q87" s="12"/>
      <c r="R87" s="12"/>
      <c r="S87" s="12"/>
      <c r="T87" s="12"/>
      <c r="U87" s="12"/>
      <c r="V87" s="12"/>
      <c r="W87" s="12"/>
      <c r="X87" s="12"/>
      <c r="Y87" s="12"/>
      <c r="Z87" s="12"/>
      <c r="AA87" s="12"/>
      <c r="AB87" s="12"/>
      <c r="AC87" s="12"/>
      <c r="AD87" s="12"/>
      <c r="AE87" s="12"/>
      <c r="AF87" s="12"/>
      <c r="AG87" s="12"/>
      <c r="AH87" s="12"/>
      <c r="AI87" s="12"/>
      <c r="AJ87" s="12"/>
      <c r="AK87" s="12"/>
      <c r="AL87" s="12"/>
      <c r="AM87" s="12"/>
      <c r="AN87" s="12"/>
      <c r="AO87" s="12"/>
      <c r="AP87" s="12"/>
      <c r="AQ87" s="12"/>
      <c r="AR87" s="12"/>
      <c r="AS87" s="12"/>
      <c r="AT87" s="12"/>
      <c r="AU87" s="12"/>
      <c r="AV87" s="12"/>
      <c r="AW87" s="12"/>
      <c r="AX87" s="12"/>
      <c r="AY87" s="12"/>
      <c r="AZ87" s="12"/>
      <c r="BA87" s="12"/>
      <c r="BB87" s="12"/>
      <c r="BC87" s="12"/>
      <c r="BD87" s="12"/>
      <c r="BE87" s="12"/>
      <c r="BF87" s="12"/>
      <c r="BG87" s="12"/>
      <c r="BH87" s="12"/>
      <c r="BI87" s="12"/>
      <c r="BJ87" s="12"/>
      <c r="BK87" s="12"/>
      <c r="BL87" s="12"/>
      <c r="BM87" s="12"/>
      <c r="BN87" s="12"/>
      <c r="BO87" s="12"/>
      <c r="BP87" s="12"/>
      <c r="BQ87" s="12"/>
      <c r="BR87" s="12"/>
      <c r="BS87" s="12"/>
      <c r="BT87" s="12"/>
      <c r="BU87" s="12"/>
      <c r="BV87" s="12"/>
      <c r="BW87" s="12"/>
      <c r="BX87" s="12"/>
      <c r="BY87" s="12"/>
      <c r="BZ87" s="12"/>
      <c r="CA87" s="12"/>
      <c r="CB87" s="12"/>
      <c r="CC87" s="12"/>
      <c r="CD87" s="12"/>
      <c r="CE87" s="12"/>
      <c r="CF87" s="12"/>
    </row>
    <row r="88" spans="1:84" x14ac:dyDescent="0.3">
      <c r="A88" s="12"/>
      <c r="B88" s="12"/>
      <c r="C88" s="12"/>
      <c r="D88" s="12"/>
      <c r="E88" s="12"/>
      <c r="F88" s="12"/>
      <c r="G88" s="12"/>
      <c r="H88" s="12"/>
      <c r="I88" s="12"/>
      <c r="J88" s="12"/>
      <c r="K88" s="12"/>
      <c r="L88" s="12"/>
      <c r="M88" s="12"/>
      <c r="N88" s="12"/>
      <c r="O88" s="12"/>
      <c r="P88" s="12"/>
      <c r="Q88" s="12"/>
      <c r="R88" s="12"/>
      <c r="S88" s="12"/>
      <c r="T88" s="12"/>
      <c r="U88" s="12"/>
      <c r="V88" s="12"/>
      <c r="W88" s="12"/>
      <c r="X88" s="12"/>
      <c r="Y88" s="12"/>
      <c r="Z88" s="12"/>
      <c r="AA88" s="12"/>
      <c r="AB88" s="12"/>
      <c r="AC88" s="12"/>
      <c r="AD88" s="12"/>
      <c r="AE88" s="12"/>
      <c r="AF88" s="12"/>
      <c r="AG88" s="12"/>
      <c r="AH88" s="12"/>
      <c r="AI88" s="12"/>
      <c r="AJ88" s="12"/>
      <c r="AK88" s="12"/>
      <c r="AL88" s="12"/>
      <c r="AM88" s="12"/>
      <c r="AN88" s="12"/>
      <c r="AO88" s="12"/>
      <c r="AP88" s="12"/>
      <c r="AQ88" s="12"/>
      <c r="AR88" s="12"/>
      <c r="AS88" s="12"/>
      <c r="AT88" s="12"/>
      <c r="AU88" s="12"/>
      <c r="AV88" s="12"/>
      <c r="AW88" s="12"/>
      <c r="AX88" s="12"/>
      <c r="AY88" s="12"/>
      <c r="AZ88" s="12"/>
      <c r="BA88" s="12"/>
      <c r="BB88" s="12"/>
      <c r="BC88" s="12"/>
      <c r="BD88" s="12"/>
      <c r="BE88" s="12"/>
      <c r="BF88" s="12"/>
      <c r="BG88" s="12"/>
      <c r="BH88" s="12"/>
      <c r="BI88" s="12"/>
      <c r="BJ88" s="12"/>
      <c r="BK88" s="12"/>
      <c r="BL88" s="12"/>
      <c r="BM88" s="12"/>
      <c r="BN88" s="12"/>
      <c r="BO88" s="12"/>
      <c r="BP88" s="12"/>
      <c r="BQ88" s="12"/>
      <c r="BR88" s="12"/>
      <c r="BS88" s="12"/>
      <c r="BT88" s="12"/>
      <c r="BU88" s="12"/>
      <c r="BV88" s="12"/>
      <c r="BW88" s="12"/>
      <c r="BX88" s="12"/>
      <c r="BY88" s="12"/>
      <c r="BZ88" s="12"/>
      <c r="CA88" s="12"/>
      <c r="CB88" s="12"/>
      <c r="CC88" s="12"/>
      <c r="CD88" s="12"/>
      <c r="CE88" s="12"/>
      <c r="CF88" s="12"/>
    </row>
    <row r="89" spans="1:84" x14ac:dyDescent="0.3">
      <c r="A89" s="12"/>
      <c r="B89" s="12"/>
      <c r="C89" s="12"/>
      <c r="D89" s="12"/>
      <c r="E89" s="12"/>
      <c r="F89" s="12"/>
      <c r="G89" s="12"/>
      <c r="H89" s="12"/>
      <c r="I89" s="12"/>
      <c r="J89" s="12"/>
      <c r="K89" s="12"/>
      <c r="L89" s="12"/>
      <c r="M89" s="12"/>
      <c r="N89" s="12"/>
      <c r="O89" s="12"/>
      <c r="P89" s="12"/>
      <c r="Q89" s="12"/>
      <c r="R89" s="12"/>
      <c r="S89" s="12"/>
      <c r="T89" s="12"/>
      <c r="U89" s="12"/>
      <c r="V89" s="12"/>
      <c r="W89" s="12"/>
      <c r="X89" s="12"/>
      <c r="Y89" s="12"/>
      <c r="Z89" s="12"/>
      <c r="AA89" s="12"/>
      <c r="AB89" s="12"/>
      <c r="AC89" s="12"/>
      <c r="AD89" s="12"/>
      <c r="AE89" s="12"/>
      <c r="AF89" s="12"/>
      <c r="AG89" s="12"/>
      <c r="AH89" s="12"/>
      <c r="AI89" s="12"/>
      <c r="AJ89" s="12"/>
      <c r="AK89" s="12"/>
      <c r="AL89" s="12"/>
      <c r="AM89" s="12"/>
      <c r="AN89" s="12"/>
      <c r="AO89" s="12"/>
      <c r="AP89" s="12"/>
      <c r="AQ89" s="12"/>
      <c r="AR89" s="12"/>
      <c r="AS89" s="12"/>
      <c r="AT89" s="12"/>
      <c r="AU89" s="12"/>
      <c r="AV89" s="12"/>
      <c r="AW89" s="12"/>
      <c r="AX89" s="12"/>
      <c r="AY89" s="12"/>
      <c r="AZ89" s="12"/>
      <c r="BA89" s="12"/>
      <c r="BB89" s="12"/>
      <c r="BC89" s="12"/>
      <c r="BD89" s="12"/>
      <c r="BE89" s="12"/>
      <c r="BF89" s="12"/>
      <c r="BG89" s="12"/>
      <c r="BH89" s="12"/>
      <c r="BI89" s="12"/>
      <c r="BJ89" s="12"/>
      <c r="BK89" s="12"/>
      <c r="BL89" s="12"/>
      <c r="BM89" s="12"/>
      <c r="BN89" s="12"/>
      <c r="BO89" s="12"/>
      <c r="BP89" s="12"/>
      <c r="BQ89" s="12"/>
      <c r="BR89" s="12"/>
      <c r="BS89" s="12"/>
      <c r="BT89" s="12"/>
      <c r="BU89" s="12"/>
      <c r="BV89" s="12"/>
      <c r="BW89" s="12"/>
      <c r="BX89" s="12"/>
      <c r="BY89" s="12"/>
      <c r="BZ89" s="12"/>
      <c r="CA89" s="12"/>
      <c r="CB89" s="12"/>
      <c r="CC89" s="12"/>
      <c r="CD89" s="12"/>
      <c r="CE89" s="12"/>
      <c r="CF89" s="12"/>
    </row>
    <row r="90" spans="1:84" x14ac:dyDescent="0.3">
      <c r="A90" s="12"/>
      <c r="B90" s="12"/>
      <c r="C90" s="12"/>
      <c r="D90" s="12"/>
      <c r="E90" s="12"/>
      <c r="F90" s="12"/>
      <c r="G90" s="12"/>
      <c r="H90" s="12"/>
      <c r="I90" s="12"/>
      <c r="J90" s="12"/>
      <c r="K90" s="12"/>
      <c r="L90" s="12"/>
      <c r="M90" s="12"/>
      <c r="N90" s="12"/>
      <c r="O90" s="12"/>
      <c r="P90" s="12"/>
      <c r="Q90" s="12"/>
      <c r="R90" s="12"/>
      <c r="S90" s="12"/>
      <c r="T90" s="12"/>
      <c r="U90" s="12"/>
      <c r="V90" s="12"/>
      <c r="W90" s="12"/>
      <c r="X90" s="12"/>
      <c r="Y90" s="12"/>
      <c r="Z90" s="12"/>
      <c r="AA90" s="12"/>
      <c r="AB90" s="12"/>
      <c r="AC90" s="12"/>
      <c r="AD90" s="12"/>
      <c r="AE90" s="12"/>
      <c r="AF90" s="12"/>
      <c r="AG90" s="12"/>
      <c r="AH90" s="12"/>
      <c r="AI90" s="12"/>
      <c r="AJ90" s="12"/>
      <c r="AK90" s="12"/>
      <c r="AL90" s="12"/>
      <c r="AM90" s="12"/>
      <c r="AN90" s="12"/>
      <c r="AO90" s="12"/>
      <c r="AP90" s="12"/>
      <c r="AQ90" s="12"/>
      <c r="AR90" s="12"/>
      <c r="AS90" s="12"/>
      <c r="AT90" s="12"/>
      <c r="AU90" s="12"/>
      <c r="AV90" s="12"/>
      <c r="AW90" s="12"/>
      <c r="AX90" s="12"/>
      <c r="AY90" s="12"/>
      <c r="AZ90" s="12"/>
      <c r="BA90" s="12"/>
      <c r="BB90" s="12"/>
      <c r="BC90" s="12"/>
      <c r="BD90" s="12"/>
      <c r="BE90" s="12"/>
      <c r="BF90" s="12"/>
      <c r="BG90" s="12"/>
      <c r="BH90" s="12"/>
      <c r="BI90" s="12"/>
      <c r="BJ90" s="12"/>
      <c r="BK90" s="12"/>
      <c r="BL90" s="12"/>
      <c r="BM90" s="12"/>
      <c r="BN90" s="12"/>
      <c r="BO90" s="12"/>
      <c r="BP90" s="12"/>
      <c r="BQ90" s="12"/>
      <c r="BR90" s="12"/>
      <c r="BS90" s="12"/>
      <c r="BT90" s="12"/>
      <c r="BU90" s="12"/>
      <c r="BV90" s="12"/>
      <c r="BW90" s="12"/>
      <c r="BX90" s="12"/>
      <c r="BY90" s="12"/>
      <c r="BZ90" s="12"/>
      <c r="CA90" s="12"/>
      <c r="CB90" s="12"/>
      <c r="CC90" s="12"/>
      <c r="CD90" s="12"/>
      <c r="CE90" s="12"/>
      <c r="CF90" s="12"/>
    </row>
    <row r="91" spans="1:84" x14ac:dyDescent="0.3">
      <c r="A91" s="12"/>
      <c r="B91" s="12"/>
      <c r="C91" s="12"/>
      <c r="D91" s="12"/>
      <c r="E91" s="12"/>
      <c r="F91" s="12"/>
      <c r="G91" s="12"/>
      <c r="H91" s="12"/>
      <c r="I91" s="12"/>
      <c r="J91" s="12"/>
      <c r="K91" s="12"/>
      <c r="L91" s="12"/>
      <c r="M91" s="12"/>
      <c r="N91" s="12"/>
      <c r="O91" s="12"/>
      <c r="P91" s="12"/>
      <c r="Q91" s="12"/>
      <c r="R91" s="12"/>
      <c r="S91" s="12"/>
      <c r="T91" s="12"/>
      <c r="U91" s="12"/>
      <c r="V91" s="12"/>
      <c r="W91" s="12"/>
      <c r="X91" s="12"/>
      <c r="Y91" s="12"/>
      <c r="Z91" s="12"/>
      <c r="AA91" s="12"/>
      <c r="AB91" s="12"/>
      <c r="AC91" s="12"/>
      <c r="AD91" s="12"/>
      <c r="AE91" s="12"/>
      <c r="AF91" s="12"/>
      <c r="AG91" s="12"/>
      <c r="AH91" s="12"/>
      <c r="AI91" s="12"/>
      <c r="AJ91" s="12"/>
      <c r="AK91" s="12"/>
      <c r="AL91" s="12"/>
      <c r="AM91" s="12"/>
      <c r="AN91" s="12"/>
      <c r="AO91" s="12"/>
      <c r="AP91" s="12"/>
      <c r="AQ91" s="12"/>
      <c r="AR91" s="12"/>
      <c r="AS91" s="12"/>
      <c r="AT91" s="12"/>
      <c r="AU91" s="12"/>
      <c r="AV91" s="12"/>
      <c r="AW91" s="12"/>
      <c r="AX91" s="12"/>
      <c r="AY91" s="12"/>
      <c r="AZ91" s="12"/>
      <c r="BA91" s="12"/>
      <c r="BB91" s="12"/>
      <c r="BC91" s="12"/>
      <c r="BD91" s="12"/>
      <c r="BE91" s="12"/>
      <c r="BF91" s="12"/>
      <c r="BG91" s="12"/>
      <c r="BH91" s="12"/>
      <c r="BI91" s="12"/>
      <c r="BJ91" s="12"/>
      <c r="BK91" s="12"/>
      <c r="BL91" s="12"/>
      <c r="BM91" s="12"/>
      <c r="BN91" s="12"/>
      <c r="BO91" s="12"/>
      <c r="BP91" s="12"/>
      <c r="BQ91" s="12"/>
      <c r="BR91" s="12"/>
      <c r="BS91" s="12"/>
      <c r="BT91" s="12"/>
      <c r="BU91" s="12"/>
      <c r="BV91" s="12"/>
      <c r="BW91" s="12"/>
      <c r="BX91" s="12"/>
      <c r="BY91" s="12"/>
      <c r="BZ91" s="12"/>
      <c r="CA91" s="12"/>
      <c r="CB91" s="12"/>
      <c r="CC91" s="12"/>
      <c r="CD91" s="12"/>
      <c r="CE91" s="12"/>
      <c r="CF91" s="12"/>
    </row>
    <row r="92" spans="1:84" x14ac:dyDescent="0.3">
      <c r="A92" s="12"/>
      <c r="B92" s="12"/>
      <c r="C92" s="12"/>
      <c r="D92" s="12"/>
      <c r="E92" s="12"/>
      <c r="F92" s="12"/>
      <c r="G92" s="12"/>
      <c r="H92" s="12"/>
      <c r="I92" s="12"/>
      <c r="J92" s="12"/>
      <c r="K92" s="12"/>
      <c r="L92" s="12"/>
      <c r="M92" s="12"/>
      <c r="N92" s="12"/>
      <c r="O92" s="12"/>
      <c r="P92" s="12"/>
      <c r="Q92" s="12"/>
      <c r="R92" s="12"/>
      <c r="S92" s="12"/>
      <c r="T92" s="12"/>
      <c r="U92" s="12"/>
      <c r="V92" s="12"/>
      <c r="W92" s="12"/>
      <c r="X92" s="12"/>
      <c r="Y92" s="12"/>
      <c r="Z92" s="12"/>
      <c r="AA92" s="12"/>
      <c r="AB92" s="12"/>
      <c r="AC92" s="12"/>
      <c r="AD92" s="12"/>
      <c r="AE92" s="12"/>
      <c r="AF92" s="12"/>
      <c r="AG92" s="12"/>
      <c r="AH92" s="12"/>
      <c r="AI92" s="12"/>
      <c r="AJ92" s="12"/>
      <c r="AK92" s="12"/>
      <c r="AL92" s="12"/>
      <c r="AM92" s="12"/>
      <c r="AN92" s="12"/>
      <c r="AO92" s="12"/>
      <c r="AP92" s="12"/>
      <c r="AQ92" s="12"/>
      <c r="AR92" s="12"/>
      <c r="AS92" s="12"/>
      <c r="AT92" s="12"/>
      <c r="AU92" s="12"/>
      <c r="AV92" s="12"/>
      <c r="AW92" s="12"/>
      <c r="AX92" s="12"/>
      <c r="AY92" s="12"/>
      <c r="AZ92" s="12"/>
      <c r="BA92" s="12"/>
      <c r="BB92" s="12"/>
      <c r="BC92" s="12"/>
      <c r="BD92" s="12"/>
      <c r="BE92" s="12"/>
      <c r="BF92" s="12"/>
      <c r="BG92" s="12"/>
      <c r="BH92" s="12"/>
      <c r="BI92" s="12"/>
      <c r="BJ92" s="12"/>
      <c r="BK92" s="12"/>
      <c r="BL92" s="12"/>
      <c r="BM92" s="12"/>
      <c r="BN92" s="12"/>
      <c r="BO92" s="12"/>
      <c r="BP92" s="12"/>
      <c r="BQ92" s="12"/>
      <c r="BR92" s="12"/>
      <c r="BS92" s="12"/>
      <c r="BT92" s="12"/>
      <c r="BU92" s="12"/>
      <c r="BV92" s="12"/>
      <c r="BW92" s="12"/>
      <c r="BX92" s="12"/>
      <c r="BY92" s="12"/>
      <c r="BZ92" s="12"/>
      <c r="CA92" s="12"/>
      <c r="CB92" s="12"/>
      <c r="CC92" s="12"/>
      <c r="CD92" s="12"/>
      <c r="CE92" s="12"/>
      <c r="CF92" s="12"/>
    </row>
    <row r="93" spans="1:84" x14ac:dyDescent="0.3">
      <c r="A93" s="12"/>
      <c r="B93" s="12"/>
      <c r="C93" s="12"/>
      <c r="D93" s="12"/>
      <c r="E93" s="12"/>
      <c r="F93" s="12"/>
      <c r="G93" s="12"/>
      <c r="H93" s="12"/>
      <c r="I93" s="12"/>
      <c r="J93" s="12"/>
      <c r="K93" s="12"/>
      <c r="L93" s="12"/>
      <c r="M93" s="12"/>
      <c r="N93" s="12"/>
      <c r="O93" s="12"/>
      <c r="P93" s="12"/>
      <c r="Q93" s="12"/>
      <c r="R93" s="12"/>
      <c r="S93" s="12"/>
      <c r="T93" s="12"/>
      <c r="U93" s="12"/>
      <c r="V93" s="12"/>
      <c r="W93" s="12"/>
      <c r="X93" s="12"/>
      <c r="Y93" s="12"/>
      <c r="Z93" s="12"/>
      <c r="AA93" s="12"/>
      <c r="AB93" s="12"/>
      <c r="AC93" s="12"/>
      <c r="AD93" s="12"/>
      <c r="AE93" s="12"/>
      <c r="AF93" s="12"/>
      <c r="AG93" s="12"/>
      <c r="AH93" s="12"/>
      <c r="AI93" s="12"/>
      <c r="AJ93" s="12"/>
      <c r="AK93" s="12"/>
      <c r="AL93" s="12"/>
      <c r="AM93" s="12"/>
      <c r="AN93" s="12"/>
      <c r="AO93" s="12"/>
      <c r="AP93" s="12"/>
      <c r="AQ93" s="12"/>
      <c r="AR93" s="12"/>
      <c r="AS93" s="12"/>
      <c r="AT93" s="12"/>
      <c r="AU93" s="12"/>
      <c r="AV93" s="12"/>
      <c r="AW93" s="12"/>
      <c r="AX93" s="12"/>
      <c r="AY93" s="12"/>
      <c r="AZ93" s="12"/>
      <c r="BA93" s="12"/>
      <c r="BB93" s="12"/>
      <c r="BC93" s="12"/>
      <c r="BD93" s="12"/>
      <c r="BE93" s="12"/>
      <c r="BF93" s="12"/>
      <c r="BG93" s="12"/>
      <c r="BH93" s="12"/>
      <c r="BI93" s="12"/>
      <c r="BJ93" s="12"/>
      <c r="BK93" s="12"/>
      <c r="BL93" s="12"/>
      <c r="BM93" s="12"/>
      <c r="BN93" s="12"/>
      <c r="BO93" s="12"/>
      <c r="BP93" s="12"/>
      <c r="BQ93" s="12"/>
      <c r="BR93" s="12"/>
      <c r="BS93" s="12"/>
      <c r="BT93" s="12"/>
      <c r="BU93" s="12"/>
      <c r="BV93" s="12"/>
      <c r="BW93" s="12"/>
      <c r="BX93" s="12"/>
      <c r="BY93" s="12"/>
      <c r="BZ93" s="12"/>
      <c r="CA93" s="12"/>
      <c r="CB93" s="12"/>
      <c r="CC93" s="12"/>
      <c r="CD93" s="12"/>
      <c r="CE93" s="12"/>
      <c r="CF93" s="12"/>
    </row>
    <row r="94" spans="1:84" x14ac:dyDescent="0.3">
      <c r="A94" s="12"/>
      <c r="B94" s="12"/>
      <c r="C94" s="12"/>
      <c r="D94" s="12"/>
      <c r="E94" s="12"/>
      <c r="F94" s="12"/>
      <c r="G94" s="12"/>
      <c r="H94" s="12"/>
      <c r="I94" s="12"/>
      <c r="J94" s="12"/>
      <c r="K94" s="12"/>
      <c r="L94" s="12"/>
      <c r="M94" s="12"/>
      <c r="N94" s="12"/>
      <c r="O94" s="12"/>
      <c r="P94" s="12"/>
      <c r="Q94" s="12"/>
      <c r="R94" s="12"/>
      <c r="S94" s="12"/>
      <c r="T94" s="12"/>
      <c r="U94" s="12"/>
      <c r="V94" s="12"/>
      <c r="W94" s="12"/>
      <c r="X94" s="12"/>
      <c r="Y94" s="12"/>
      <c r="Z94" s="12"/>
      <c r="AA94" s="12"/>
      <c r="AB94" s="12"/>
      <c r="AC94" s="12"/>
      <c r="AD94" s="12"/>
      <c r="AE94" s="12"/>
      <c r="AF94" s="12"/>
      <c r="AG94" s="12"/>
      <c r="AH94" s="12"/>
      <c r="AI94" s="12"/>
      <c r="AJ94" s="12"/>
      <c r="AK94" s="12"/>
      <c r="AL94" s="12"/>
      <c r="AM94" s="12"/>
      <c r="AN94" s="12"/>
      <c r="AO94" s="12"/>
      <c r="AP94" s="12"/>
      <c r="AQ94" s="12"/>
      <c r="AR94" s="12"/>
      <c r="AS94" s="12"/>
      <c r="AT94" s="12"/>
      <c r="AU94" s="12"/>
      <c r="AV94" s="12"/>
      <c r="AW94" s="12"/>
      <c r="AX94" s="12"/>
      <c r="AY94" s="12"/>
      <c r="AZ94" s="12"/>
      <c r="BA94" s="12"/>
      <c r="BB94" s="12"/>
      <c r="BC94" s="12"/>
      <c r="BD94" s="12"/>
      <c r="BE94" s="12"/>
      <c r="BF94" s="12"/>
      <c r="BG94" s="12"/>
      <c r="BH94" s="12"/>
      <c r="BI94" s="12"/>
      <c r="BJ94" s="12"/>
      <c r="BK94" s="12"/>
      <c r="BL94" s="12"/>
      <c r="BM94" s="12"/>
      <c r="BN94" s="12"/>
      <c r="BO94" s="12"/>
      <c r="BP94" s="12"/>
      <c r="BQ94" s="12"/>
      <c r="BR94" s="12"/>
      <c r="BS94" s="12"/>
      <c r="BT94" s="12"/>
      <c r="BU94" s="12"/>
      <c r="BV94" s="12"/>
      <c r="BW94" s="12"/>
      <c r="BX94" s="12"/>
      <c r="BY94" s="12"/>
      <c r="BZ94" s="12"/>
      <c r="CA94" s="12"/>
      <c r="CB94" s="12"/>
      <c r="CC94" s="12"/>
      <c r="CD94" s="12"/>
      <c r="CE94" s="12"/>
      <c r="CF94" s="12"/>
    </row>
    <row r="95" spans="1:84" x14ac:dyDescent="0.3">
      <c r="A95" s="12"/>
      <c r="B95" s="12"/>
      <c r="C95" s="12"/>
      <c r="D95" s="12"/>
      <c r="E95" s="12"/>
      <c r="F95" s="12"/>
      <c r="G95" s="12"/>
      <c r="H95" s="12"/>
      <c r="I95" s="12"/>
      <c r="J95" s="12"/>
      <c r="K95" s="12"/>
      <c r="L95" s="12"/>
      <c r="M95" s="12"/>
      <c r="N95" s="12"/>
      <c r="O95" s="12"/>
      <c r="P95" s="12"/>
      <c r="Q95" s="12"/>
      <c r="R95" s="12"/>
      <c r="S95" s="12"/>
      <c r="T95" s="12"/>
      <c r="U95" s="12"/>
      <c r="V95" s="12"/>
      <c r="W95" s="12"/>
      <c r="X95" s="12"/>
      <c r="Y95" s="12"/>
      <c r="Z95" s="12"/>
      <c r="AA95" s="12"/>
      <c r="AB95" s="12"/>
      <c r="AC95" s="12"/>
      <c r="AD95" s="12"/>
      <c r="AE95" s="12"/>
      <c r="AF95" s="12"/>
      <c r="AG95" s="12"/>
      <c r="AH95" s="12"/>
      <c r="AI95" s="12"/>
      <c r="AJ95" s="12"/>
      <c r="AK95" s="12"/>
      <c r="AL95" s="12"/>
      <c r="AM95" s="12"/>
      <c r="AN95" s="12"/>
      <c r="AO95" s="12"/>
      <c r="AP95" s="12"/>
      <c r="AQ95" s="12"/>
      <c r="AR95" s="12"/>
      <c r="AS95" s="12"/>
      <c r="AT95" s="12"/>
      <c r="AU95" s="12"/>
      <c r="AV95" s="12"/>
      <c r="AW95" s="12"/>
      <c r="AX95" s="12"/>
      <c r="AY95" s="12"/>
      <c r="AZ95" s="12"/>
      <c r="BA95" s="12"/>
      <c r="BB95" s="12"/>
      <c r="BC95" s="12"/>
      <c r="BD95" s="12"/>
      <c r="BE95" s="12"/>
      <c r="BF95" s="12"/>
      <c r="BG95" s="12"/>
      <c r="BH95" s="12"/>
      <c r="BI95" s="12"/>
      <c r="BJ95" s="12"/>
      <c r="BK95" s="12"/>
      <c r="BL95" s="12"/>
      <c r="BM95" s="12"/>
      <c r="BN95" s="12"/>
      <c r="BO95" s="12"/>
      <c r="BP95" s="12"/>
      <c r="BQ95" s="12"/>
      <c r="BR95" s="12"/>
      <c r="BS95" s="12"/>
      <c r="BT95" s="12"/>
      <c r="BU95" s="12"/>
      <c r="BV95" s="12"/>
      <c r="BW95" s="12"/>
      <c r="BX95" s="12"/>
      <c r="BY95" s="12"/>
      <c r="BZ95" s="12"/>
      <c r="CA95" s="12"/>
      <c r="CB95" s="12"/>
      <c r="CC95" s="12"/>
      <c r="CD95" s="12"/>
      <c r="CE95" s="12"/>
      <c r="CF95" s="12"/>
    </row>
    <row r="96" spans="1:84" x14ac:dyDescent="0.3">
      <c r="A96" s="12"/>
      <c r="B96" s="12"/>
      <c r="C96" s="12"/>
      <c r="D96" s="12"/>
      <c r="E96" s="12"/>
      <c r="F96" s="12"/>
      <c r="G96" s="12"/>
      <c r="H96" s="12"/>
      <c r="I96" s="12"/>
      <c r="J96" s="12"/>
      <c r="K96" s="12"/>
      <c r="L96" s="12"/>
      <c r="M96" s="12"/>
      <c r="N96" s="12"/>
      <c r="O96" s="12"/>
      <c r="P96" s="12"/>
      <c r="Q96" s="12"/>
      <c r="R96" s="12"/>
      <c r="S96" s="12"/>
      <c r="T96" s="12"/>
      <c r="U96" s="12"/>
      <c r="V96" s="12"/>
      <c r="W96" s="12"/>
      <c r="X96" s="12"/>
      <c r="Y96" s="12"/>
      <c r="Z96" s="12"/>
      <c r="AA96" s="12"/>
      <c r="AB96" s="12"/>
      <c r="AC96" s="12"/>
      <c r="AD96" s="12"/>
      <c r="AE96" s="12"/>
      <c r="AF96" s="12"/>
      <c r="AG96" s="12"/>
      <c r="AH96" s="12"/>
      <c r="AI96" s="12"/>
      <c r="AJ96" s="12"/>
      <c r="AK96" s="12"/>
      <c r="AL96" s="12"/>
      <c r="AM96" s="12"/>
      <c r="AN96" s="12"/>
      <c r="AO96" s="12"/>
      <c r="AP96" s="12"/>
      <c r="AQ96" s="12"/>
      <c r="AR96" s="12"/>
      <c r="AS96" s="12"/>
      <c r="AT96" s="12"/>
      <c r="AU96" s="12"/>
      <c r="AV96" s="12"/>
      <c r="AW96" s="12"/>
      <c r="AX96" s="12"/>
      <c r="AY96" s="12"/>
      <c r="AZ96" s="12"/>
      <c r="BA96" s="12"/>
      <c r="BB96" s="12"/>
      <c r="BC96" s="12"/>
      <c r="BD96" s="12"/>
      <c r="BE96" s="12"/>
      <c r="BF96" s="12"/>
      <c r="BG96" s="12"/>
      <c r="BH96" s="12"/>
      <c r="BI96" s="12"/>
      <c r="BJ96" s="12"/>
      <c r="BK96" s="12"/>
      <c r="BL96" s="12"/>
      <c r="BM96" s="12"/>
      <c r="BN96" s="12"/>
      <c r="BO96" s="12"/>
      <c r="BP96" s="12"/>
      <c r="BQ96" s="12"/>
      <c r="BR96" s="12"/>
      <c r="BS96" s="12"/>
      <c r="BT96" s="12"/>
      <c r="BU96" s="12"/>
      <c r="BV96" s="12"/>
      <c r="BW96" s="12"/>
      <c r="BX96" s="12"/>
      <c r="BY96" s="12"/>
      <c r="BZ96" s="12"/>
      <c r="CA96" s="12"/>
      <c r="CB96" s="12"/>
      <c r="CC96" s="12"/>
      <c r="CD96" s="12"/>
      <c r="CE96" s="12"/>
      <c r="CF96" s="12"/>
    </row>
    <row r="97" spans="1:84" x14ac:dyDescent="0.3">
      <c r="A97" s="12"/>
      <c r="B97" s="12"/>
      <c r="C97" s="12"/>
      <c r="D97" s="12"/>
      <c r="E97" s="12"/>
      <c r="F97" s="12"/>
      <c r="G97" s="12"/>
      <c r="H97" s="12"/>
      <c r="I97" s="12"/>
      <c r="J97" s="12"/>
      <c r="K97" s="12"/>
      <c r="L97" s="12"/>
      <c r="M97" s="12"/>
      <c r="N97" s="12"/>
      <c r="O97" s="12"/>
      <c r="P97" s="12"/>
      <c r="Q97" s="12"/>
      <c r="R97" s="12"/>
      <c r="S97" s="12"/>
      <c r="T97" s="12"/>
      <c r="U97" s="12"/>
      <c r="V97" s="12"/>
      <c r="W97" s="12"/>
      <c r="X97" s="12"/>
      <c r="Y97" s="12"/>
      <c r="Z97" s="12"/>
      <c r="AA97" s="12"/>
      <c r="AB97" s="12"/>
      <c r="AC97" s="12"/>
      <c r="AD97" s="12"/>
      <c r="AE97" s="12"/>
      <c r="AF97" s="12"/>
      <c r="AG97" s="12"/>
      <c r="AH97" s="12"/>
      <c r="AI97" s="12"/>
      <c r="AJ97" s="12"/>
      <c r="AK97" s="12"/>
      <c r="AL97" s="12"/>
      <c r="AM97" s="12"/>
      <c r="AN97" s="12"/>
      <c r="AO97" s="12"/>
      <c r="AP97" s="12"/>
      <c r="AQ97" s="12"/>
      <c r="AR97" s="12"/>
      <c r="AS97" s="12"/>
      <c r="AT97" s="12"/>
      <c r="AU97" s="12"/>
      <c r="AV97" s="12"/>
      <c r="AW97" s="12"/>
      <c r="AX97" s="12"/>
      <c r="AY97" s="12"/>
      <c r="AZ97" s="12"/>
      <c r="BA97" s="12"/>
      <c r="BB97" s="12"/>
      <c r="BC97" s="12"/>
      <c r="BD97" s="12"/>
      <c r="BE97" s="12"/>
      <c r="BF97" s="12"/>
      <c r="BG97" s="12"/>
      <c r="BH97" s="12"/>
      <c r="BI97" s="12"/>
      <c r="BJ97" s="12"/>
      <c r="BK97" s="12"/>
      <c r="BL97" s="12"/>
      <c r="BM97" s="12"/>
      <c r="BN97" s="12"/>
      <c r="BO97" s="12"/>
      <c r="BP97" s="12"/>
      <c r="BQ97" s="12"/>
      <c r="BR97" s="12"/>
      <c r="BS97" s="12"/>
      <c r="BT97" s="12"/>
      <c r="BU97" s="12"/>
      <c r="BV97" s="12"/>
      <c r="BW97" s="12"/>
      <c r="BX97" s="12"/>
      <c r="BY97" s="12"/>
      <c r="BZ97" s="12"/>
      <c r="CA97" s="12"/>
      <c r="CB97" s="12"/>
      <c r="CC97" s="12"/>
      <c r="CD97" s="12"/>
      <c r="CE97" s="12"/>
      <c r="CF97" s="12"/>
    </row>
    <row r="98" spans="1:84" x14ac:dyDescent="0.3">
      <c r="A98" s="12"/>
      <c r="B98" s="12"/>
      <c r="C98" s="12"/>
      <c r="D98" s="12"/>
      <c r="E98" s="12"/>
      <c r="F98" s="12"/>
      <c r="G98" s="12"/>
      <c r="H98" s="12"/>
      <c r="I98" s="12"/>
      <c r="J98" s="12"/>
      <c r="K98" s="12"/>
      <c r="L98" s="12"/>
      <c r="M98" s="12"/>
      <c r="N98" s="12"/>
      <c r="O98" s="12"/>
      <c r="P98" s="12"/>
      <c r="Q98" s="12"/>
      <c r="R98" s="12"/>
      <c r="S98" s="12"/>
      <c r="T98" s="12"/>
      <c r="U98" s="12"/>
      <c r="V98" s="12"/>
      <c r="W98" s="12"/>
      <c r="X98" s="12"/>
      <c r="Y98" s="12"/>
      <c r="Z98" s="12"/>
      <c r="AA98" s="12"/>
      <c r="AB98" s="12"/>
      <c r="AC98" s="12"/>
      <c r="AD98" s="12"/>
      <c r="AE98" s="12"/>
      <c r="AF98" s="12"/>
      <c r="AG98" s="12"/>
      <c r="AH98" s="12"/>
      <c r="AI98" s="12"/>
      <c r="AJ98" s="12"/>
      <c r="AK98" s="12"/>
      <c r="AL98" s="12"/>
      <c r="AM98" s="12"/>
      <c r="AN98" s="12"/>
      <c r="AO98" s="12"/>
      <c r="AP98" s="12"/>
      <c r="AQ98" s="12"/>
      <c r="AR98" s="12"/>
      <c r="AS98" s="12"/>
      <c r="AT98" s="12"/>
      <c r="AU98" s="12"/>
      <c r="AV98" s="12"/>
      <c r="AW98" s="12"/>
      <c r="AX98" s="12"/>
      <c r="AY98" s="12"/>
      <c r="AZ98" s="12"/>
      <c r="BA98" s="12"/>
      <c r="BB98" s="12"/>
      <c r="BC98" s="12"/>
      <c r="BD98" s="12"/>
      <c r="BE98" s="12"/>
      <c r="BF98" s="12"/>
      <c r="BG98" s="12"/>
      <c r="BH98" s="12"/>
      <c r="BI98" s="12"/>
      <c r="BJ98" s="12"/>
      <c r="BK98" s="12"/>
      <c r="BL98" s="12"/>
      <c r="BM98" s="12"/>
      <c r="BN98" s="12"/>
      <c r="BO98" s="12"/>
      <c r="BP98" s="12"/>
      <c r="BQ98" s="12"/>
      <c r="BR98" s="12"/>
      <c r="BS98" s="12"/>
      <c r="BT98" s="12"/>
      <c r="BU98" s="12"/>
      <c r="BV98" s="12"/>
      <c r="BW98" s="12"/>
      <c r="BX98" s="12"/>
      <c r="BY98" s="12"/>
      <c r="BZ98" s="12"/>
      <c r="CA98" s="12"/>
      <c r="CB98" s="12"/>
      <c r="CC98" s="12"/>
      <c r="CD98" s="12"/>
      <c r="CE98" s="12"/>
      <c r="CF98" s="12"/>
    </row>
    <row r="99" spans="1:84" x14ac:dyDescent="0.3">
      <c r="A99" s="12"/>
      <c r="B99" s="12"/>
      <c r="C99" s="12"/>
      <c r="D99" s="12"/>
      <c r="E99" s="12"/>
      <c r="F99" s="12"/>
      <c r="G99" s="12"/>
      <c r="H99" s="12"/>
      <c r="I99" s="12"/>
      <c r="J99" s="12"/>
      <c r="K99" s="12"/>
      <c r="L99" s="12"/>
      <c r="M99" s="12"/>
      <c r="N99" s="12"/>
      <c r="O99" s="12"/>
      <c r="P99" s="12"/>
      <c r="Q99" s="12"/>
      <c r="R99" s="12"/>
      <c r="S99" s="12"/>
      <c r="T99" s="12"/>
      <c r="U99" s="12"/>
      <c r="V99" s="12"/>
      <c r="W99" s="12"/>
      <c r="X99" s="12"/>
      <c r="Y99" s="12"/>
      <c r="Z99" s="12"/>
      <c r="AA99" s="12"/>
      <c r="AB99" s="12"/>
      <c r="AC99" s="12"/>
      <c r="AD99" s="12"/>
      <c r="AE99" s="12"/>
      <c r="AF99" s="12"/>
      <c r="AG99" s="12"/>
      <c r="AH99" s="12"/>
      <c r="AI99" s="12"/>
      <c r="AJ99" s="12"/>
      <c r="AK99" s="12"/>
      <c r="AL99" s="12"/>
      <c r="AM99" s="12"/>
      <c r="AN99" s="12"/>
      <c r="AO99" s="12"/>
      <c r="AP99" s="12"/>
      <c r="AQ99" s="12"/>
      <c r="AR99" s="12"/>
      <c r="AS99" s="12"/>
      <c r="AT99" s="12"/>
      <c r="AU99" s="12"/>
      <c r="AV99" s="12"/>
      <c r="AW99" s="12"/>
      <c r="AX99" s="12"/>
      <c r="AY99" s="12"/>
      <c r="AZ99" s="12"/>
      <c r="BA99" s="12"/>
      <c r="BB99" s="12"/>
      <c r="BC99" s="12"/>
      <c r="BD99" s="12"/>
      <c r="BE99" s="12"/>
      <c r="BF99" s="12"/>
      <c r="BG99" s="12"/>
      <c r="BH99" s="12"/>
      <c r="BI99" s="12"/>
      <c r="BJ99" s="12"/>
      <c r="BK99" s="12"/>
      <c r="BL99" s="12"/>
      <c r="BM99" s="12"/>
      <c r="BN99" s="12"/>
      <c r="BO99" s="12"/>
      <c r="BP99" s="12"/>
      <c r="BQ99" s="12"/>
      <c r="BR99" s="12"/>
      <c r="BS99" s="12"/>
      <c r="BT99" s="12"/>
      <c r="BU99" s="12"/>
      <c r="BV99" s="12"/>
      <c r="BW99" s="12"/>
      <c r="BX99" s="12"/>
      <c r="BY99" s="12"/>
      <c r="BZ99" s="12"/>
      <c r="CA99" s="12"/>
      <c r="CB99" s="12"/>
      <c r="CC99" s="12"/>
      <c r="CD99" s="12"/>
      <c r="CE99" s="12"/>
      <c r="CF99" s="12"/>
    </row>
    <row r="100" spans="1:84" x14ac:dyDescent="0.3">
      <c r="A100" s="12"/>
      <c r="B100" s="12"/>
      <c r="C100" s="12"/>
      <c r="D100" s="12"/>
      <c r="E100" s="12"/>
      <c r="F100" s="12"/>
      <c r="G100" s="12"/>
      <c r="H100" s="12"/>
      <c r="I100" s="12"/>
      <c r="J100" s="12"/>
      <c r="K100" s="12"/>
      <c r="L100" s="12"/>
      <c r="M100" s="12"/>
      <c r="N100" s="12"/>
      <c r="O100" s="12"/>
      <c r="P100" s="12"/>
      <c r="Q100" s="12"/>
      <c r="R100" s="12"/>
      <c r="S100" s="12"/>
      <c r="T100" s="12"/>
      <c r="U100" s="12"/>
      <c r="V100" s="12"/>
      <c r="W100" s="12"/>
      <c r="X100" s="12"/>
      <c r="Y100" s="12"/>
      <c r="Z100" s="12"/>
      <c r="AA100" s="12"/>
      <c r="AB100" s="12"/>
      <c r="AC100" s="12"/>
      <c r="AD100" s="12"/>
      <c r="AE100" s="12"/>
      <c r="AF100" s="12"/>
      <c r="AG100" s="12"/>
      <c r="AH100" s="12"/>
      <c r="AI100" s="12"/>
      <c r="AJ100" s="12"/>
      <c r="AK100" s="12"/>
      <c r="AL100" s="12"/>
      <c r="AM100" s="12"/>
      <c r="AN100" s="12"/>
      <c r="AO100" s="12"/>
      <c r="AP100" s="12"/>
      <c r="AQ100" s="12"/>
      <c r="AR100" s="12"/>
      <c r="AS100" s="12"/>
      <c r="AT100" s="12"/>
      <c r="AU100" s="12"/>
      <c r="AV100" s="12"/>
      <c r="AW100" s="12"/>
      <c r="AX100" s="12"/>
      <c r="AY100" s="12"/>
      <c r="AZ100" s="12"/>
      <c r="BA100" s="12"/>
      <c r="BB100" s="12"/>
      <c r="BC100" s="12"/>
      <c r="BD100" s="12"/>
      <c r="BE100" s="12"/>
      <c r="BF100" s="12"/>
      <c r="BG100" s="12"/>
      <c r="BH100" s="12"/>
      <c r="BI100" s="12"/>
      <c r="BJ100" s="12"/>
      <c r="BK100" s="12"/>
      <c r="BL100" s="12"/>
      <c r="BM100" s="12"/>
      <c r="BN100" s="12"/>
      <c r="BO100" s="12"/>
      <c r="BP100" s="12"/>
      <c r="BQ100" s="12"/>
      <c r="BR100" s="12"/>
      <c r="BS100" s="12"/>
      <c r="BT100" s="12"/>
      <c r="BU100" s="12"/>
      <c r="BV100" s="12"/>
      <c r="BW100" s="12"/>
      <c r="BX100" s="12"/>
      <c r="BY100" s="12"/>
      <c r="BZ100" s="12"/>
      <c r="CA100" s="12"/>
      <c r="CB100" s="12"/>
      <c r="CC100" s="12"/>
      <c r="CD100" s="12"/>
      <c r="CE100" s="12"/>
      <c r="CF100" s="12"/>
    </row>
    <row r="101" spans="1:84" x14ac:dyDescent="0.3">
      <c r="A101" s="12"/>
      <c r="B101" s="12"/>
      <c r="C101" s="12"/>
      <c r="D101" s="12"/>
      <c r="E101" s="12"/>
      <c r="F101" s="12"/>
      <c r="G101" s="12"/>
      <c r="H101" s="12"/>
      <c r="I101" s="12"/>
      <c r="J101" s="12"/>
      <c r="K101" s="12"/>
      <c r="L101" s="12"/>
      <c r="M101" s="12"/>
      <c r="N101" s="12"/>
      <c r="O101" s="12"/>
      <c r="P101" s="12"/>
      <c r="Q101" s="12"/>
      <c r="R101" s="12"/>
      <c r="S101" s="12"/>
      <c r="T101" s="12"/>
      <c r="U101" s="12"/>
      <c r="V101" s="12"/>
      <c r="W101" s="12"/>
      <c r="X101" s="12"/>
      <c r="Y101" s="12"/>
      <c r="Z101" s="12"/>
      <c r="AA101" s="12"/>
      <c r="AB101" s="12"/>
      <c r="AC101" s="12"/>
      <c r="AD101" s="12"/>
      <c r="AE101" s="12"/>
      <c r="AF101" s="12"/>
      <c r="AG101" s="12"/>
      <c r="AH101" s="12"/>
      <c r="AI101" s="12"/>
      <c r="AJ101" s="12"/>
      <c r="AK101" s="12"/>
      <c r="AL101" s="12"/>
      <c r="AM101" s="12"/>
      <c r="AN101" s="12"/>
      <c r="AO101" s="12"/>
      <c r="AP101" s="12"/>
      <c r="AQ101" s="12"/>
      <c r="AR101" s="12"/>
      <c r="AS101" s="12"/>
      <c r="AT101" s="12"/>
      <c r="AU101" s="12"/>
      <c r="AV101" s="12"/>
      <c r="AW101" s="12"/>
      <c r="AX101" s="12"/>
      <c r="AY101" s="12"/>
      <c r="AZ101" s="12"/>
      <c r="BA101" s="12"/>
      <c r="BB101" s="12"/>
      <c r="BC101" s="12"/>
      <c r="BD101" s="12"/>
      <c r="BE101" s="12"/>
      <c r="BF101" s="12"/>
      <c r="BG101" s="12"/>
      <c r="BH101" s="12"/>
      <c r="BI101" s="12"/>
      <c r="BJ101" s="12"/>
      <c r="BK101" s="12"/>
      <c r="BL101" s="12"/>
      <c r="BM101" s="12"/>
      <c r="BN101" s="12"/>
      <c r="BO101" s="12"/>
      <c r="BP101" s="12"/>
      <c r="BQ101" s="12"/>
      <c r="BR101" s="12"/>
      <c r="BS101" s="12"/>
      <c r="BT101" s="12"/>
      <c r="BU101" s="12"/>
      <c r="BV101" s="12"/>
      <c r="BW101" s="12"/>
      <c r="BX101" s="12"/>
      <c r="BY101" s="12"/>
      <c r="BZ101" s="12"/>
      <c r="CA101" s="12"/>
      <c r="CB101" s="12"/>
      <c r="CC101" s="12"/>
      <c r="CD101" s="12"/>
      <c r="CE101" s="12"/>
      <c r="CF101" s="12"/>
    </row>
    <row r="102" spans="1:84" x14ac:dyDescent="0.3">
      <c r="A102" s="12"/>
      <c r="B102" s="12"/>
      <c r="C102" s="12"/>
      <c r="D102" s="12"/>
      <c r="E102" s="12"/>
      <c r="F102" s="12"/>
      <c r="G102" s="12"/>
      <c r="H102" s="12"/>
      <c r="I102" s="12"/>
      <c r="J102" s="12"/>
      <c r="K102" s="12"/>
      <c r="L102" s="12"/>
      <c r="M102" s="12"/>
      <c r="N102" s="12"/>
      <c r="O102" s="12"/>
      <c r="P102" s="12"/>
      <c r="Q102" s="12"/>
      <c r="R102" s="12"/>
      <c r="S102" s="12"/>
      <c r="T102" s="12"/>
      <c r="U102" s="12"/>
      <c r="V102" s="12"/>
      <c r="W102" s="12"/>
      <c r="X102" s="12"/>
      <c r="Y102" s="12"/>
      <c r="Z102" s="12"/>
      <c r="AA102" s="12"/>
      <c r="AB102" s="12"/>
      <c r="AC102" s="12"/>
      <c r="AD102" s="12"/>
      <c r="AE102" s="12"/>
      <c r="AF102" s="12"/>
      <c r="AG102" s="12"/>
      <c r="AH102" s="12"/>
      <c r="AI102" s="12"/>
      <c r="AJ102" s="12"/>
      <c r="AK102" s="12"/>
      <c r="AL102" s="12"/>
      <c r="AM102" s="12"/>
      <c r="AN102" s="12"/>
      <c r="AO102" s="12"/>
      <c r="AP102" s="12"/>
      <c r="AQ102" s="12"/>
      <c r="AR102" s="12"/>
      <c r="AS102" s="12"/>
      <c r="AT102" s="12"/>
      <c r="AU102" s="12"/>
      <c r="AV102" s="12"/>
      <c r="AW102" s="12"/>
      <c r="AX102" s="12"/>
      <c r="AY102" s="12"/>
      <c r="AZ102" s="12"/>
      <c r="BA102" s="12"/>
      <c r="BB102" s="12"/>
      <c r="BC102" s="12"/>
      <c r="BD102" s="12"/>
      <c r="BE102" s="12"/>
      <c r="BF102" s="12"/>
      <c r="BG102" s="12"/>
      <c r="BH102" s="12"/>
      <c r="BI102" s="12"/>
      <c r="BJ102" s="12"/>
      <c r="BK102" s="12"/>
      <c r="BL102" s="12"/>
      <c r="BM102" s="12"/>
      <c r="BN102" s="12"/>
      <c r="BO102" s="12"/>
      <c r="BP102" s="12"/>
      <c r="BQ102" s="12"/>
      <c r="BR102" s="12"/>
      <c r="BS102" s="12"/>
      <c r="BT102" s="12"/>
      <c r="BU102" s="12"/>
      <c r="BV102" s="12"/>
      <c r="BW102" s="12"/>
      <c r="BX102" s="12"/>
      <c r="BY102" s="12"/>
      <c r="BZ102" s="12"/>
      <c r="CA102" s="12"/>
      <c r="CB102" s="12"/>
      <c r="CC102" s="12"/>
      <c r="CD102" s="12"/>
      <c r="CE102" s="12"/>
      <c r="CF102" s="12"/>
    </row>
    <row r="103" spans="1:84" x14ac:dyDescent="0.3">
      <c r="A103" s="12"/>
      <c r="B103" s="12"/>
      <c r="C103" s="12"/>
      <c r="D103" s="12"/>
      <c r="E103" s="12"/>
      <c r="F103" s="12"/>
      <c r="G103" s="12"/>
      <c r="H103" s="12"/>
      <c r="I103" s="12"/>
      <c r="J103" s="12"/>
      <c r="K103" s="12"/>
      <c r="L103" s="12"/>
      <c r="M103" s="12"/>
      <c r="N103" s="12"/>
      <c r="O103" s="12"/>
      <c r="P103" s="12"/>
      <c r="Q103" s="12"/>
      <c r="R103" s="12"/>
      <c r="S103" s="12"/>
      <c r="T103" s="12"/>
      <c r="U103" s="12"/>
      <c r="V103" s="12"/>
      <c r="W103" s="12"/>
      <c r="X103" s="12"/>
      <c r="Y103" s="12"/>
      <c r="Z103" s="12"/>
      <c r="AA103" s="12"/>
      <c r="AB103" s="12"/>
      <c r="AC103" s="12"/>
      <c r="AD103" s="12"/>
      <c r="AE103" s="12"/>
      <c r="AF103" s="12"/>
      <c r="AG103" s="12"/>
      <c r="AH103" s="12"/>
      <c r="AI103" s="12"/>
      <c r="AJ103" s="12"/>
      <c r="AK103" s="12"/>
      <c r="AL103" s="12"/>
      <c r="AM103" s="12"/>
      <c r="AN103" s="12"/>
      <c r="AO103" s="12"/>
      <c r="AP103" s="12"/>
      <c r="AQ103" s="12"/>
      <c r="AR103" s="12"/>
      <c r="AS103" s="12"/>
      <c r="AT103" s="12"/>
      <c r="AU103" s="12"/>
      <c r="AV103" s="12"/>
      <c r="AW103" s="12"/>
      <c r="AX103" s="12"/>
      <c r="AY103" s="12"/>
      <c r="AZ103" s="12"/>
      <c r="BA103" s="12"/>
      <c r="BB103" s="12"/>
      <c r="BC103" s="12"/>
      <c r="BD103" s="12"/>
      <c r="BE103" s="12"/>
      <c r="BF103" s="12"/>
      <c r="BG103" s="12"/>
      <c r="BH103" s="12"/>
      <c r="BI103" s="12"/>
      <c r="BJ103" s="12"/>
      <c r="BK103" s="12"/>
      <c r="BL103" s="12"/>
      <c r="BM103" s="12"/>
      <c r="BN103" s="12"/>
      <c r="BO103" s="12"/>
      <c r="BP103" s="12"/>
      <c r="BQ103" s="12"/>
      <c r="BR103" s="12"/>
      <c r="BS103" s="12"/>
      <c r="BT103" s="12"/>
      <c r="BU103" s="12"/>
      <c r="BV103" s="12"/>
      <c r="BW103" s="12"/>
      <c r="BX103" s="12"/>
      <c r="BY103" s="12"/>
      <c r="BZ103" s="12"/>
      <c r="CA103" s="12"/>
      <c r="CB103" s="12"/>
      <c r="CC103" s="12"/>
      <c r="CD103" s="12"/>
      <c r="CE103" s="12"/>
      <c r="CF103" s="12"/>
    </row>
    <row r="104" spans="1:84" x14ac:dyDescent="0.3">
      <c r="A104" s="12"/>
      <c r="B104" s="12"/>
      <c r="C104" s="12"/>
      <c r="D104" s="12"/>
      <c r="E104" s="12"/>
      <c r="F104" s="12"/>
      <c r="G104" s="12"/>
      <c r="H104" s="12"/>
      <c r="I104" s="12"/>
      <c r="J104" s="12"/>
      <c r="K104" s="12"/>
      <c r="L104" s="12"/>
      <c r="M104" s="12"/>
      <c r="N104" s="12"/>
      <c r="O104" s="12"/>
      <c r="P104" s="12"/>
      <c r="Q104" s="12"/>
      <c r="R104" s="12"/>
      <c r="S104" s="12"/>
      <c r="T104" s="12"/>
      <c r="U104" s="12"/>
      <c r="V104" s="12"/>
      <c r="W104" s="12"/>
      <c r="X104" s="12"/>
      <c r="Y104" s="12"/>
      <c r="Z104" s="12"/>
      <c r="AA104" s="12"/>
      <c r="AB104" s="12"/>
      <c r="AC104" s="12"/>
      <c r="AD104" s="12"/>
      <c r="AE104" s="12"/>
      <c r="AF104" s="12"/>
      <c r="AG104" s="12"/>
      <c r="AH104" s="12"/>
      <c r="AI104" s="12"/>
      <c r="AJ104" s="12"/>
      <c r="AK104" s="12"/>
      <c r="AL104" s="12"/>
      <c r="AM104" s="12"/>
      <c r="AN104" s="12"/>
      <c r="AO104" s="12"/>
      <c r="AP104" s="12"/>
      <c r="AQ104" s="12"/>
      <c r="AR104" s="12"/>
      <c r="AS104" s="12"/>
      <c r="AT104" s="12"/>
      <c r="AU104" s="12"/>
      <c r="AV104" s="12"/>
      <c r="AW104" s="12"/>
      <c r="AX104" s="12"/>
      <c r="AY104" s="12"/>
      <c r="AZ104" s="12"/>
      <c r="BA104" s="12"/>
      <c r="BB104" s="12"/>
      <c r="BC104" s="12"/>
      <c r="BD104" s="12"/>
      <c r="BE104" s="12"/>
      <c r="BF104" s="12"/>
      <c r="BG104" s="12"/>
      <c r="BH104" s="12"/>
      <c r="BI104" s="12"/>
      <c r="BJ104" s="12"/>
      <c r="BK104" s="12"/>
      <c r="BL104" s="12"/>
      <c r="BM104" s="12"/>
      <c r="BN104" s="12"/>
      <c r="BO104" s="12"/>
      <c r="BP104" s="12"/>
      <c r="BQ104" s="12"/>
      <c r="BR104" s="12"/>
      <c r="BS104" s="12"/>
      <c r="BT104" s="12"/>
      <c r="BU104" s="12"/>
      <c r="BV104" s="12"/>
      <c r="BW104" s="12"/>
      <c r="BX104" s="12"/>
      <c r="BY104" s="12"/>
      <c r="BZ104" s="12"/>
      <c r="CA104" s="12"/>
      <c r="CB104" s="12"/>
      <c r="CC104" s="12"/>
      <c r="CD104" s="12"/>
      <c r="CE104" s="12"/>
      <c r="CF104" s="12"/>
    </row>
    <row r="105" spans="1:84" x14ac:dyDescent="0.3">
      <c r="A105" s="12"/>
      <c r="B105" s="12"/>
      <c r="C105" s="12"/>
      <c r="D105" s="12"/>
      <c r="E105" s="12"/>
      <c r="F105" s="12"/>
      <c r="G105" s="12"/>
      <c r="H105" s="12"/>
      <c r="I105" s="12"/>
      <c r="J105" s="12"/>
      <c r="K105" s="12"/>
      <c r="L105" s="12"/>
      <c r="M105" s="12"/>
      <c r="N105" s="12"/>
      <c r="O105" s="12"/>
      <c r="P105" s="12"/>
      <c r="Q105" s="12"/>
      <c r="R105" s="12"/>
      <c r="S105" s="12"/>
      <c r="T105" s="12"/>
      <c r="U105" s="12"/>
      <c r="V105" s="12"/>
      <c r="W105" s="12"/>
      <c r="X105" s="12"/>
      <c r="Y105" s="12"/>
      <c r="Z105" s="12"/>
      <c r="AA105" s="12"/>
      <c r="AB105" s="12"/>
      <c r="AC105" s="12"/>
      <c r="AD105" s="12"/>
      <c r="AE105" s="12"/>
      <c r="AF105" s="12"/>
      <c r="AG105" s="12"/>
      <c r="AH105" s="12"/>
      <c r="AI105" s="12"/>
      <c r="AJ105" s="12"/>
      <c r="AK105" s="12"/>
      <c r="AL105" s="12"/>
      <c r="AM105" s="12"/>
      <c r="AN105" s="12"/>
      <c r="AO105" s="12"/>
      <c r="AP105" s="12"/>
      <c r="AQ105" s="12"/>
      <c r="AR105" s="12"/>
      <c r="AS105" s="12"/>
      <c r="AT105" s="12"/>
      <c r="AU105" s="12"/>
      <c r="AV105" s="12"/>
      <c r="AW105" s="12"/>
      <c r="AX105" s="12"/>
      <c r="AY105" s="12"/>
      <c r="AZ105" s="12"/>
      <c r="BA105" s="12"/>
      <c r="BB105" s="12"/>
      <c r="BC105" s="12"/>
      <c r="BD105" s="12"/>
      <c r="BE105" s="12"/>
      <c r="BF105" s="12"/>
      <c r="BG105" s="12"/>
      <c r="BH105" s="12"/>
      <c r="BI105" s="12"/>
      <c r="BJ105" s="12"/>
      <c r="BK105" s="12"/>
      <c r="BL105" s="12"/>
      <c r="BM105" s="12"/>
      <c r="BN105" s="12"/>
      <c r="BO105" s="12"/>
      <c r="BP105" s="12"/>
      <c r="BQ105" s="12"/>
      <c r="BR105" s="12"/>
      <c r="BS105" s="12"/>
      <c r="BT105" s="12"/>
      <c r="BU105" s="12"/>
      <c r="BV105" s="12"/>
      <c r="BW105" s="12"/>
      <c r="BX105" s="12"/>
      <c r="BY105" s="12"/>
      <c r="BZ105" s="12"/>
      <c r="CA105" s="12"/>
      <c r="CB105" s="12"/>
      <c r="CC105" s="12"/>
      <c r="CD105" s="12"/>
      <c r="CE105" s="12"/>
      <c r="CF105" s="12"/>
    </row>
    <row r="106" spans="1:84" x14ac:dyDescent="0.3">
      <c r="A106" s="12"/>
      <c r="B106" s="12"/>
      <c r="C106" s="12"/>
      <c r="D106" s="12"/>
      <c r="E106" s="12"/>
      <c r="F106" s="12"/>
      <c r="G106" s="12"/>
      <c r="H106" s="12"/>
      <c r="I106" s="12"/>
      <c r="J106" s="12"/>
      <c r="K106" s="12"/>
      <c r="L106" s="12"/>
      <c r="M106" s="12"/>
      <c r="N106" s="12"/>
      <c r="O106" s="12"/>
      <c r="P106" s="12"/>
      <c r="Q106" s="12"/>
      <c r="R106" s="12"/>
      <c r="S106" s="12"/>
      <c r="T106" s="12"/>
      <c r="U106" s="12"/>
      <c r="V106" s="12"/>
      <c r="W106" s="12"/>
      <c r="X106" s="12"/>
      <c r="Y106" s="12"/>
      <c r="Z106" s="12"/>
      <c r="AA106" s="12"/>
      <c r="AB106" s="12"/>
      <c r="AC106" s="12"/>
      <c r="AD106" s="12"/>
      <c r="AE106" s="12"/>
      <c r="AF106" s="12"/>
      <c r="AG106" s="12"/>
      <c r="AH106" s="12"/>
      <c r="AI106" s="12"/>
      <c r="AJ106" s="12"/>
      <c r="AK106" s="12"/>
      <c r="AL106" s="12"/>
      <c r="AM106" s="12"/>
      <c r="AN106" s="12"/>
      <c r="AO106" s="12"/>
      <c r="AP106" s="12"/>
      <c r="AQ106" s="12"/>
      <c r="AR106" s="12"/>
      <c r="AS106" s="12"/>
      <c r="AT106" s="12"/>
      <c r="AU106" s="12"/>
      <c r="AV106" s="12"/>
      <c r="AW106" s="12"/>
      <c r="AX106" s="12"/>
      <c r="AY106" s="12"/>
      <c r="AZ106" s="12"/>
      <c r="BA106" s="12"/>
      <c r="BB106" s="12"/>
      <c r="BC106" s="12"/>
      <c r="BD106" s="12"/>
      <c r="BE106" s="12"/>
      <c r="BF106" s="12"/>
      <c r="BG106" s="12"/>
      <c r="BH106" s="12"/>
      <c r="BI106" s="12"/>
      <c r="BJ106" s="12"/>
      <c r="BK106" s="12"/>
      <c r="BL106" s="12"/>
      <c r="BM106" s="12"/>
      <c r="BN106" s="12"/>
      <c r="BO106" s="12"/>
      <c r="BP106" s="12"/>
      <c r="BQ106" s="12"/>
      <c r="BR106" s="12"/>
      <c r="BS106" s="12"/>
      <c r="BT106" s="12"/>
      <c r="BU106" s="12"/>
      <c r="BV106" s="12"/>
      <c r="BW106" s="12"/>
      <c r="BX106" s="12"/>
      <c r="BY106" s="12"/>
      <c r="BZ106" s="12"/>
      <c r="CA106" s="12"/>
      <c r="CB106" s="12"/>
      <c r="CC106" s="12"/>
      <c r="CD106" s="12"/>
      <c r="CE106" s="12"/>
      <c r="CF106" s="12"/>
    </row>
    <row r="107" spans="1:84" x14ac:dyDescent="0.3">
      <c r="A107" s="12"/>
      <c r="B107" s="12"/>
      <c r="C107" s="12"/>
      <c r="D107" s="12"/>
      <c r="E107" s="12"/>
      <c r="F107" s="12"/>
      <c r="G107" s="12"/>
      <c r="H107" s="12"/>
      <c r="I107" s="12"/>
      <c r="J107" s="12"/>
      <c r="K107" s="12"/>
      <c r="L107" s="12"/>
      <c r="M107" s="12"/>
      <c r="N107" s="12"/>
      <c r="O107" s="12"/>
      <c r="P107" s="12"/>
      <c r="Q107" s="12"/>
      <c r="R107" s="12"/>
      <c r="S107" s="12"/>
      <c r="T107" s="12"/>
      <c r="U107" s="12"/>
      <c r="V107" s="12"/>
      <c r="W107" s="12"/>
      <c r="X107" s="12"/>
      <c r="Y107" s="12"/>
      <c r="Z107" s="12"/>
      <c r="AA107" s="12"/>
      <c r="AB107" s="12"/>
      <c r="AC107" s="12"/>
      <c r="AD107" s="12"/>
      <c r="AE107" s="12"/>
      <c r="AF107" s="12"/>
      <c r="AG107" s="12"/>
      <c r="AH107" s="12"/>
      <c r="AI107" s="12"/>
      <c r="AJ107" s="12"/>
      <c r="AK107" s="12"/>
      <c r="AL107" s="12"/>
      <c r="AM107" s="12"/>
      <c r="AN107" s="12"/>
      <c r="AO107" s="12"/>
      <c r="AP107" s="12"/>
      <c r="AQ107" s="12"/>
      <c r="AR107" s="12"/>
      <c r="AS107" s="12"/>
      <c r="AT107" s="12"/>
      <c r="AU107" s="12"/>
      <c r="AV107" s="12"/>
      <c r="AW107" s="12"/>
      <c r="AX107" s="12"/>
      <c r="AY107" s="12"/>
      <c r="AZ107" s="12"/>
      <c r="BA107" s="12"/>
      <c r="BB107" s="12"/>
      <c r="BC107" s="12"/>
      <c r="BD107" s="12"/>
      <c r="BE107" s="12"/>
      <c r="BF107" s="12"/>
      <c r="BG107" s="12"/>
      <c r="BH107" s="12"/>
      <c r="BI107" s="12"/>
      <c r="BJ107" s="12"/>
      <c r="BK107" s="12"/>
      <c r="BL107" s="12"/>
      <c r="BM107" s="12"/>
      <c r="BN107" s="12"/>
      <c r="BO107" s="12"/>
      <c r="BP107" s="12"/>
      <c r="BQ107" s="12"/>
      <c r="BR107" s="12"/>
      <c r="BS107" s="12"/>
      <c r="BT107" s="12"/>
      <c r="BU107" s="12"/>
      <c r="BV107" s="12"/>
      <c r="BW107" s="12"/>
      <c r="BX107" s="12"/>
      <c r="BY107" s="12"/>
      <c r="BZ107" s="12"/>
      <c r="CA107" s="12"/>
      <c r="CB107" s="12"/>
      <c r="CC107" s="12"/>
      <c r="CD107" s="12"/>
      <c r="CE107" s="12"/>
      <c r="CF107" s="12"/>
    </row>
    <row r="108" spans="1:84" x14ac:dyDescent="0.3">
      <c r="A108" s="12"/>
      <c r="B108" s="12"/>
      <c r="C108" s="12"/>
      <c r="D108" s="12"/>
      <c r="E108" s="12"/>
      <c r="F108" s="12"/>
      <c r="G108" s="12"/>
      <c r="H108" s="12"/>
      <c r="I108" s="12"/>
      <c r="J108" s="12"/>
      <c r="K108" s="12"/>
      <c r="L108" s="12"/>
      <c r="M108" s="12"/>
      <c r="N108" s="12"/>
      <c r="O108" s="12"/>
      <c r="P108" s="12"/>
      <c r="Q108" s="12"/>
      <c r="R108" s="12"/>
      <c r="S108" s="12"/>
      <c r="T108" s="12"/>
      <c r="U108" s="12"/>
      <c r="V108" s="12"/>
      <c r="W108" s="12"/>
      <c r="X108" s="12"/>
      <c r="Y108" s="12"/>
      <c r="Z108" s="12"/>
      <c r="AA108" s="12"/>
      <c r="AB108" s="12"/>
      <c r="AC108" s="12"/>
      <c r="AD108" s="12"/>
      <c r="AE108" s="12"/>
      <c r="AF108" s="12"/>
      <c r="AG108" s="12"/>
      <c r="AH108" s="12"/>
      <c r="AI108" s="12"/>
      <c r="AJ108" s="12"/>
      <c r="AK108" s="12"/>
      <c r="AL108" s="12"/>
      <c r="AM108" s="12"/>
      <c r="AN108" s="12"/>
      <c r="AO108" s="12"/>
      <c r="AP108" s="12"/>
      <c r="AQ108" s="12"/>
      <c r="AR108" s="12"/>
      <c r="AS108" s="12"/>
      <c r="AT108" s="12"/>
      <c r="AU108" s="12"/>
      <c r="AV108" s="12"/>
      <c r="AW108" s="12"/>
      <c r="AX108" s="12"/>
      <c r="AY108" s="12"/>
      <c r="AZ108" s="12"/>
      <c r="BA108" s="12"/>
      <c r="BB108" s="12"/>
      <c r="BC108" s="12"/>
      <c r="BD108" s="12"/>
      <c r="BE108" s="12"/>
      <c r="BF108" s="12"/>
      <c r="BG108" s="12"/>
      <c r="BH108" s="12"/>
      <c r="BI108" s="12"/>
      <c r="BJ108" s="12"/>
      <c r="BK108" s="12"/>
      <c r="BL108" s="12"/>
      <c r="BM108" s="12"/>
      <c r="BN108" s="12"/>
      <c r="BO108" s="12"/>
      <c r="BP108" s="12"/>
      <c r="BQ108" s="12"/>
      <c r="BR108" s="12"/>
      <c r="BS108" s="12"/>
      <c r="BT108" s="12"/>
      <c r="BU108" s="12"/>
      <c r="BV108" s="12"/>
      <c r="BW108" s="12"/>
      <c r="BX108" s="12"/>
      <c r="BY108" s="12"/>
      <c r="BZ108" s="12"/>
      <c r="CA108" s="12"/>
      <c r="CB108" s="12"/>
      <c r="CC108" s="12"/>
      <c r="CD108" s="12"/>
      <c r="CE108" s="12"/>
      <c r="CF108" s="12"/>
    </row>
    <row r="109" spans="1:84" x14ac:dyDescent="0.3">
      <c r="A109" s="12"/>
      <c r="B109" s="12"/>
      <c r="C109" s="12"/>
      <c r="D109" s="12"/>
      <c r="E109" s="12"/>
      <c r="F109" s="12"/>
      <c r="G109" s="12"/>
      <c r="H109" s="12"/>
      <c r="I109" s="12"/>
      <c r="J109" s="12"/>
      <c r="K109" s="12"/>
      <c r="L109" s="12"/>
      <c r="M109" s="12"/>
      <c r="N109" s="12"/>
      <c r="O109" s="12"/>
      <c r="P109" s="12"/>
      <c r="Q109" s="12"/>
      <c r="R109" s="12"/>
      <c r="S109" s="12"/>
      <c r="T109" s="12"/>
      <c r="U109" s="12"/>
      <c r="V109" s="12"/>
      <c r="W109" s="12"/>
      <c r="X109" s="12"/>
      <c r="Y109" s="12"/>
      <c r="Z109" s="12"/>
      <c r="AA109" s="12"/>
      <c r="AB109" s="12"/>
      <c r="AC109" s="12"/>
      <c r="AD109" s="12"/>
      <c r="AE109" s="12"/>
      <c r="AF109" s="12"/>
      <c r="AG109" s="12"/>
      <c r="AH109" s="12"/>
      <c r="AI109" s="12"/>
      <c r="AJ109" s="12"/>
      <c r="AK109" s="12"/>
      <c r="AL109" s="12"/>
      <c r="AM109" s="12"/>
      <c r="AN109" s="12"/>
      <c r="AO109" s="12"/>
      <c r="AP109" s="12"/>
      <c r="AQ109" s="12"/>
      <c r="AR109" s="12"/>
      <c r="AS109" s="12"/>
      <c r="AT109" s="12"/>
      <c r="AU109" s="12"/>
      <c r="AV109" s="12"/>
      <c r="AW109" s="12"/>
      <c r="AX109" s="12"/>
      <c r="AY109" s="12"/>
      <c r="AZ109" s="12"/>
      <c r="BA109" s="12"/>
      <c r="BB109" s="12"/>
      <c r="BC109" s="12"/>
      <c r="BD109" s="12"/>
      <c r="BE109" s="12"/>
      <c r="BF109" s="12"/>
      <c r="BG109" s="12"/>
      <c r="BH109" s="12"/>
      <c r="BI109" s="12"/>
      <c r="BJ109" s="12"/>
      <c r="BK109" s="12"/>
      <c r="BL109" s="12"/>
      <c r="BM109" s="12"/>
      <c r="BN109" s="12"/>
      <c r="BO109" s="12"/>
      <c r="BP109" s="12"/>
      <c r="BQ109" s="12"/>
      <c r="BR109" s="12"/>
      <c r="BS109" s="12"/>
      <c r="BT109" s="12"/>
      <c r="BU109" s="12"/>
      <c r="BV109" s="12"/>
      <c r="BW109" s="12"/>
      <c r="BX109" s="12"/>
      <c r="BY109" s="12"/>
      <c r="BZ109" s="12"/>
      <c r="CA109" s="12"/>
      <c r="CB109" s="12"/>
      <c r="CC109" s="12"/>
      <c r="CD109" s="12"/>
      <c r="CE109" s="12"/>
      <c r="CF109" s="12"/>
    </row>
    <row r="110" spans="1:84" x14ac:dyDescent="0.3">
      <c r="A110" s="12"/>
      <c r="B110" s="12"/>
      <c r="C110" s="12"/>
      <c r="D110" s="12"/>
      <c r="E110" s="12"/>
      <c r="F110" s="12"/>
      <c r="G110" s="12"/>
      <c r="H110" s="12"/>
      <c r="I110" s="12"/>
      <c r="J110" s="12"/>
      <c r="K110" s="12"/>
      <c r="L110" s="12"/>
      <c r="M110" s="12"/>
      <c r="N110" s="12"/>
      <c r="O110" s="12"/>
      <c r="P110" s="12"/>
      <c r="Q110" s="12"/>
      <c r="R110" s="12"/>
      <c r="S110" s="12"/>
      <c r="T110" s="12"/>
      <c r="U110" s="12"/>
      <c r="V110" s="12"/>
      <c r="W110" s="12"/>
      <c r="X110" s="12"/>
      <c r="Y110" s="12"/>
      <c r="Z110" s="12"/>
      <c r="AA110" s="12"/>
      <c r="AB110" s="12"/>
      <c r="AC110" s="12"/>
      <c r="AD110" s="12"/>
      <c r="AE110" s="12"/>
      <c r="AF110" s="12"/>
      <c r="AG110" s="12"/>
      <c r="AH110" s="12"/>
      <c r="AI110" s="12"/>
      <c r="AJ110" s="12"/>
      <c r="AK110" s="12"/>
      <c r="AL110" s="12"/>
      <c r="AM110" s="12"/>
      <c r="AN110" s="12"/>
      <c r="AO110" s="12"/>
      <c r="AP110" s="12"/>
      <c r="AQ110" s="12"/>
      <c r="AR110" s="12"/>
      <c r="AS110" s="12"/>
      <c r="AT110" s="12"/>
      <c r="AU110" s="12"/>
      <c r="AV110" s="12"/>
      <c r="AW110" s="12"/>
      <c r="AX110" s="12"/>
      <c r="AY110" s="12"/>
      <c r="AZ110" s="12"/>
      <c r="BA110" s="12"/>
      <c r="BB110" s="12"/>
      <c r="BC110" s="12"/>
      <c r="BD110" s="12"/>
      <c r="BE110" s="12"/>
      <c r="BF110" s="12"/>
      <c r="BG110" s="12"/>
      <c r="BH110" s="12"/>
      <c r="BI110" s="12"/>
      <c r="BJ110" s="12"/>
      <c r="BK110" s="12"/>
      <c r="BL110" s="12"/>
      <c r="BM110" s="12"/>
      <c r="BN110" s="12"/>
      <c r="BO110" s="12"/>
      <c r="BP110" s="12"/>
      <c r="BQ110" s="12"/>
      <c r="BR110" s="12"/>
      <c r="BS110" s="12"/>
      <c r="BT110" s="12"/>
      <c r="BU110" s="12"/>
      <c r="BV110" s="12"/>
      <c r="BW110" s="12"/>
      <c r="BX110" s="12"/>
      <c r="BY110" s="12"/>
      <c r="BZ110" s="12"/>
      <c r="CA110" s="12"/>
      <c r="CB110" s="12"/>
      <c r="CC110" s="12"/>
      <c r="CD110" s="12"/>
      <c r="CE110" s="12"/>
      <c r="CF110" s="12"/>
    </row>
    <row r="111" spans="1:84" x14ac:dyDescent="0.3">
      <c r="A111" s="12"/>
      <c r="B111" s="12"/>
      <c r="C111" s="12"/>
      <c r="D111" s="12"/>
      <c r="E111" s="12"/>
      <c r="F111" s="12"/>
      <c r="G111" s="12"/>
      <c r="H111" s="12"/>
      <c r="I111" s="12"/>
      <c r="J111" s="12"/>
      <c r="K111" s="12"/>
      <c r="L111" s="12"/>
      <c r="M111" s="12"/>
      <c r="N111" s="12"/>
      <c r="O111" s="12"/>
      <c r="P111" s="12"/>
      <c r="Q111" s="12"/>
      <c r="R111" s="12"/>
      <c r="S111" s="12"/>
      <c r="T111" s="12"/>
      <c r="U111" s="12"/>
      <c r="V111" s="12"/>
      <c r="W111" s="12"/>
      <c r="X111" s="12"/>
      <c r="Y111" s="12"/>
      <c r="Z111" s="12"/>
      <c r="AA111" s="12"/>
      <c r="AB111" s="12"/>
      <c r="AC111" s="12"/>
      <c r="AD111" s="12"/>
      <c r="AE111" s="12"/>
      <c r="AF111" s="12"/>
      <c r="AG111" s="12"/>
      <c r="AH111" s="12"/>
      <c r="AI111" s="12"/>
      <c r="AJ111" s="12"/>
      <c r="AK111" s="12"/>
      <c r="AL111" s="12"/>
      <c r="AM111" s="12"/>
      <c r="AN111" s="12"/>
      <c r="AO111" s="12"/>
      <c r="AP111" s="12"/>
      <c r="AQ111" s="12"/>
      <c r="AR111" s="12"/>
      <c r="AS111" s="12"/>
      <c r="AT111" s="12"/>
      <c r="AU111" s="12"/>
      <c r="AV111" s="12"/>
      <c r="AW111" s="12"/>
      <c r="AX111" s="12"/>
      <c r="AY111" s="12"/>
      <c r="AZ111" s="12"/>
      <c r="BA111" s="12"/>
      <c r="BB111" s="12"/>
      <c r="BC111" s="12"/>
      <c r="BD111" s="12"/>
      <c r="BE111" s="12"/>
      <c r="BF111" s="12"/>
      <c r="BG111" s="12"/>
      <c r="BH111" s="12"/>
      <c r="BI111" s="12"/>
      <c r="BJ111" s="12"/>
      <c r="BK111" s="12"/>
      <c r="BL111" s="12"/>
      <c r="BM111" s="12"/>
      <c r="BN111" s="12"/>
      <c r="BO111" s="12"/>
      <c r="BP111" s="12"/>
      <c r="BQ111" s="12"/>
      <c r="BR111" s="12"/>
      <c r="BS111" s="12"/>
      <c r="BT111" s="12"/>
      <c r="BU111" s="12"/>
      <c r="BV111" s="12"/>
      <c r="BW111" s="12"/>
      <c r="BX111" s="12"/>
      <c r="BY111" s="12"/>
      <c r="BZ111" s="12"/>
      <c r="CA111" s="12"/>
      <c r="CB111" s="12"/>
      <c r="CC111" s="12"/>
      <c r="CD111" s="12"/>
      <c r="CE111" s="12"/>
      <c r="CF111" s="12"/>
    </row>
    <row r="112" spans="1:84" x14ac:dyDescent="0.3">
      <c r="A112" s="12"/>
      <c r="B112" s="12"/>
      <c r="C112" s="12"/>
      <c r="D112" s="12"/>
      <c r="E112" s="12"/>
      <c r="F112" s="12"/>
      <c r="G112" s="12"/>
      <c r="H112" s="12"/>
      <c r="I112" s="12"/>
      <c r="J112" s="12"/>
      <c r="K112" s="12"/>
      <c r="L112" s="12"/>
      <c r="M112" s="12"/>
      <c r="N112" s="12"/>
      <c r="O112" s="12"/>
      <c r="P112" s="12"/>
      <c r="Q112" s="12"/>
      <c r="R112" s="12"/>
      <c r="S112" s="12"/>
      <c r="T112" s="12"/>
      <c r="U112" s="12"/>
      <c r="V112" s="12"/>
      <c r="W112" s="12"/>
      <c r="X112" s="12"/>
      <c r="Y112" s="12"/>
      <c r="Z112" s="12"/>
      <c r="AA112" s="12"/>
      <c r="AB112" s="12"/>
      <c r="AC112" s="12"/>
      <c r="AD112" s="12"/>
      <c r="AE112" s="12"/>
      <c r="AF112" s="12"/>
      <c r="AG112" s="12"/>
      <c r="AH112" s="12"/>
      <c r="AI112" s="12"/>
      <c r="AJ112" s="12"/>
      <c r="AK112" s="12"/>
      <c r="AL112" s="12"/>
      <c r="AM112" s="12"/>
      <c r="AN112" s="12"/>
      <c r="AO112" s="12"/>
      <c r="AP112" s="12"/>
      <c r="AQ112" s="12"/>
      <c r="AR112" s="12"/>
      <c r="AS112" s="12"/>
      <c r="AT112" s="12"/>
      <c r="AU112" s="12"/>
      <c r="AV112" s="12"/>
      <c r="AW112" s="12"/>
      <c r="AX112" s="12"/>
      <c r="AY112" s="12"/>
      <c r="AZ112" s="12"/>
      <c r="BA112" s="12"/>
      <c r="BB112" s="12"/>
      <c r="BC112" s="12"/>
      <c r="BD112" s="12"/>
      <c r="BE112" s="12"/>
      <c r="BF112" s="12"/>
      <c r="BG112" s="12"/>
      <c r="BH112" s="12"/>
      <c r="BI112" s="12"/>
      <c r="BJ112" s="12"/>
      <c r="BK112" s="12"/>
      <c r="BL112" s="12"/>
      <c r="BM112" s="12"/>
      <c r="BN112" s="12"/>
      <c r="BO112" s="12"/>
      <c r="BP112" s="12"/>
      <c r="BQ112" s="12"/>
      <c r="BR112" s="12"/>
      <c r="BS112" s="12"/>
      <c r="BT112" s="12"/>
      <c r="BU112" s="12"/>
      <c r="BV112" s="12"/>
      <c r="BW112" s="12"/>
      <c r="BX112" s="12"/>
      <c r="BY112" s="12"/>
      <c r="BZ112" s="12"/>
      <c r="CA112" s="12"/>
      <c r="CB112" s="12"/>
      <c r="CC112" s="12"/>
      <c r="CD112" s="12"/>
      <c r="CE112" s="12"/>
      <c r="CF112" s="12"/>
    </row>
    <row r="113" spans="1:84" x14ac:dyDescent="0.3">
      <c r="A113" s="12"/>
      <c r="B113" s="12"/>
      <c r="C113" s="12"/>
      <c r="D113" s="12"/>
      <c r="E113" s="12"/>
      <c r="F113" s="12"/>
      <c r="G113" s="12"/>
      <c r="H113" s="12"/>
      <c r="I113" s="12"/>
      <c r="J113" s="12"/>
      <c r="K113" s="12"/>
      <c r="L113" s="12"/>
      <c r="M113" s="12"/>
      <c r="N113" s="12"/>
      <c r="O113" s="12"/>
      <c r="P113" s="12"/>
      <c r="Q113" s="12"/>
      <c r="R113" s="12"/>
      <c r="S113" s="12"/>
      <c r="T113" s="12"/>
      <c r="U113" s="12"/>
      <c r="V113" s="12"/>
      <c r="W113" s="12"/>
      <c r="X113" s="12"/>
      <c r="Y113" s="12"/>
      <c r="Z113" s="12"/>
      <c r="AA113" s="12"/>
      <c r="AB113" s="12"/>
      <c r="AC113" s="12"/>
      <c r="AD113" s="12"/>
      <c r="AE113" s="12"/>
      <c r="AF113" s="12"/>
      <c r="AG113" s="12"/>
      <c r="AH113" s="12"/>
      <c r="AI113" s="12"/>
      <c r="AJ113" s="12"/>
      <c r="AK113" s="12"/>
      <c r="AL113" s="12"/>
      <c r="AM113" s="12"/>
      <c r="AN113" s="12"/>
      <c r="AO113" s="12"/>
      <c r="AP113" s="12"/>
      <c r="AQ113" s="12"/>
      <c r="AR113" s="12"/>
      <c r="AS113" s="12"/>
      <c r="AT113" s="12"/>
      <c r="AU113" s="12"/>
      <c r="AV113" s="12"/>
      <c r="AW113" s="12"/>
      <c r="AX113" s="12"/>
      <c r="AY113" s="12"/>
      <c r="AZ113" s="12"/>
      <c r="BA113" s="12"/>
      <c r="BB113" s="12"/>
      <c r="BC113" s="12"/>
      <c r="BD113" s="12"/>
      <c r="BE113" s="12"/>
      <c r="BF113" s="12"/>
      <c r="BG113" s="12"/>
      <c r="BH113" s="12"/>
      <c r="BI113" s="12"/>
      <c r="BJ113" s="12"/>
      <c r="BK113" s="12"/>
      <c r="BL113" s="12"/>
      <c r="BM113" s="12"/>
      <c r="BN113" s="12"/>
      <c r="BO113" s="12"/>
      <c r="BP113" s="12"/>
      <c r="BQ113" s="12"/>
      <c r="BR113" s="12"/>
      <c r="BS113" s="12"/>
      <c r="BT113" s="12"/>
      <c r="BU113" s="12"/>
      <c r="BV113" s="12"/>
      <c r="BW113" s="12"/>
      <c r="BX113" s="12"/>
      <c r="BY113" s="12"/>
      <c r="BZ113" s="12"/>
      <c r="CA113" s="12"/>
      <c r="CB113" s="12"/>
      <c r="CC113" s="12"/>
      <c r="CD113" s="12"/>
      <c r="CE113" s="12"/>
      <c r="CF113" s="12"/>
    </row>
    <row r="114" spans="1:84" x14ac:dyDescent="0.3">
      <c r="A114" s="12"/>
      <c r="B114" s="12"/>
      <c r="C114" s="12"/>
      <c r="D114" s="12"/>
      <c r="E114" s="12"/>
      <c r="F114" s="12"/>
      <c r="G114" s="12"/>
      <c r="H114" s="12"/>
      <c r="I114" s="12"/>
      <c r="J114" s="12"/>
      <c r="K114" s="12"/>
      <c r="L114" s="12"/>
      <c r="M114" s="12"/>
      <c r="N114" s="12"/>
      <c r="O114" s="12"/>
      <c r="P114" s="12"/>
      <c r="Q114" s="12"/>
      <c r="R114" s="12"/>
      <c r="S114" s="12"/>
      <c r="T114" s="12"/>
      <c r="U114" s="12"/>
      <c r="V114" s="12"/>
      <c r="W114" s="12"/>
      <c r="X114" s="12"/>
      <c r="Y114" s="12"/>
      <c r="Z114" s="12"/>
      <c r="AA114" s="12"/>
      <c r="AB114" s="12"/>
      <c r="AC114" s="12"/>
      <c r="AD114" s="12"/>
      <c r="AE114" s="12"/>
      <c r="AF114" s="12"/>
      <c r="AG114" s="12"/>
      <c r="AH114" s="12"/>
      <c r="AI114" s="12"/>
      <c r="AJ114" s="12"/>
      <c r="AK114" s="12"/>
      <c r="AL114" s="12"/>
      <c r="AM114" s="12"/>
      <c r="AN114" s="12"/>
      <c r="AO114" s="12"/>
      <c r="AP114" s="12"/>
      <c r="AQ114" s="12"/>
      <c r="AR114" s="12"/>
      <c r="AS114" s="12"/>
      <c r="AT114" s="12"/>
      <c r="AU114" s="12"/>
      <c r="AV114" s="12"/>
      <c r="AW114" s="12"/>
      <c r="AX114" s="12"/>
      <c r="AY114" s="12"/>
      <c r="AZ114" s="12"/>
      <c r="BA114" s="12"/>
      <c r="BB114" s="12"/>
      <c r="BC114" s="12"/>
      <c r="BD114" s="12"/>
      <c r="BE114" s="12"/>
      <c r="BF114" s="12"/>
      <c r="BG114" s="12"/>
      <c r="BH114" s="12"/>
      <c r="BI114" s="12"/>
      <c r="BJ114" s="12"/>
      <c r="BK114" s="12"/>
      <c r="BL114" s="12"/>
      <c r="BM114" s="12"/>
      <c r="BN114" s="12"/>
      <c r="BO114" s="12"/>
      <c r="BP114" s="12"/>
      <c r="BQ114" s="12"/>
      <c r="BR114" s="12"/>
      <c r="BS114" s="12"/>
      <c r="BT114" s="12"/>
      <c r="BU114" s="12"/>
      <c r="BV114" s="12"/>
      <c r="BW114" s="12"/>
      <c r="BX114" s="12"/>
      <c r="BY114" s="12"/>
      <c r="BZ114" s="12"/>
      <c r="CA114" s="12"/>
      <c r="CB114" s="12"/>
      <c r="CC114" s="12"/>
      <c r="CD114" s="12"/>
      <c r="CE114" s="12"/>
      <c r="CF114" s="12"/>
    </row>
    <row r="115" spans="1:84" x14ac:dyDescent="0.3">
      <c r="A115" s="12"/>
      <c r="B115" s="12"/>
      <c r="C115" s="12"/>
      <c r="D115" s="12"/>
      <c r="E115" s="12"/>
      <c r="F115" s="12"/>
      <c r="G115" s="12"/>
      <c r="H115" s="12"/>
      <c r="I115" s="12"/>
      <c r="J115" s="12"/>
      <c r="K115" s="12"/>
      <c r="L115" s="12"/>
      <c r="M115" s="12"/>
      <c r="N115" s="12"/>
      <c r="O115" s="12"/>
      <c r="P115" s="12"/>
      <c r="Q115" s="12"/>
      <c r="R115" s="12"/>
      <c r="S115" s="12"/>
      <c r="T115" s="12"/>
      <c r="U115" s="12"/>
      <c r="V115" s="12"/>
      <c r="W115" s="12"/>
      <c r="X115" s="12"/>
      <c r="Y115" s="12"/>
      <c r="Z115" s="12"/>
      <c r="AA115" s="12"/>
      <c r="AB115" s="12"/>
      <c r="AC115" s="12"/>
      <c r="AD115" s="12"/>
      <c r="AE115" s="12"/>
      <c r="AF115" s="12"/>
      <c r="AG115" s="12"/>
      <c r="AH115" s="12"/>
      <c r="AI115" s="12"/>
      <c r="AJ115" s="12"/>
      <c r="AK115" s="12"/>
      <c r="AL115" s="12"/>
      <c r="AM115" s="12"/>
      <c r="AN115" s="12"/>
      <c r="AO115" s="12"/>
      <c r="AP115" s="12"/>
      <c r="AQ115" s="12"/>
      <c r="AR115" s="12"/>
      <c r="AS115" s="12"/>
      <c r="AT115" s="12"/>
      <c r="AU115" s="12"/>
      <c r="AV115" s="12"/>
      <c r="AW115" s="12"/>
      <c r="AX115" s="12"/>
      <c r="AY115" s="12"/>
      <c r="AZ115" s="12"/>
      <c r="BA115" s="12"/>
      <c r="BB115" s="12"/>
      <c r="BC115" s="12"/>
      <c r="BD115" s="12"/>
      <c r="BE115" s="12"/>
      <c r="BF115" s="12"/>
      <c r="BG115" s="12"/>
      <c r="BH115" s="12"/>
      <c r="BI115" s="12"/>
      <c r="BJ115" s="12"/>
      <c r="BK115" s="12"/>
      <c r="BL115" s="12"/>
      <c r="BM115" s="12"/>
      <c r="BN115" s="12"/>
      <c r="BO115" s="12"/>
      <c r="BP115" s="12"/>
      <c r="BQ115" s="12"/>
      <c r="BR115" s="12"/>
      <c r="BS115" s="12"/>
      <c r="BT115" s="12"/>
      <c r="BU115" s="12"/>
      <c r="BV115" s="12"/>
      <c r="BW115" s="12"/>
      <c r="BX115" s="12"/>
      <c r="BY115" s="12"/>
      <c r="BZ115" s="12"/>
      <c r="CA115" s="12"/>
      <c r="CB115" s="12"/>
      <c r="CC115" s="12"/>
      <c r="CD115" s="12"/>
      <c r="CE115" s="12"/>
      <c r="CF115" s="12"/>
    </row>
    <row r="116" spans="1:84" x14ac:dyDescent="0.3">
      <c r="A116" s="12"/>
      <c r="B116" s="12"/>
      <c r="C116" s="12"/>
      <c r="D116" s="12"/>
      <c r="E116" s="12"/>
      <c r="F116" s="12"/>
      <c r="G116" s="12"/>
      <c r="H116" s="12"/>
      <c r="I116" s="12"/>
      <c r="J116" s="12"/>
      <c r="K116" s="12"/>
      <c r="L116" s="12"/>
      <c r="M116" s="12"/>
      <c r="N116" s="12"/>
      <c r="O116" s="12"/>
      <c r="P116" s="12"/>
      <c r="Q116" s="12"/>
      <c r="R116" s="12"/>
      <c r="S116" s="12"/>
      <c r="T116" s="12"/>
      <c r="U116" s="12"/>
      <c r="V116" s="12"/>
      <c r="W116" s="12"/>
      <c r="X116" s="12"/>
      <c r="Y116" s="12"/>
      <c r="Z116" s="12"/>
      <c r="AA116" s="12"/>
      <c r="AB116" s="12"/>
      <c r="AC116" s="12"/>
      <c r="AD116" s="12"/>
      <c r="AE116" s="12"/>
      <c r="AF116" s="12"/>
      <c r="AG116" s="12"/>
      <c r="AH116" s="12"/>
      <c r="AI116" s="12"/>
      <c r="AJ116" s="12"/>
      <c r="AK116" s="12"/>
      <c r="AL116" s="12"/>
      <c r="AM116" s="12"/>
      <c r="AN116" s="12"/>
      <c r="AO116" s="12"/>
      <c r="AP116" s="12"/>
      <c r="AQ116" s="12"/>
      <c r="AR116" s="12"/>
      <c r="AS116" s="12"/>
      <c r="AT116" s="12"/>
      <c r="AU116" s="12"/>
      <c r="AV116" s="12"/>
      <c r="AW116" s="12"/>
      <c r="AX116" s="12"/>
      <c r="AY116" s="12"/>
      <c r="AZ116" s="12"/>
      <c r="BA116" s="12"/>
      <c r="BB116" s="12"/>
      <c r="BC116" s="12"/>
      <c r="BD116" s="12"/>
      <c r="BE116" s="12"/>
      <c r="BF116" s="12"/>
      <c r="BG116" s="12"/>
      <c r="BH116" s="12"/>
      <c r="BI116" s="12"/>
      <c r="BJ116" s="12"/>
      <c r="BK116" s="12"/>
      <c r="BL116" s="12"/>
      <c r="BM116" s="12"/>
      <c r="BN116" s="12"/>
      <c r="BO116" s="12"/>
      <c r="BP116" s="12"/>
      <c r="BQ116" s="12"/>
      <c r="BR116" s="12"/>
      <c r="BS116" s="12"/>
      <c r="BT116" s="12"/>
      <c r="BU116" s="12"/>
      <c r="BV116" s="12"/>
      <c r="BW116" s="12"/>
      <c r="BX116" s="12"/>
      <c r="BY116" s="12"/>
      <c r="BZ116" s="12"/>
      <c r="CA116" s="12"/>
      <c r="CB116" s="12"/>
      <c r="CC116" s="12"/>
      <c r="CD116" s="12"/>
      <c r="CE116" s="12"/>
      <c r="CF116" s="12"/>
    </row>
    <row r="117" spans="1:84" x14ac:dyDescent="0.3">
      <c r="A117" s="12"/>
      <c r="B117" s="12"/>
      <c r="C117" s="12"/>
      <c r="D117" s="12"/>
      <c r="E117" s="12"/>
      <c r="F117" s="12"/>
      <c r="G117" s="12"/>
      <c r="H117" s="12"/>
      <c r="I117" s="12"/>
      <c r="J117" s="12"/>
      <c r="K117" s="12"/>
      <c r="L117" s="12"/>
      <c r="M117" s="12"/>
      <c r="N117" s="12"/>
      <c r="O117" s="12"/>
      <c r="P117" s="12"/>
      <c r="Q117" s="12"/>
      <c r="R117" s="12"/>
      <c r="S117" s="12"/>
      <c r="T117" s="12"/>
      <c r="U117" s="12"/>
      <c r="V117" s="12"/>
      <c r="W117" s="12"/>
      <c r="X117" s="12"/>
      <c r="Y117" s="12"/>
      <c r="Z117" s="12"/>
      <c r="AA117" s="12"/>
      <c r="AB117" s="12"/>
      <c r="AC117" s="12"/>
      <c r="AD117" s="12"/>
      <c r="AE117" s="12"/>
      <c r="AF117" s="12"/>
      <c r="AG117" s="12"/>
      <c r="AH117" s="12"/>
      <c r="AI117" s="12"/>
      <c r="AJ117" s="12"/>
      <c r="AK117" s="12"/>
      <c r="AL117" s="12"/>
      <c r="AM117" s="12"/>
      <c r="AN117" s="12"/>
      <c r="AO117" s="12"/>
      <c r="AP117" s="12"/>
      <c r="AQ117" s="12"/>
      <c r="AR117" s="12"/>
      <c r="AS117" s="12"/>
      <c r="AT117" s="12"/>
      <c r="AU117" s="12"/>
      <c r="AV117" s="12"/>
      <c r="AW117" s="12"/>
      <c r="AX117" s="12"/>
      <c r="AY117" s="12"/>
      <c r="AZ117" s="12"/>
      <c r="BA117" s="12"/>
      <c r="BB117" s="12"/>
      <c r="BC117" s="12"/>
      <c r="BD117" s="12"/>
      <c r="BE117" s="12"/>
      <c r="BF117" s="12"/>
      <c r="BG117" s="12"/>
      <c r="BH117" s="12"/>
      <c r="BI117" s="12"/>
      <c r="BJ117" s="12"/>
      <c r="BK117" s="12"/>
      <c r="BL117" s="12"/>
      <c r="BM117" s="12"/>
      <c r="BN117" s="12"/>
      <c r="BO117" s="12"/>
      <c r="BP117" s="12"/>
      <c r="BQ117" s="12"/>
      <c r="BR117" s="12"/>
      <c r="BS117" s="12"/>
      <c r="BT117" s="12"/>
      <c r="BU117" s="12"/>
      <c r="BV117" s="12"/>
      <c r="BW117" s="12"/>
      <c r="BX117" s="12"/>
      <c r="BY117" s="12"/>
      <c r="BZ117" s="12"/>
      <c r="CA117" s="12"/>
      <c r="CB117" s="12"/>
      <c r="CC117" s="12"/>
      <c r="CD117" s="12"/>
      <c r="CE117" s="12"/>
      <c r="CF117" s="12"/>
    </row>
    <row r="118" spans="1:84" x14ac:dyDescent="0.3">
      <c r="A118" s="12"/>
      <c r="B118" s="12"/>
      <c r="C118" s="12"/>
      <c r="D118" s="12"/>
      <c r="E118" s="12"/>
      <c r="F118" s="12"/>
      <c r="G118" s="12"/>
      <c r="H118" s="12"/>
      <c r="I118" s="12"/>
      <c r="J118" s="12"/>
      <c r="K118" s="12"/>
      <c r="L118" s="12"/>
      <c r="M118" s="12"/>
      <c r="N118" s="12"/>
      <c r="O118" s="12"/>
      <c r="P118" s="12"/>
      <c r="Q118" s="12"/>
      <c r="R118" s="12"/>
      <c r="S118" s="12"/>
      <c r="T118" s="12"/>
      <c r="U118" s="12"/>
      <c r="V118" s="12"/>
      <c r="W118" s="12"/>
      <c r="X118" s="12"/>
      <c r="Y118" s="12"/>
      <c r="Z118" s="12"/>
      <c r="AA118" s="12"/>
      <c r="AB118" s="12"/>
      <c r="AC118" s="12"/>
      <c r="AD118" s="12"/>
      <c r="AE118" s="12"/>
      <c r="AF118" s="12"/>
      <c r="AG118" s="12"/>
      <c r="AH118" s="12"/>
      <c r="AI118" s="12"/>
      <c r="AJ118" s="12"/>
      <c r="AK118" s="12"/>
      <c r="AL118" s="12"/>
      <c r="AM118" s="12"/>
      <c r="AN118" s="12"/>
      <c r="AO118" s="12"/>
      <c r="AP118" s="12"/>
      <c r="AQ118" s="12"/>
      <c r="AR118" s="12"/>
      <c r="AS118" s="12"/>
      <c r="AT118" s="12"/>
      <c r="AU118" s="12"/>
      <c r="AV118" s="12"/>
      <c r="AW118" s="12"/>
      <c r="AX118" s="12"/>
      <c r="AY118" s="12"/>
      <c r="AZ118" s="12"/>
      <c r="BA118" s="12"/>
      <c r="BB118" s="12"/>
      <c r="BC118" s="12"/>
      <c r="BD118" s="12"/>
      <c r="BE118" s="12"/>
      <c r="BF118" s="12"/>
      <c r="BG118" s="12"/>
      <c r="BH118" s="12"/>
      <c r="BI118" s="12"/>
      <c r="BJ118" s="12"/>
      <c r="BK118" s="12"/>
      <c r="BL118" s="12"/>
      <c r="BM118" s="12"/>
      <c r="BN118" s="12"/>
      <c r="BO118" s="12"/>
      <c r="BP118" s="12"/>
      <c r="BQ118" s="12"/>
      <c r="BR118" s="12"/>
      <c r="BS118" s="12"/>
      <c r="BT118" s="12"/>
      <c r="BU118" s="12"/>
      <c r="BV118" s="12"/>
      <c r="BW118" s="12"/>
      <c r="BX118" s="12"/>
      <c r="BY118" s="12"/>
      <c r="BZ118" s="12"/>
      <c r="CA118" s="12"/>
      <c r="CB118" s="12"/>
      <c r="CC118" s="12"/>
      <c r="CD118" s="12"/>
      <c r="CE118" s="12"/>
      <c r="CF118" s="12"/>
    </row>
    <row r="119" spans="1:84" x14ac:dyDescent="0.3">
      <c r="A119" s="12"/>
      <c r="B119" s="12"/>
      <c r="C119" s="12"/>
      <c r="D119" s="12"/>
      <c r="E119" s="12"/>
      <c r="F119" s="12"/>
      <c r="G119" s="12"/>
      <c r="H119" s="12"/>
      <c r="I119" s="12"/>
      <c r="J119" s="12"/>
      <c r="K119" s="12"/>
      <c r="L119" s="12"/>
      <c r="M119" s="12"/>
      <c r="N119" s="12"/>
      <c r="O119" s="12"/>
      <c r="P119" s="12"/>
      <c r="Q119" s="12"/>
      <c r="R119" s="12"/>
      <c r="S119" s="12"/>
      <c r="T119" s="12"/>
      <c r="U119" s="12"/>
      <c r="V119" s="12"/>
      <c r="W119" s="12"/>
      <c r="X119" s="12"/>
      <c r="Y119" s="12"/>
      <c r="Z119" s="12"/>
      <c r="AA119" s="12"/>
      <c r="AB119" s="12"/>
      <c r="AC119" s="12"/>
      <c r="AD119" s="12"/>
      <c r="AE119" s="12"/>
      <c r="AF119" s="12"/>
      <c r="AG119" s="12"/>
      <c r="AH119" s="12"/>
      <c r="AI119" s="12"/>
      <c r="AJ119" s="12"/>
      <c r="AK119" s="12"/>
      <c r="AL119" s="12"/>
      <c r="AM119" s="12"/>
      <c r="AN119" s="12"/>
      <c r="AO119" s="12"/>
      <c r="AP119" s="12"/>
      <c r="AQ119" s="12"/>
      <c r="AR119" s="12"/>
      <c r="AS119" s="12"/>
      <c r="AT119" s="12"/>
      <c r="AU119" s="12"/>
      <c r="AV119" s="12"/>
      <c r="AW119" s="12"/>
      <c r="AX119" s="12"/>
      <c r="AY119" s="12"/>
      <c r="AZ119" s="12"/>
      <c r="BA119" s="12"/>
      <c r="BB119" s="12"/>
      <c r="BC119" s="12"/>
      <c r="BD119" s="12"/>
      <c r="BE119" s="12"/>
      <c r="BF119" s="12"/>
      <c r="BG119" s="12"/>
      <c r="BH119" s="12"/>
      <c r="BI119" s="12"/>
      <c r="BJ119" s="12"/>
      <c r="BK119" s="12"/>
      <c r="BL119" s="12"/>
      <c r="BM119" s="12"/>
      <c r="BN119" s="12"/>
      <c r="BO119" s="12"/>
      <c r="BP119" s="12"/>
      <c r="BQ119" s="12"/>
      <c r="BR119" s="12"/>
      <c r="BS119" s="12"/>
      <c r="BT119" s="12"/>
      <c r="BU119" s="12"/>
      <c r="BV119" s="12"/>
      <c r="BW119" s="12"/>
      <c r="BX119" s="12"/>
      <c r="BY119" s="12"/>
      <c r="BZ119" s="12"/>
      <c r="CA119" s="12"/>
      <c r="CB119" s="12"/>
      <c r="CC119" s="12"/>
      <c r="CD119" s="12"/>
      <c r="CE119" s="12"/>
      <c r="CF119" s="12"/>
    </row>
    <row r="120" spans="1:84" x14ac:dyDescent="0.3">
      <c r="A120" s="12"/>
      <c r="B120" s="12"/>
      <c r="C120" s="12"/>
      <c r="D120" s="12"/>
      <c r="E120" s="12"/>
      <c r="F120" s="12"/>
      <c r="G120" s="12"/>
      <c r="H120" s="12"/>
      <c r="I120" s="12"/>
      <c r="J120" s="12"/>
      <c r="K120" s="12"/>
      <c r="L120" s="12"/>
      <c r="M120" s="12"/>
      <c r="N120" s="12"/>
      <c r="O120" s="12"/>
      <c r="P120" s="12"/>
      <c r="Q120" s="12"/>
      <c r="R120" s="12"/>
      <c r="S120" s="12"/>
      <c r="T120" s="12"/>
      <c r="U120" s="12"/>
      <c r="V120" s="12"/>
      <c r="W120" s="12"/>
      <c r="X120" s="12"/>
      <c r="Y120" s="12"/>
      <c r="Z120" s="12"/>
      <c r="AA120" s="12"/>
      <c r="AB120" s="12"/>
      <c r="AC120" s="12"/>
      <c r="AD120" s="12"/>
      <c r="AE120" s="12"/>
      <c r="AF120" s="12"/>
      <c r="AG120" s="12"/>
      <c r="AH120" s="12"/>
      <c r="AI120" s="12"/>
      <c r="AJ120" s="12"/>
      <c r="AK120" s="12"/>
      <c r="AL120" s="12"/>
      <c r="AM120" s="12"/>
      <c r="AN120" s="12"/>
      <c r="AO120" s="12"/>
      <c r="AP120" s="12"/>
      <c r="AQ120" s="12"/>
      <c r="AR120" s="12"/>
      <c r="AS120" s="12"/>
      <c r="AT120" s="12"/>
      <c r="AU120" s="12"/>
      <c r="AV120" s="12"/>
      <c r="AW120" s="12"/>
      <c r="AX120" s="12"/>
      <c r="AY120" s="12"/>
      <c r="AZ120" s="12"/>
      <c r="BA120" s="12"/>
      <c r="BB120" s="12"/>
      <c r="BC120" s="12"/>
      <c r="BD120" s="12"/>
      <c r="BE120" s="12"/>
      <c r="BF120" s="12"/>
      <c r="BG120" s="12"/>
      <c r="BH120" s="12"/>
      <c r="BI120" s="12"/>
      <c r="BJ120" s="12"/>
      <c r="BK120" s="12"/>
      <c r="BL120" s="12"/>
      <c r="BM120" s="12"/>
      <c r="BN120" s="12"/>
      <c r="BO120" s="12"/>
      <c r="BP120" s="12"/>
      <c r="BQ120" s="12"/>
      <c r="BR120" s="12"/>
      <c r="BS120" s="12"/>
      <c r="BT120" s="12"/>
      <c r="BU120" s="12"/>
      <c r="BV120" s="12"/>
      <c r="BW120" s="12"/>
      <c r="BX120" s="12"/>
      <c r="BY120" s="12"/>
      <c r="BZ120" s="12"/>
      <c r="CA120" s="12"/>
      <c r="CB120" s="12"/>
      <c r="CC120" s="12"/>
      <c r="CD120" s="12"/>
      <c r="CE120" s="12"/>
      <c r="CF120" s="12"/>
    </row>
    <row r="121" spans="1:84" x14ac:dyDescent="0.3">
      <c r="A121" s="12"/>
      <c r="B121" s="12"/>
      <c r="C121" s="12"/>
      <c r="D121" s="12"/>
      <c r="E121" s="12"/>
      <c r="F121" s="12"/>
      <c r="G121" s="12"/>
      <c r="H121" s="12"/>
      <c r="I121" s="12"/>
      <c r="J121" s="12"/>
      <c r="K121" s="12"/>
      <c r="L121" s="12"/>
      <c r="M121" s="12"/>
      <c r="N121" s="12"/>
      <c r="O121" s="12"/>
      <c r="P121" s="12"/>
      <c r="Q121" s="12"/>
      <c r="R121" s="12"/>
      <c r="S121" s="12"/>
      <c r="T121" s="12"/>
      <c r="U121" s="12"/>
      <c r="V121" s="12"/>
      <c r="W121" s="12"/>
      <c r="X121" s="12"/>
      <c r="Y121" s="12"/>
      <c r="Z121" s="12"/>
      <c r="AA121" s="12"/>
      <c r="AB121" s="12"/>
      <c r="AC121" s="12"/>
      <c r="AD121" s="12"/>
      <c r="AE121" s="12"/>
      <c r="AF121" s="12"/>
      <c r="AG121" s="12"/>
      <c r="AH121" s="12"/>
      <c r="AI121" s="12"/>
      <c r="AJ121" s="12"/>
      <c r="AK121" s="12"/>
      <c r="AL121" s="12"/>
      <c r="AM121" s="12"/>
      <c r="AN121" s="12"/>
      <c r="AO121" s="12"/>
      <c r="AP121" s="12"/>
      <c r="AQ121" s="12"/>
      <c r="AR121" s="12"/>
      <c r="AS121" s="12"/>
      <c r="AT121" s="12"/>
      <c r="AU121" s="12"/>
      <c r="AV121" s="12"/>
      <c r="AW121" s="12"/>
      <c r="AX121" s="12"/>
      <c r="AY121" s="12"/>
      <c r="AZ121" s="12"/>
      <c r="BA121" s="12"/>
      <c r="BB121" s="12"/>
      <c r="BC121" s="12"/>
      <c r="BD121" s="12"/>
      <c r="BE121" s="12"/>
      <c r="BF121" s="12"/>
      <c r="BG121" s="12"/>
      <c r="BH121" s="12"/>
      <c r="BI121" s="12"/>
      <c r="BJ121" s="12"/>
      <c r="BK121" s="12"/>
      <c r="BL121" s="12"/>
      <c r="BM121" s="12"/>
      <c r="BN121" s="12"/>
      <c r="BO121" s="12"/>
      <c r="BP121" s="12"/>
      <c r="BQ121" s="12"/>
      <c r="BR121" s="12"/>
      <c r="BS121" s="12"/>
      <c r="BT121" s="12"/>
      <c r="BU121" s="12"/>
      <c r="BV121" s="12"/>
      <c r="BW121" s="12"/>
      <c r="BX121" s="12"/>
      <c r="BY121" s="12"/>
      <c r="BZ121" s="12"/>
      <c r="CA121" s="12"/>
      <c r="CB121" s="12"/>
      <c r="CC121" s="12"/>
      <c r="CD121" s="12"/>
      <c r="CE121" s="12"/>
      <c r="CF121" s="12"/>
    </row>
    <row r="122" spans="1:84" x14ac:dyDescent="0.3">
      <c r="A122" s="12"/>
      <c r="B122" s="12"/>
      <c r="C122" s="12"/>
      <c r="D122" s="12"/>
      <c r="E122" s="12"/>
      <c r="F122" s="12"/>
      <c r="G122" s="12"/>
      <c r="H122" s="12"/>
      <c r="I122" s="12"/>
      <c r="J122" s="12"/>
      <c r="K122" s="12"/>
      <c r="L122" s="12"/>
      <c r="M122" s="12"/>
      <c r="N122" s="12"/>
      <c r="O122" s="12"/>
      <c r="P122" s="12"/>
      <c r="Q122" s="12"/>
      <c r="R122" s="12"/>
      <c r="S122" s="12"/>
      <c r="T122" s="12"/>
      <c r="U122" s="12"/>
      <c r="V122" s="12"/>
      <c r="W122" s="12"/>
      <c r="X122" s="12"/>
      <c r="Y122" s="12"/>
      <c r="Z122" s="12"/>
      <c r="AA122" s="12"/>
      <c r="AB122" s="12"/>
      <c r="AC122" s="12"/>
      <c r="AD122" s="12"/>
      <c r="AE122" s="12"/>
      <c r="AF122" s="12"/>
      <c r="AG122" s="12"/>
      <c r="AH122" s="12"/>
      <c r="AI122" s="12"/>
      <c r="AJ122" s="12"/>
      <c r="AK122" s="12"/>
      <c r="AL122" s="12"/>
      <c r="AM122" s="12"/>
      <c r="AN122" s="12"/>
      <c r="AO122" s="12"/>
      <c r="AP122" s="12"/>
      <c r="AQ122" s="12"/>
      <c r="AR122" s="12"/>
      <c r="AS122" s="12"/>
      <c r="AT122" s="12"/>
      <c r="AU122" s="12"/>
      <c r="AV122" s="12"/>
      <c r="AW122" s="12"/>
      <c r="AX122" s="12"/>
      <c r="AY122" s="12"/>
      <c r="AZ122" s="12"/>
      <c r="BA122" s="12"/>
      <c r="BB122" s="12"/>
      <c r="BC122" s="12"/>
      <c r="BD122" s="12"/>
      <c r="BE122" s="12"/>
      <c r="BF122" s="12"/>
      <c r="BG122" s="12"/>
      <c r="BH122" s="12"/>
      <c r="BI122" s="12"/>
      <c r="BJ122" s="12"/>
      <c r="BK122" s="12"/>
      <c r="BL122" s="12"/>
      <c r="BM122" s="12"/>
      <c r="BN122" s="12"/>
      <c r="BO122" s="12"/>
      <c r="BP122" s="12"/>
      <c r="BQ122" s="12"/>
      <c r="BR122" s="12"/>
      <c r="BS122" s="12"/>
      <c r="BT122" s="12"/>
      <c r="BU122" s="12"/>
      <c r="BV122" s="12"/>
      <c r="BW122" s="12"/>
      <c r="BX122" s="12"/>
      <c r="BY122" s="12"/>
      <c r="BZ122" s="12"/>
      <c r="CA122" s="12"/>
      <c r="CB122" s="12"/>
      <c r="CC122" s="12"/>
      <c r="CD122" s="12"/>
      <c r="CE122" s="12"/>
      <c r="CF122" s="12"/>
    </row>
    <row r="123" spans="1:84" x14ac:dyDescent="0.3">
      <c r="A123" s="12"/>
      <c r="B123" s="12"/>
      <c r="C123" s="12"/>
      <c r="D123" s="12"/>
      <c r="E123" s="12"/>
      <c r="F123" s="12"/>
      <c r="G123" s="12"/>
      <c r="H123" s="12"/>
      <c r="I123" s="12"/>
      <c r="J123" s="12"/>
      <c r="K123" s="12"/>
      <c r="L123" s="12"/>
      <c r="M123" s="12"/>
      <c r="N123" s="12"/>
      <c r="O123" s="12"/>
      <c r="P123" s="12"/>
      <c r="Q123" s="12"/>
      <c r="R123" s="12"/>
      <c r="S123" s="12"/>
      <c r="T123" s="12"/>
      <c r="U123" s="12"/>
      <c r="V123" s="12"/>
      <c r="W123" s="12"/>
      <c r="X123" s="12"/>
      <c r="Y123" s="12"/>
      <c r="Z123" s="12"/>
      <c r="AA123" s="12"/>
      <c r="AB123" s="12"/>
      <c r="AC123" s="12"/>
      <c r="AD123" s="12"/>
      <c r="AE123" s="12"/>
      <c r="AF123" s="12"/>
      <c r="AG123" s="12"/>
      <c r="AH123" s="12"/>
      <c r="AI123" s="12"/>
      <c r="AJ123" s="12"/>
      <c r="AK123" s="12"/>
      <c r="AL123" s="12"/>
      <c r="AM123" s="12"/>
      <c r="AN123" s="12"/>
      <c r="AO123" s="12"/>
      <c r="AP123" s="12"/>
      <c r="AQ123" s="12"/>
      <c r="AR123" s="12"/>
      <c r="AS123" s="12"/>
      <c r="AT123" s="12"/>
      <c r="AU123" s="12"/>
      <c r="AV123" s="12"/>
      <c r="AW123" s="12"/>
      <c r="AX123" s="12"/>
      <c r="AY123" s="12"/>
      <c r="AZ123" s="12"/>
      <c r="BA123" s="12"/>
      <c r="BB123" s="12"/>
      <c r="BC123" s="12"/>
      <c r="BD123" s="12"/>
      <c r="BE123" s="12"/>
      <c r="BF123" s="12"/>
      <c r="BG123" s="12"/>
      <c r="BH123" s="12"/>
      <c r="BI123" s="12"/>
      <c r="BJ123" s="12"/>
      <c r="BK123" s="12"/>
      <c r="BL123" s="12"/>
      <c r="BM123" s="12"/>
      <c r="BN123" s="12"/>
      <c r="BO123" s="12"/>
      <c r="BP123" s="12"/>
      <c r="BQ123" s="12"/>
      <c r="BR123" s="12"/>
      <c r="BS123" s="12"/>
      <c r="BT123" s="12"/>
      <c r="BU123" s="12"/>
      <c r="BV123" s="12"/>
      <c r="BW123" s="12"/>
      <c r="BX123" s="12"/>
      <c r="BY123" s="12"/>
      <c r="BZ123" s="12"/>
      <c r="CA123" s="12"/>
      <c r="CB123" s="12"/>
      <c r="CC123" s="12"/>
      <c r="CD123" s="12"/>
      <c r="CE123" s="12"/>
      <c r="CF123" s="12"/>
    </row>
    <row r="124" spans="1:84" x14ac:dyDescent="0.3">
      <c r="A124" s="12"/>
      <c r="B124" s="12"/>
      <c r="C124" s="12"/>
      <c r="D124" s="12"/>
      <c r="E124" s="12"/>
      <c r="F124" s="12"/>
      <c r="G124" s="12"/>
      <c r="H124" s="12"/>
      <c r="I124" s="12"/>
      <c r="J124" s="12"/>
      <c r="K124" s="12"/>
      <c r="L124" s="12"/>
      <c r="M124" s="12"/>
      <c r="N124" s="12"/>
      <c r="O124" s="12"/>
      <c r="P124" s="12"/>
      <c r="Q124" s="12"/>
      <c r="R124" s="12"/>
      <c r="S124" s="12"/>
      <c r="T124" s="12"/>
      <c r="U124" s="12"/>
      <c r="V124" s="12"/>
      <c r="W124" s="12"/>
      <c r="X124" s="12"/>
      <c r="Y124" s="12"/>
      <c r="Z124" s="12"/>
      <c r="AA124" s="12"/>
      <c r="AB124" s="12"/>
      <c r="AC124" s="12"/>
      <c r="AD124" s="12"/>
      <c r="AE124" s="12"/>
      <c r="AF124" s="12"/>
      <c r="AG124" s="12"/>
      <c r="AH124" s="12"/>
      <c r="AI124" s="12"/>
      <c r="AJ124" s="12"/>
      <c r="AK124" s="12"/>
      <c r="AL124" s="12"/>
      <c r="AM124" s="12"/>
      <c r="AN124" s="12"/>
      <c r="AO124" s="12"/>
      <c r="AP124" s="12"/>
      <c r="AQ124" s="12"/>
      <c r="AR124" s="12"/>
      <c r="AS124" s="12"/>
      <c r="AT124" s="12"/>
      <c r="AU124" s="12"/>
      <c r="AV124" s="12"/>
      <c r="AW124" s="12"/>
      <c r="AX124" s="12"/>
      <c r="AY124" s="12"/>
      <c r="AZ124" s="12"/>
      <c r="BA124" s="12"/>
      <c r="BB124" s="12"/>
      <c r="BC124" s="12"/>
      <c r="BD124" s="12"/>
      <c r="BE124" s="12"/>
      <c r="BF124" s="12"/>
      <c r="BG124" s="12"/>
      <c r="BH124" s="12"/>
      <c r="BI124" s="12"/>
      <c r="BJ124" s="12"/>
      <c r="BK124" s="12"/>
      <c r="BL124" s="12"/>
      <c r="BM124" s="12"/>
      <c r="BN124" s="12"/>
      <c r="BO124" s="12"/>
      <c r="BP124" s="12"/>
      <c r="BQ124" s="12"/>
      <c r="BR124" s="12"/>
      <c r="BS124" s="12"/>
      <c r="BT124" s="12"/>
      <c r="BU124" s="12"/>
      <c r="BV124" s="12"/>
      <c r="BW124" s="12"/>
      <c r="BX124" s="12"/>
      <c r="BY124" s="12"/>
      <c r="BZ124" s="12"/>
      <c r="CA124" s="12"/>
      <c r="CB124" s="12"/>
      <c r="CC124" s="12"/>
      <c r="CD124" s="12"/>
      <c r="CE124" s="12"/>
      <c r="CF124" s="12"/>
    </row>
    <row r="125" spans="1:84" x14ac:dyDescent="0.3">
      <c r="A125" s="12"/>
      <c r="B125" s="12"/>
      <c r="C125" s="12"/>
      <c r="D125" s="12"/>
      <c r="E125" s="12"/>
      <c r="F125" s="12"/>
      <c r="G125" s="12"/>
      <c r="H125" s="12"/>
      <c r="I125" s="12"/>
      <c r="J125" s="12"/>
      <c r="K125" s="12"/>
      <c r="L125" s="12"/>
      <c r="M125" s="12"/>
      <c r="N125" s="12"/>
      <c r="O125" s="12"/>
      <c r="P125" s="12"/>
      <c r="Q125" s="12"/>
      <c r="R125" s="12"/>
      <c r="S125" s="12"/>
      <c r="T125" s="12"/>
      <c r="U125" s="12"/>
      <c r="V125" s="12"/>
      <c r="W125" s="12"/>
      <c r="X125" s="12"/>
      <c r="Y125" s="12"/>
      <c r="Z125" s="12"/>
      <c r="AA125" s="12"/>
      <c r="AB125" s="12"/>
      <c r="AC125" s="12"/>
      <c r="AD125" s="12"/>
      <c r="AE125" s="12"/>
      <c r="AF125" s="12"/>
      <c r="AG125" s="12"/>
      <c r="AH125" s="12"/>
      <c r="AI125" s="12"/>
      <c r="AJ125" s="12"/>
      <c r="AK125" s="12"/>
      <c r="AL125" s="12"/>
      <c r="AM125" s="12"/>
      <c r="AN125" s="12"/>
      <c r="AO125" s="12"/>
      <c r="AP125" s="12"/>
      <c r="AQ125" s="12"/>
      <c r="AR125" s="12"/>
      <c r="AS125" s="12"/>
      <c r="AT125" s="12"/>
      <c r="AU125" s="12"/>
      <c r="AV125" s="12"/>
      <c r="AW125" s="12"/>
      <c r="AX125" s="12"/>
      <c r="AY125" s="12"/>
      <c r="AZ125" s="12"/>
      <c r="BA125" s="12"/>
      <c r="BB125" s="12"/>
      <c r="BC125" s="12"/>
      <c r="BD125" s="12"/>
      <c r="BE125" s="12"/>
      <c r="BF125" s="12"/>
      <c r="BG125" s="12"/>
      <c r="BH125" s="12"/>
      <c r="BI125" s="12"/>
      <c r="BJ125" s="12"/>
      <c r="BK125" s="12"/>
      <c r="BL125" s="12"/>
      <c r="BM125" s="12"/>
      <c r="BN125" s="12"/>
      <c r="BO125" s="12"/>
      <c r="BP125" s="12"/>
      <c r="BQ125" s="12"/>
      <c r="BR125" s="12"/>
      <c r="BS125" s="12"/>
      <c r="BT125" s="12"/>
      <c r="BU125" s="12"/>
      <c r="BV125" s="12"/>
      <c r="BW125" s="12"/>
      <c r="BX125" s="12"/>
      <c r="BY125" s="12"/>
      <c r="BZ125" s="12"/>
      <c r="CA125" s="12"/>
      <c r="CB125" s="12"/>
      <c r="CC125" s="12"/>
      <c r="CD125" s="12"/>
      <c r="CE125" s="12"/>
      <c r="CF125" s="12"/>
    </row>
    <row r="126" spans="1:84" x14ac:dyDescent="0.3">
      <c r="A126" s="12"/>
      <c r="B126" s="12"/>
      <c r="C126" s="12"/>
      <c r="D126" s="12"/>
      <c r="E126" s="12"/>
      <c r="F126" s="12"/>
      <c r="G126" s="12"/>
      <c r="H126" s="12"/>
      <c r="I126" s="12"/>
      <c r="J126" s="12"/>
      <c r="K126" s="12"/>
      <c r="L126" s="12"/>
      <c r="M126" s="12"/>
      <c r="N126" s="12"/>
      <c r="O126" s="12"/>
      <c r="P126" s="12"/>
      <c r="Q126" s="12"/>
      <c r="R126" s="12"/>
      <c r="S126" s="12"/>
      <c r="T126" s="12"/>
      <c r="U126" s="12"/>
      <c r="V126" s="12"/>
      <c r="W126" s="12"/>
      <c r="X126" s="12"/>
      <c r="Y126" s="12"/>
      <c r="Z126" s="12"/>
      <c r="AA126" s="12"/>
      <c r="AB126" s="12"/>
      <c r="AC126" s="12"/>
      <c r="AD126" s="12"/>
      <c r="AE126" s="12"/>
      <c r="AF126" s="12"/>
      <c r="AG126" s="12"/>
      <c r="AH126" s="12"/>
      <c r="AI126" s="12"/>
      <c r="AJ126" s="12"/>
      <c r="AK126" s="12"/>
      <c r="AL126" s="12"/>
      <c r="AM126" s="12"/>
      <c r="AN126" s="12"/>
      <c r="AO126" s="12"/>
      <c r="AP126" s="12"/>
      <c r="AQ126" s="12"/>
      <c r="AR126" s="12"/>
      <c r="AS126" s="12"/>
      <c r="AT126" s="12"/>
      <c r="AU126" s="12"/>
      <c r="AV126" s="12"/>
      <c r="AW126" s="12"/>
      <c r="AX126" s="12"/>
      <c r="AY126" s="12"/>
      <c r="AZ126" s="12"/>
      <c r="BA126" s="12"/>
      <c r="BB126" s="12"/>
      <c r="BC126" s="12"/>
      <c r="BD126" s="12"/>
      <c r="BE126" s="12"/>
      <c r="BF126" s="12"/>
      <c r="BG126" s="12"/>
      <c r="BH126" s="12"/>
      <c r="BI126" s="12"/>
      <c r="BJ126" s="12"/>
      <c r="BK126" s="12"/>
      <c r="BL126" s="12"/>
      <c r="BM126" s="12"/>
      <c r="BN126" s="12"/>
      <c r="BO126" s="12"/>
      <c r="BP126" s="12"/>
      <c r="BQ126" s="12"/>
      <c r="BR126" s="12"/>
      <c r="BS126" s="12"/>
      <c r="BT126" s="12"/>
      <c r="BU126" s="12"/>
      <c r="BV126" s="12"/>
      <c r="BW126" s="12"/>
      <c r="BX126" s="12"/>
      <c r="BY126" s="12"/>
      <c r="BZ126" s="12"/>
      <c r="CA126" s="12"/>
      <c r="CB126" s="12"/>
      <c r="CC126" s="12"/>
      <c r="CD126" s="12"/>
      <c r="CE126" s="12"/>
      <c r="CF126" s="12"/>
    </row>
    <row r="127" spans="1:84" x14ac:dyDescent="0.3">
      <c r="A127" s="12"/>
      <c r="B127" s="12"/>
      <c r="C127" s="12"/>
      <c r="D127" s="12"/>
      <c r="E127" s="12"/>
      <c r="F127" s="12"/>
      <c r="G127" s="12"/>
      <c r="H127" s="12"/>
      <c r="I127" s="12"/>
      <c r="J127" s="12"/>
      <c r="K127" s="12"/>
      <c r="L127" s="12"/>
      <c r="M127" s="12"/>
      <c r="N127" s="12"/>
      <c r="O127" s="12"/>
      <c r="P127" s="12"/>
      <c r="Q127" s="12"/>
      <c r="R127" s="12"/>
      <c r="S127" s="12"/>
      <c r="T127" s="12"/>
      <c r="U127" s="12"/>
      <c r="V127" s="12"/>
      <c r="W127" s="12"/>
      <c r="X127" s="12"/>
      <c r="Y127" s="12"/>
      <c r="Z127" s="12"/>
      <c r="AA127" s="12"/>
      <c r="AB127" s="12"/>
      <c r="AC127" s="12"/>
      <c r="AD127" s="12"/>
      <c r="AE127" s="12"/>
      <c r="AF127" s="12"/>
      <c r="AG127" s="12"/>
      <c r="AH127" s="12"/>
      <c r="AI127" s="12"/>
      <c r="AJ127" s="12"/>
      <c r="AK127" s="12"/>
      <c r="AL127" s="12"/>
      <c r="AM127" s="12"/>
      <c r="AN127" s="12"/>
      <c r="AO127" s="12"/>
      <c r="AP127" s="12"/>
      <c r="AQ127" s="12"/>
      <c r="AR127" s="12"/>
      <c r="AS127" s="12"/>
      <c r="AT127" s="12"/>
      <c r="AU127" s="12"/>
      <c r="AV127" s="12"/>
      <c r="AW127" s="12"/>
      <c r="AX127" s="12"/>
      <c r="AY127" s="12"/>
      <c r="AZ127" s="12"/>
      <c r="BA127" s="12"/>
      <c r="BB127" s="12"/>
      <c r="BC127" s="12"/>
      <c r="BD127" s="12"/>
      <c r="BE127" s="12"/>
      <c r="BF127" s="12"/>
      <c r="BG127" s="12"/>
      <c r="BH127" s="12"/>
      <c r="BI127" s="12"/>
      <c r="BJ127" s="12"/>
      <c r="BK127" s="12"/>
      <c r="BL127" s="12"/>
      <c r="BM127" s="12"/>
      <c r="BN127" s="12"/>
      <c r="BO127" s="12"/>
      <c r="BP127" s="12"/>
      <c r="BQ127" s="12"/>
      <c r="BR127" s="12"/>
      <c r="BS127" s="12"/>
      <c r="BT127" s="12"/>
      <c r="BU127" s="12"/>
      <c r="BV127" s="12"/>
      <c r="BW127" s="12"/>
      <c r="BX127" s="12"/>
      <c r="BY127" s="12"/>
      <c r="BZ127" s="12"/>
      <c r="CA127" s="12"/>
      <c r="CB127" s="12"/>
      <c r="CC127" s="12"/>
      <c r="CD127" s="12"/>
      <c r="CE127" s="12"/>
      <c r="CF127" s="12"/>
    </row>
    <row r="128" spans="1:84" x14ac:dyDescent="0.3">
      <c r="A128" s="12"/>
      <c r="B128" s="12"/>
      <c r="C128" s="12"/>
      <c r="D128" s="12"/>
      <c r="E128" s="12"/>
      <c r="F128" s="12"/>
      <c r="G128" s="12"/>
      <c r="H128" s="12"/>
      <c r="I128" s="12"/>
      <c r="J128" s="12"/>
      <c r="K128" s="12"/>
      <c r="L128" s="12"/>
      <c r="M128" s="12"/>
      <c r="N128" s="12"/>
      <c r="O128" s="12"/>
      <c r="P128" s="12"/>
      <c r="Q128" s="12"/>
      <c r="R128" s="12"/>
      <c r="S128" s="12"/>
      <c r="T128" s="12"/>
      <c r="U128" s="12"/>
      <c r="V128" s="12"/>
      <c r="W128" s="12"/>
      <c r="X128" s="12"/>
      <c r="Y128" s="12"/>
      <c r="Z128" s="12"/>
      <c r="AA128" s="12"/>
      <c r="AB128" s="12"/>
      <c r="AC128" s="12"/>
      <c r="AD128" s="12"/>
      <c r="AE128" s="12"/>
      <c r="AF128" s="12"/>
      <c r="AG128" s="12"/>
      <c r="AH128" s="12"/>
      <c r="AI128" s="12"/>
      <c r="AJ128" s="12"/>
      <c r="AK128" s="12"/>
      <c r="AL128" s="12"/>
      <c r="AM128" s="12"/>
      <c r="AN128" s="12"/>
      <c r="AO128" s="12"/>
      <c r="AP128" s="12"/>
      <c r="AQ128" s="12"/>
      <c r="AR128" s="12"/>
      <c r="AS128" s="12"/>
      <c r="AT128" s="12"/>
      <c r="AU128" s="12"/>
      <c r="AV128" s="12"/>
      <c r="AW128" s="12"/>
      <c r="AX128" s="12"/>
      <c r="AY128" s="12"/>
      <c r="AZ128" s="12"/>
      <c r="BA128" s="12"/>
      <c r="BB128" s="12"/>
      <c r="BC128" s="12"/>
      <c r="BD128" s="12"/>
      <c r="BE128" s="12"/>
      <c r="BF128" s="12"/>
      <c r="BG128" s="12"/>
      <c r="BH128" s="12"/>
      <c r="BI128" s="12"/>
      <c r="BJ128" s="12"/>
      <c r="BK128" s="12"/>
      <c r="BL128" s="12"/>
      <c r="BM128" s="12"/>
      <c r="BN128" s="12"/>
      <c r="BO128" s="12"/>
      <c r="BP128" s="12"/>
      <c r="BQ128" s="12"/>
      <c r="BR128" s="12"/>
      <c r="BS128" s="12"/>
      <c r="BT128" s="12"/>
      <c r="BU128" s="12"/>
      <c r="BV128" s="12"/>
      <c r="BW128" s="12"/>
      <c r="BX128" s="12"/>
      <c r="BY128" s="12"/>
      <c r="BZ128" s="12"/>
      <c r="CA128" s="12"/>
      <c r="CB128" s="12"/>
      <c r="CC128" s="12"/>
      <c r="CD128" s="12"/>
      <c r="CE128" s="12"/>
      <c r="CF128" s="12"/>
    </row>
    <row r="129" spans="1:84" x14ac:dyDescent="0.3">
      <c r="A129" s="12"/>
      <c r="B129" s="12"/>
      <c r="C129" s="12"/>
      <c r="D129" s="12"/>
      <c r="E129" s="12"/>
      <c r="F129" s="12"/>
      <c r="G129" s="12"/>
      <c r="H129" s="12"/>
      <c r="I129" s="12"/>
      <c r="J129" s="12"/>
      <c r="K129" s="12"/>
      <c r="L129" s="12"/>
      <c r="M129" s="12"/>
      <c r="N129" s="12"/>
      <c r="O129" s="12"/>
      <c r="P129" s="12"/>
      <c r="Q129" s="12"/>
      <c r="R129" s="12"/>
      <c r="S129" s="12"/>
      <c r="T129" s="12"/>
      <c r="U129" s="12"/>
      <c r="V129" s="12"/>
      <c r="W129" s="12"/>
      <c r="X129" s="12"/>
      <c r="Y129" s="12"/>
      <c r="Z129" s="12"/>
      <c r="AA129" s="12"/>
      <c r="AB129" s="12"/>
      <c r="AC129" s="12"/>
      <c r="AD129" s="12"/>
      <c r="AE129" s="12"/>
      <c r="AF129" s="12"/>
      <c r="AG129" s="12"/>
      <c r="AH129" s="12"/>
      <c r="AI129" s="12"/>
      <c r="AJ129" s="12"/>
      <c r="AK129" s="12"/>
      <c r="AL129" s="12"/>
      <c r="AM129" s="12"/>
      <c r="AN129" s="12"/>
      <c r="AO129" s="12"/>
      <c r="AP129" s="12"/>
      <c r="AQ129" s="12"/>
      <c r="AR129" s="12"/>
      <c r="AS129" s="12"/>
      <c r="AT129" s="12"/>
      <c r="AU129" s="12"/>
      <c r="AV129" s="12"/>
      <c r="AW129" s="12"/>
      <c r="AX129" s="12"/>
      <c r="AY129" s="12"/>
      <c r="AZ129" s="12"/>
      <c r="BA129" s="12"/>
      <c r="BB129" s="12"/>
      <c r="BC129" s="12"/>
      <c r="BD129" s="12"/>
      <c r="BE129" s="12"/>
      <c r="BF129" s="12"/>
      <c r="BG129" s="12"/>
      <c r="BH129" s="12"/>
      <c r="BI129" s="12"/>
      <c r="BJ129" s="12"/>
      <c r="BK129" s="12"/>
      <c r="BL129" s="12"/>
      <c r="BM129" s="12"/>
      <c r="BN129" s="12"/>
      <c r="BO129" s="12"/>
      <c r="BP129" s="12"/>
      <c r="BQ129" s="12"/>
      <c r="BR129" s="12"/>
      <c r="BS129" s="12"/>
      <c r="BT129" s="12"/>
      <c r="BU129" s="12"/>
      <c r="BV129" s="12"/>
      <c r="BW129" s="12"/>
      <c r="BX129" s="12"/>
      <c r="BY129" s="12"/>
      <c r="BZ129" s="12"/>
      <c r="CA129" s="12"/>
      <c r="CB129" s="12"/>
      <c r="CC129" s="12"/>
      <c r="CD129" s="12"/>
      <c r="CE129" s="12"/>
      <c r="CF129" s="12"/>
    </row>
    <row r="130" spans="1:84" x14ac:dyDescent="0.3">
      <c r="A130" s="12"/>
      <c r="B130" s="12"/>
      <c r="C130" s="12"/>
      <c r="D130" s="12"/>
      <c r="E130" s="12"/>
      <c r="F130" s="12"/>
      <c r="G130" s="12"/>
      <c r="H130" s="12"/>
      <c r="I130" s="12"/>
      <c r="J130" s="12"/>
      <c r="K130" s="12"/>
      <c r="L130" s="12"/>
      <c r="M130" s="12"/>
      <c r="N130" s="12"/>
      <c r="O130" s="12"/>
      <c r="P130" s="12"/>
      <c r="Q130" s="12"/>
      <c r="R130" s="12"/>
      <c r="S130" s="12"/>
      <c r="T130" s="12"/>
      <c r="U130" s="12"/>
      <c r="V130" s="12"/>
      <c r="W130" s="12"/>
      <c r="X130" s="12"/>
      <c r="Y130" s="12"/>
      <c r="Z130" s="12"/>
      <c r="AA130" s="12"/>
      <c r="AB130" s="12"/>
      <c r="AC130" s="12"/>
      <c r="AD130" s="12"/>
      <c r="AE130" s="12"/>
      <c r="AF130" s="12"/>
      <c r="AG130" s="12"/>
      <c r="AH130" s="12"/>
      <c r="AI130" s="12"/>
      <c r="AJ130" s="12"/>
      <c r="AK130" s="12"/>
      <c r="AL130" s="12"/>
      <c r="AM130" s="12"/>
      <c r="AN130" s="12"/>
      <c r="AO130" s="12"/>
      <c r="AP130" s="12"/>
      <c r="AQ130" s="12"/>
      <c r="AR130" s="12"/>
      <c r="AS130" s="12"/>
      <c r="AT130" s="12"/>
      <c r="AU130" s="12"/>
      <c r="AV130" s="12"/>
      <c r="AW130" s="12"/>
      <c r="AX130" s="12"/>
      <c r="AY130" s="12"/>
      <c r="AZ130" s="12"/>
      <c r="BA130" s="12"/>
      <c r="BB130" s="12"/>
      <c r="BC130" s="12"/>
      <c r="BD130" s="12"/>
      <c r="BE130" s="12"/>
      <c r="BF130" s="12"/>
      <c r="BG130" s="12"/>
      <c r="BH130" s="12"/>
      <c r="BI130" s="12"/>
      <c r="BJ130" s="12"/>
      <c r="BK130" s="12"/>
      <c r="BL130" s="12"/>
      <c r="BM130" s="12"/>
      <c r="BN130" s="12"/>
      <c r="BO130" s="12"/>
      <c r="BP130" s="12"/>
      <c r="BQ130" s="12"/>
      <c r="BR130" s="12"/>
      <c r="BS130" s="12"/>
      <c r="BT130" s="12"/>
      <c r="BU130" s="12"/>
      <c r="BV130" s="12"/>
      <c r="BW130" s="12"/>
      <c r="BX130" s="12"/>
      <c r="BY130" s="12"/>
      <c r="BZ130" s="12"/>
      <c r="CA130" s="12"/>
      <c r="CB130" s="12"/>
      <c r="CC130" s="12"/>
      <c r="CD130" s="12"/>
      <c r="CE130" s="12"/>
      <c r="CF130" s="12"/>
    </row>
    <row r="131" spans="1:84" x14ac:dyDescent="0.3">
      <c r="A131" s="12"/>
      <c r="B131" s="12"/>
      <c r="C131" s="12"/>
      <c r="D131" s="12"/>
      <c r="E131" s="12"/>
      <c r="F131" s="12"/>
      <c r="G131" s="12"/>
      <c r="H131" s="12"/>
      <c r="I131" s="12"/>
      <c r="J131" s="12"/>
      <c r="K131" s="12"/>
      <c r="L131" s="12"/>
      <c r="M131" s="12"/>
      <c r="N131" s="12"/>
      <c r="O131" s="12"/>
      <c r="P131" s="12"/>
      <c r="Q131" s="12"/>
      <c r="R131" s="12"/>
      <c r="S131" s="12"/>
      <c r="T131" s="12"/>
      <c r="U131" s="12"/>
      <c r="V131" s="12"/>
      <c r="W131" s="12"/>
      <c r="X131" s="12"/>
      <c r="Y131" s="12"/>
      <c r="Z131" s="12"/>
      <c r="AA131" s="12"/>
      <c r="AB131" s="12"/>
      <c r="AC131" s="12"/>
      <c r="AD131" s="12"/>
      <c r="AE131" s="12"/>
      <c r="AF131" s="12"/>
      <c r="AG131" s="12"/>
      <c r="AH131" s="12"/>
      <c r="AI131" s="12"/>
      <c r="AJ131" s="12"/>
      <c r="AK131" s="12"/>
      <c r="AL131" s="12"/>
      <c r="AM131" s="12"/>
      <c r="AN131" s="12"/>
      <c r="AO131" s="12"/>
      <c r="AP131" s="12"/>
      <c r="AQ131" s="12"/>
      <c r="AR131" s="12"/>
      <c r="AS131" s="12"/>
      <c r="AT131" s="12"/>
      <c r="AU131" s="12"/>
      <c r="AV131" s="12"/>
      <c r="AW131" s="12"/>
      <c r="AX131" s="12"/>
      <c r="AY131" s="12"/>
      <c r="AZ131" s="12"/>
      <c r="BA131" s="12"/>
      <c r="BB131" s="12"/>
      <c r="BC131" s="12"/>
      <c r="BD131" s="12"/>
      <c r="BE131" s="12"/>
      <c r="BF131" s="12"/>
      <c r="BG131" s="12"/>
      <c r="BH131" s="12"/>
      <c r="BI131" s="12"/>
      <c r="BJ131" s="12"/>
      <c r="BK131" s="12"/>
      <c r="BL131" s="12"/>
      <c r="BM131" s="12"/>
      <c r="BN131" s="12"/>
      <c r="BO131" s="12"/>
      <c r="BP131" s="12"/>
      <c r="BQ131" s="12"/>
      <c r="BR131" s="12"/>
      <c r="BS131" s="12"/>
      <c r="BT131" s="12"/>
      <c r="BU131" s="12"/>
      <c r="BV131" s="12"/>
      <c r="BW131" s="12"/>
      <c r="BX131" s="12"/>
      <c r="BY131" s="12"/>
      <c r="BZ131" s="12"/>
      <c r="CA131" s="12"/>
      <c r="CB131" s="12"/>
      <c r="CC131" s="12"/>
      <c r="CD131" s="12"/>
      <c r="CE131" s="12"/>
      <c r="CF131" s="12"/>
    </row>
    <row r="132" spans="1:84" x14ac:dyDescent="0.3">
      <c r="A132" s="12"/>
      <c r="B132" s="12"/>
      <c r="C132" s="12"/>
      <c r="D132" s="12"/>
      <c r="E132" s="12"/>
      <c r="F132" s="12"/>
      <c r="G132" s="12"/>
      <c r="H132" s="12"/>
      <c r="I132" s="12"/>
      <c r="J132" s="12"/>
      <c r="K132" s="12"/>
      <c r="L132" s="12"/>
      <c r="M132" s="12"/>
      <c r="N132" s="12"/>
      <c r="O132" s="12"/>
      <c r="P132" s="12"/>
      <c r="Q132" s="12"/>
      <c r="R132" s="12"/>
      <c r="S132" s="12"/>
      <c r="T132" s="12"/>
      <c r="U132" s="12"/>
      <c r="V132" s="12"/>
      <c r="W132" s="12"/>
      <c r="X132" s="12"/>
      <c r="Y132" s="12"/>
      <c r="Z132" s="12"/>
      <c r="AA132" s="12"/>
      <c r="AB132" s="12"/>
      <c r="AC132" s="12"/>
      <c r="AD132" s="12"/>
      <c r="AE132" s="12"/>
      <c r="AF132" s="12"/>
      <c r="AG132" s="12"/>
      <c r="AH132" s="12"/>
      <c r="AI132" s="12"/>
      <c r="AJ132" s="12"/>
      <c r="AK132" s="12"/>
      <c r="AL132" s="12"/>
      <c r="AM132" s="12"/>
      <c r="AN132" s="12"/>
      <c r="AO132" s="12"/>
      <c r="AP132" s="12"/>
      <c r="AQ132" s="12"/>
      <c r="AR132" s="12"/>
      <c r="AS132" s="12"/>
      <c r="AT132" s="12"/>
      <c r="AU132" s="12"/>
      <c r="AV132" s="12"/>
      <c r="AW132" s="12"/>
      <c r="AX132" s="12"/>
      <c r="AY132" s="12"/>
      <c r="AZ132" s="12"/>
      <c r="BA132" s="12"/>
      <c r="BB132" s="12"/>
      <c r="BC132" s="12"/>
      <c r="BD132" s="12"/>
      <c r="BE132" s="12"/>
      <c r="BF132" s="12"/>
      <c r="BG132" s="12"/>
      <c r="BH132" s="12"/>
      <c r="BI132" s="12"/>
      <c r="BJ132" s="12"/>
      <c r="BK132" s="12"/>
      <c r="BL132" s="12"/>
      <c r="BM132" s="12"/>
      <c r="BN132" s="12"/>
      <c r="BO132" s="12"/>
      <c r="BP132" s="12"/>
      <c r="BQ132" s="12"/>
      <c r="BR132" s="12"/>
      <c r="BS132" s="12"/>
      <c r="BT132" s="12"/>
      <c r="BU132" s="12"/>
      <c r="BV132" s="12"/>
      <c r="BW132" s="12"/>
      <c r="BX132" s="12"/>
      <c r="BY132" s="12"/>
      <c r="BZ132" s="12"/>
      <c r="CA132" s="12"/>
      <c r="CB132" s="12"/>
      <c r="CC132" s="12"/>
      <c r="CD132" s="12"/>
      <c r="CE132" s="12"/>
      <c r="CF132" s="12"/>
    </row>
    <row r="133" spans="1:84" x14ac:dyDescent="0.3">
      <c r="A133" s="12"/>
      <c r="B133" s="12"/>
      <c r="C133" s="12"/>
      <c r="D133" s="12"/>
      <c r="E133" s="12"/>
      <c r="F133" s="12"/>
      <c r="G133" s="12"/>
      <c r="H133" s="12"/>
      <c r="I133" s="12"/>
      <c r="J133" s="12"/>
      <c r="K133" s="12"/>
      <c r="L133" s="12"/>
      <c r="M133" s="12"/>
      <c r="N133" s="12"/>
      <c r="O133" s="12"/>
      <c r="P133" s="12"/>
      <c r="Q133" s="12"/>
      <c r="R133" s="12"/>
      <c r="S133" s="12"/>
      <c r="T133" s="12"/>
      <c r="U133" s="12"/>
      <c r="V133" s="12"/>
      <c r="W133" s="12"/>
      <c r="X133" s="12"/>
      <c r="Y133" s="12"/>
      <c r="Z133" s="12"/>
      <c r="AA133" s="12"/>
      <c r="AB133" s="12"/>
      <c r="AC133" s="12"/>
      <c r="AD133" s="12"/>
      <c r="AE133" s="12"/>
      <c r="AF133" s="12"/>
      <c r="AG133" s="12"/>
      <c r="AH133" s="12"/>
      <c r="AI133" s="12"/>
      <c r="AJ133" s="12"/>
      <c r="AK133" s="12"/>
      <c r="AL133" s="12"/>
      <c r="AM133" s="12"/>
      <c r="AN133" s="12"/>
      <c r="AO133" s="12"/>
      <c r="AP133" s="12"/>
      <c r="AQ133" s="12"/>
      <c r="AR133" s="12"/>
      <c r="AS133" s="12"/>
      <c r="AT133" s="12"/>
      <c r="AU133" s="12"/>
      <c r="AV133" s="12"/>
      <c r="AW133" s="12"/>
      <c r="AX133" s="12"/>
      <c r="AY133" s="12"/>
      <c r="AZ133" s="12"/>
      <c r="BA133" s="12"/>
      <c r="BB133" s="12"/>
      <c r="BC133" s="12"/>
      <c r="BD133" s="12"/>
      <c r="BE133" s="12"/>
      <c r="BF133" s="12"/>
      <c r="BG133" s="12"/>
      <c r="BH133" s="12"/>
      <c r="BI133" s="12"/>
      <c r="BJ133" s="12"/>
      <c r="BK133" s="12"/>
      <c r="BL133" s="12"/>
      <c r="BM133" s="12"/>
      <c r="BN133" s="12"/>
      <c r="BO133" s="12"/>
      <c r="BP133" s="12"/>
      <c r="BQ133" s="12"/>
      <c r="BR133" s="12"/>
      <c r="BS133" s="12"/>
      <c r="BT133" s="12"/>
      <c r="BU133" s="12"/>
      <c r="BV133" s="12"/>
      <c r="BW133" s="12"/>
      <c r="BX133" s="12"/>
      <c r="BY133" s="12"/>
      <c r="BZ133" s="12"/>
      <c r="CA133" s="12"/>
      <c r="CB133" s="12"/>
      <c r="CC133" s="12"/>
      <c r="CD133" s="12"/>
      <c r="CE133" s="12"/>
      <c r="CF133" s="12"/>
    </row>
    <row r="134" spans="1:84" x14ac:dyDescent="0.3">
      <c r="A134" s="12"/>
      <c r="B134" s="12"/>
      <c r="C134" s="12"/>
      <c r="D134" s="12"/>
      <c r="E134" s="12"/>
      <c r="F134" s="12"/>
      <c r="G134" s="12"/>
      <c r="H134" s="12"/>
      <c r="I134" s="12"/>
      <c r="J134" s="12"/>
      <c r="K134" s="12"/>
      <c r="L134" s="12"/>
      <c r="M134" s="12"/>
      <c r="N134" s="12"/>
      <c r="O134" s="12"/>
      <c r="P134" s="12"/>
      <c r="Q134" s="12"/>
      <c r="R134" s="12"/>
      <c r="S134" s="12"/>
      <c r="T134" s="12"/>
      <c r="U134" s="12"/>
      <c r="V134" s="12"/>
      <c r="W134" s="12"/>
      <c r="X134" s="12"/>
      <c r="Y134" s="12"/>
      <c r="Z134" s="12"/>
      <c r="AA134" s="12"/>
      <c r="AB134" s="12"/>
      <c r="AC134" s="12"/>
      <c r="AD134" s="12"/>
      <c r="AE134" s="12"/>
      <c r="AF134" s="12"/>
      <c r="AG134" s="12"/>
      <c r="AH134" s="12"/>
      <c r="AI134" s="12"/>
      <c r="AJ134" s="12"/>
      <c r="AK134" s="12"/>
      <c r="AL134" s="12"/>
      <c r="AM134" s="12"/>
      <c r="AN134" s="12"/>
      <c r="AO134" s="12"/>
      <c r="AP134" s="12"/>
      <c r="AQ134" s="12"/>
      <c r="AR134" s="12"/>
      <c r="AS134" s="12"/>
      <c r="AT134" s="12"/>
      <c r="AU134" s="12"/>
      <c r="AV134" s="12"/>
      <c r="AW134" s="12"/>
      <c r="AX134" s="12"/>
      <c r="AY134" s="12"/>
      <c r="AZ134" s="12"/>
      <c r="BA134" s="12"/>
      <c r="BB134" s="12"/>
      <c r="BC134" s="12"/>
      <c r="BD134" s="12"/>
      <c r="BE134" s="12"/>
      <c r="BF134" s="12"/>
      <c r="BG134" s="12"/>
      <c r="BH134" s="12"/>
      <c r="BI134" s="12"/>
      <c r="BJ134" s="12"/>
      <c r="BK134" s="12"/>
      <c r="BL134" s="12"/>
      <c r="BM134" s="12"/>
      <c r="BN134" s="12"/>
      <c r="BO134" s="12"/>
      <c r="BP134" s="12"/>
      <c r="BQ134" s="12"/>
      <c r="BR134" s="12"/>
      <c r="BS134" s="12"/>
      <c r="BT134" s="12"/>
      <c r="BU134" s="12"/>
      <c r="BV134" s="12"/>
      <c r="BW134" s="12"/>
      <c r="BX134" s="12"/>
      <c r="BY134" s="12"/>
      <c r="BZ134" s="12"/>
      <c r="CA134" s="12"/>
      <c r="CB134" s="12"/>
      <c r="CC134" s="12"/>
      <c r="CD134" s="12"/>
      <c r="CE134" s="12"/>
      <c r="CF134" s="12"/>
    </row>
    <row r="135" spans="1:84" x14ac:dyDescent="0.3">
      <c r="A135" s="12"/>
      <c r="B135" s="12"/>
      <c r="C135" s="12"/>
      <c r="D135" s="12"/>
      <c r="E135" s="12"/>
      <c r="F135" s="12"/>
      <c r="G135" s="12"/>
      <c r="H135" s="12"/>
      <c r="I135" s="12"/>
      <c r="J135" s="12"/>
      <c r="K135" s="12"/>
      <c r="L135" s="12"/>
      <c r="M135" s="12"/>
      <c r="N135" s="12"/>
      <c r="O135" s="12"/>
      <c r="P135" s="12"/>
      <c r="Q135" s="12"/>
      <c r="R135" s="12"/>
      <c r="S135" s="12"/>
      <c r="T135" s="12"/>
      <c r="U135" s="12"/>
      <c r="V135" s="12"/>
      <c r="W135" s="12"/>
      <c r="X135" s="12"/>
      <c r="Y135" s="12"/>
      <c r="Z135" s="12"/>
      <c r="AA135" s="12"/>
      <c r="AB135" s="12"/>
      <c r="AC135" s="12"/>
      <c r="AD135" s="12"/>
      <c r="AE135" s="12"/>
      <c r="AF135" s="12"/>
      <c r="AG135" s="12"/>
      <c r="AH135" s="12"/>
      <c r="AI135" s="12"/>
      <c r="AJ135" s="12"/>
      <c r="AK135" s="12"/>
      <c r="AL135" s="12"/>
      <c r="AM135" s="12"/>
      <c r="AN135" s="12"/>
      <c r="AO135" s="12"/>
      <c r="AP135" s="12"/>
      <c r="AQ135" s="12"/>
      <c r="AR135" s="12"/>
      <c r="AS135" s="12"/>
      <c r="AT135" s="12"/>
      <c r="AU135" s="12"/>
      <c r="AV135" s="12"/>
      <c r="AW135" s="12"/>
      <c r="AX135" s="12"/>
      <c r="AY135" s="12"/>
      <c r="AZ135" s="12"/>
      <c r="BA135" s="12"/>
      <c r="BB135" s="12"/>
      <c r="BC135" s="12"/>
      <c r="BD135" s="12"/>
      <c r="BE135" s="12"/>
      <c r="BF135" s="12"/>
      <c r="BG135" s="12"/>
      <c r="BH135" s="12"/>
      <c r="BI135" s="12"/>
      <c r="BJ135" s="12"/>
      <c r="BK135" s="12"/>
      <c r="BL135" s="12"/>
      <c r="BM135" s="12"/>
      <c r="BN135" s="12"/>
      <c r="BO135" s="12"/>
      <c r="BP135" s="12"/>
      <c r="BQ135" s="12"/>
      <c r="BR135" s="12"/>
      <c r="BS135" s="12"/>
      <c r="BT135" s="12"/>
      <c r="BU135" s="12"/>
      <c r="BV135" s="12"/>
      <c r="BW135" s="12"/>
      <c r="BX135" s="12"/>
      <c r="BY135" s="12"/>
      <c r="BZ135" s="12"/>
      <c r="CA135" s="12"/>
      <c r="CB135" s="12"/>
      <c r="CC135" s="12"/>
      <c r="CD135" s="12"/>
      <c r="CE135" s="12"/>
      <c r="CF135" s="12"/>
    </row>
    <row r="136" spans="1:84" x14ac:dyDescent="0.3">
      <c r="A136" s="12"/>
      <c r="B136" s="12"/>
      <c r="C136" s="12"/>
      <c r="D136" s="12"/>
      <c r="E136" s="12"/>
      <c r="F136" s="12"/>
      <c r="G136" s="12"/>
      <c r="H136" s="12"/>
      <c r="I136" s="12"/>
      <c r="J136" s="12"/>
      <c r="K136" s="12"/>
      <c r="L136" s="12"/>
      <c r="M136" s="12"/>
      <c r="N136" s="12"/>
      <c r="O136" s="12"/>
      <c r="P136" s="12"/>
      <c r="Q136" s="12"/>
      <c r="R136" s="12"/>
      <c r="S136" s="12"/>
      <c r="T136" s="12"/>
      <c r="U136" s="12"/>
      <c r="V136" s="12"/>
      <c r="W136" s="12"/>
      <c r="X136" s="12"/>
      <c r="Y136" s="12"/>
      <c r="Z136" s="12"/>
      <c r="AA136" s="12"/>
      <c r="AB136" s="12"/>
      <c r="AC136" s="12"/>
      <c r="AD136" s="12"/>
      <c r="AE136" s="12"/>
      <c r="AF136" s="12"/>
      <c r="AG136" s="12"/>
      <c r="AH136" s="12"/>
      <c r="AI136" s="12"/>
      <c r="AJ136" s="12"/>
      <c r="AK136" s="12"/>
      <c r="AL136" s="12"/>
      <c r="AM136" s="12"/>
      <c r="AN136" s="12"/>
      <c r="AO136" s="12"/>
      <c r="AP136" s="12"/>
      <c r="AQ136" s="12"/>
      <c r="AR136" s="12"/>
      <c r="AS136" s="12"/>
      <c r="AT136" s="12"/>
      <c r="AU136" s="12"/>
      <c r="AV136" s="12"/>
      <c r="AW136" s="12"/>
      <c r="AX136" s="12"/>
      <c r="AY136" s="12"/>
      <c r="AZ136" s="12"/>
      <c r="BA136" s="12"/>
      <c r="BB136" s="12"/>
      <c r="BC136" s="12"/>
      <c r="BD136" s="12"/>
      <c r="BE136" s="12"/>
      <c r="BF136" s="12"/>
      <c r="BG136" s="12"/>
      <c r="BH136" s="12"/>
      <c r="BI136" s="12"/>
      <c r="BJ136" s="12"/>
      <c r="BK136" s="12"/>
      <c r="BL136" s="12"/>
      <c r="BM136" s="12"/>
      <c r="BN136" s="12"/>
      <c r="BO136" s="12"/>
      <c r="BP136" s="12"/>
      <c r="BQ136" s="12"/>
      <c r="BR136" s="12"/>
      <c r="BS136" s="12"/>
      <c r="BT136" s="12"/>
      <c r="BU136" s="12"/>
      <c r="BV136" s="12"/>
      <c r="BW136" s="12"/>
      <c r="BX136" s="12"/>
      <c r="BY136" s="12"/>
      <c r="BZ136" s="12"/>
      <c r="CA136" s="12"/>
      <c r="CB136" s="12"/>
      <c r="CC136" s="12"/>
      <c r="CD136" s="12"/>
      <c r="CE136" s="12"/>
      <c r="CF136" s="12"/>
    </row>
    <row r="137" spans="1:84" x14ac:dyDescent="0.3">
      <c r="A137" s="12"/>
      <c r="B137" s="12"/>
      <c r="C137" s="12"/>
      <c r="D137" s="12"/>
      <c r="E137" s="12"/>
      <c r="F137" s="12"/>
      <c r="G137" s="12"/>
      <c r="H137" s="12"/>
      <c r="I137" s="12"/>
      <c r="J137" s="12"/>
      <c r="K137" s="12"/>
      <c r="L137" s="12"/>
      <c r="M137" s="12"/>
      <c r="N137" s="12"/>
      <c r="O137" s="12"/>
      <c r="P137" s="12"/>
      <c r="Q137" s="12"/>
      <c r="R137" s="12"/>
      <c r="S137" s="12"/>
      <c r="T137" s="12"/>
      <c r="U137" s="12"/>
      <c r="V137" s="12"/>
      <c r="W137" s="12"/>
      <c r="X137" s="12"/>
      <c r="Y137" s="12"/>
      <c r="Z137" s="12"/>
      <c r="AA137" s="12"/>
      <c r="AB137" s="12"/>
      <c r="AC137" s="12"/>
      <c r="AD137" s="12"/>
      <c r="AE137" s="12"/>
      <c r="AF137" s="12"/>
      <c r="AG137" s="12"/>
      <c r="AH137" s="12"/>
      <c r="AI137" s="12"/>
      <c r="AJ137" s="12"/>
      <c r="AK137" s="12"/>
      <c r="AL137" s="12"/>
      <c r="AM137" s="12"/>
      <c r="AN137" s="12"/>
      <c r="AO137" s="12"/>
      <c r="AP137" s="12"/>
      <c r="AQ137" s="12"/>
      <c r="AR137" s="12"/>
      <c r="AS137" s="12"/>
      <c r="AT137" s="12"/>
      <c r="AU137" s="12"/>
      <c r="AV137" s="12"/>
      <c r="AW137" s="12"/>
      <c r="AX137" s="12"/>
      <c r="AY137" s="12"/>
      <c r="AZ137" s="12"/>
      <c r="BA137" s="12"/>
      <c r="BB137" s="12"/>
      <c r="BC137" s="12"/>
      <c r="BD137" s="12"/>
      <c r="BE137" s="12"/>
      <c r="BF137" s="12"/>
      <c r="BG137" s="12"/>
      <c r="BH137" s="12"/>
      <c r="BI137" s="12"/>
      <c r="BJ137" s="12"/>
      <c r="BK137" s="12"/>
      <c r="BL137" s="12"/>
      <c r="BM137" s="12"/>
      <c r="BN137" s="12"/>
      <c r="BO137" s="12"/>
      <c r="BP137" s="12"/>
      <c r="BQ137" s="12"/>
      <c r="BR137" s="12"/>
      <c r="BS137" s="12"/>
      <c r="BT137" s="12"/>
      <c r="BU137" s="12"/>
      <c r="BV137" s="12"/>
      <c r="BW137" s="12"/>
      <c r="BX137" s="12"/>
      <c r="BY137" s="12"/>
      <c r="BZ137" s="12"/>
      <c r="CA137" s="12"/>
      <c r="CB137" s="12"/>
      <c r="CC137" s="12"/>
      <c r="CD137" s="12"/>
      <c r="CE137" s="12"/>
      <c r="CF137" s="12"/>
    </row>
    <row r="138" spans="1:84" x14ac:dyDescent="0.3">
      <c r="A138" s="12"/>
      <c r="B138" s="12"/>
      <c r="C138" s="12"/>
      <c r="D138" s="12"/>
      <c r="E138" s="12"/>
      <c r="F138" s="12"/>
      <c r="G138" s="12"/>
      <c r="H138" s="12"/>
      <c r="I138" s="12"/>
      <c r="J138" s="12"/>
      <c r="K138" s="12"/>
      <c r="L138" s="12"/>
      <c r="M138" s="12"/>
      <c r="N138" s="12"/>
      <c r="O138" s="12"/>
      <c r="P138" s="12"/>
      <c r="Q138" s="12"/>
      <c r="R138" s="12"/>
      <c r="S138" s="12"/>
      <c r="T138" s="12"/>
      <c r="U138" s="12"/>
      <c r="V138" s="12"/>
      <c r="W138" s="12"/>
      <c r="X138" s="12"/>
      <c r="Y138" s="12"/>
      <c r="Z138" s="12"/>
      <c r="AA138" s="12"/>
      <c r="AB138" s="12"/>
      <c r="AC138" s="12"/>
      <c r="AD138" s="12"/>
      <c r="AE138" s="12"/>
      <c r="AF138" s="12"/>
      <c r="AG138" s="12"/>
      <c r="AH138" s="12"/>
      <c r="AI138" s="12"/>
      <c r="AJ138" s="12"/>
      <c r="AK138" s="12"/>
      <c r="AL138" s="12"/>
      <c r="AM138" s="12"/>
      <c r="AN138" s="12"/>
      <c r="AO138" s="12"/>
      <c r="AP138" s="12"/>
      <c r="AQ138" s="12"/>
      <c r="AR138" s="12"/>
      <c r="AS138" s="12"/>
      <c r="AT138" s="12"/>
      <c r="AU138" s="12"/>
      <c r="AV138" s="12"/>
      <c r="AW138" s="12"/>
      <c r="AX138" s="12"/>
      <c r="AY138" s="12"/>
      <c r="AZ138" s="12"/>
      <c r="BA138" s="12"/>
      <c r="BB138" s="12"/>
      <c r="BC138" s="12"/>
      <c r="BD138" s="12"/>
      <c r="BE138" s="12"/>
      <c r="BF138" s="12"/>
      <c r="BG138" s="12"/>
      <c r="BH138" s="12"/>
      <c r="BI138" s="12"/>
      <c r="BJ138" s="12"/>
      <c r="BK138" s="12"/>
      <c r="BL138" s="12"/>
      <c r="BM138" s="12"/>
      <c r="BN138" s="12"/>
      <c r="BO138" s="12"/>
      <c r="BP138" s="12"/>
      <c r="BQ138" s="12"/>
      <c r="BR138" s="12"/>
      <c r="BS138" s="12"/>
      <c r="BT138" s="12"/>
      <c r="BU138" s="12"/>
      <c r="BV138" s="12"/>
      <c r="BW138" s="12"/>
      <c r="BX138" s="12"/>
      <c r="BY138" s="12"/>
      <c r="BZ138" s="12"/>
      <c r="CA138" s="12"/>
      <c r="CB138" s="12"/>
      <c r="CC138" s="12"/>
      <c r="CD138" s="12"/>
      <c r="CE138" s="12"/>
      <c r="CF138" s="12"/>
    </row>
    <row r="139" spans="1:84" x14ac:dyDescent="0.3">
      <c r="A139" s="12"/>
      <c r="B139" s="12"/>
      <c r="C139" s="12"/>
      <c r="D139" s="12"/>
      <c r="E139" s="12"/>
      <c r="F139" s="12"/>
      <c r="G139" s="12"/>
      <c r="H139" s="12"/>
      <c r="I139" s="12"/>
      <c r="J139" s="12"/>
      <c r="K139" s="12"/>
      <c r="L139" s="12"/>
      <c r="M139" s="12"/>
      <c r="N139" s="12"/>
      <c r="O139" s="12"/>
      <c r="P139" s="12"/>
      <c r="Q139" s="12"/>
      <c r="R139" s="12"/>
      <c r="S139" s="12"/>
      <c r="T139" s="12"/>
      <c r="U139" s="12"/>
      <c r="V139" s="12"/>
      <c r="W139" s="12"/>
      <c r="X139" s="12"/>
      <c r="Y139" s="12"/>
      <c r="Z139" s="12"/>
      <c r="AA139" s="12"/>
      <c r="AB139" s="12"/>
      <c r="AC139" s="12"/>
      <c r="AD139" s="12"/>
      <c r="AE139" s="12"/>
      <c r="AF139" s="12"/>
      <c r="AG139" s="12"/>
      <c r="AH139" s="12"/>
      <c r="AI139" s="12"/>
      <c r="AJ139" s="12"/>
      <c r="AK139" s="12"/>
      <c r="AL139" s="12"/>
      <c r="AM139" s="12"/>
      <c r="AN139" s="12"/>
      <c r="AO139" s="12"/>
      <c r="AP139" s="12"/>
      <c r="AQ139" s="12"/>
      <c r="AR139" s="12"/>
      <c r="AS139" s="12"/>
      <c r="AT139" s="12"/>
      <c r="AU139" s="12"/>
      <c r="AV139" s="12"/>
      <c r="AW139" s="12"/>
      <c r="AX139" s="12"/>
      <c r="AY139" s="12"/>
      <c r="AZ139" s="12"/>
      <c r="BA139" s="12"/>
      <c r="BB139" s="12"/>
      <c r="BC139" s="12"/>
      <c r="BD139" s="12"/>
      <c r="BE139" s="12"/>
      <c r="BF139" s="12"/>
      <c r="BG139" s="12"/>
      <c r="BH139" s="12"/>
      <c r="BI139" s="12"/>
      <c r="BJ139" s="12"/>
      <c r="BK139" s="12"/>
      <c r="BL139" s="12"/>
      <c r="BM139" s="12"/>
      <c r="BN139" s="12"/>
      <c r="BO139" s="12"/>
      <c r="BP139" s="12"/>
      <c r="BQ139" s="12"/>
      <c r="BR139" s="12"/>
      <c r="BS139" s="12"/>
      <c r="BT139" s="12"/>
      <c r="BU139" s="12"/>
      <c r="BV139" s="12"/>
      <c r="BW139" s="12"/>
      <c r="BX139" s="12"/>
      <c r="BY139" s="12"/>
      <c r="BZ139" s="12"/>
      <c r="CA139" s="12"/>
      <c r="CB139" s="12"/>
      <c r="CC139" s="12"/>
      <c r="CD139" s="12"/>
      <c r="CE139" s="12"/>
      <c r="CF139" s="12"/>
    </row>
    <row r="140" spans="1:84" x14ac:dyDescent="0.3">
      <c r="A140" s="12"/>
      <c r="B140" s="12"/>
      <c r="C140" s="12"/>
      <c r="D140" s="12"/>
      <c r="E140" s="12"/>
      <c r="F140" s="12"/>
      <c r="G140" s="12"/>
      <c r="H140" s="12"/>
      <c r="I140" s="12"/>
      <c r="J140" s="12"/>
      <c r="K140" s="12"/>
      <c r="L140" s="12"/>
      <c r="M140" s="12"/>
      <c r="N140" s="12"/>
      <c r="O140" s="12"/>
      <c r="P140" s="12"/>
      <c r="Q140" s="12"/>
      <c r="R140" s="12"/>
      <c r="S140" s="12"/>
      <c r="T140" s="12"/>
      <c r="U140" s="12"/>
      <c r="V140" s="12"/>
      <c r="W140" s="12"/>
      <c r="X140" s="12"/>
      <c r="Y140" s="12"/>
      <c r="Z140" s="12"/>
      <c r="AA140" s="12"/>
      <c r="AB140" s="12"/>
      <c r="AC140" s="12"/>
      <c r="AD140" s="12"/>
      <c r="AE140" s="12"/>
      <c r="AF140" s="12"/>
      <c r="AG140" s="12"/>
      <c r="AH140" s="12"/>
      <c r="AI140" s="12"/>
      <c r="AJ140" s="12"/>
      <c r="AK140" s="12"/>
      <c r="AL140" s="12"/>
      <c r="AM140" s="12"/>
      <c r="AN140" s="12"/>
      <c r="AO140" s="12"/>
      <c r="AP140" s="12"/>
      <c r="AQ140" s="12"/>
      <c r="AR140" s="12"/>
      <c r="AS140" s="12"/>
      <c r="AT140" s="12"/>
      <c r="AU140" s="12"/>
      <c r="AV140" s="12"/>
      <c r="AW140" s="12"/>
      <c r="AX140" s="12"/>
      <c r="AY140" s="12"/>
      <c r="AZ140" s="12"/>
      <c r="BA140" s="12"/>
      <c r="BB140" s="12"/>
      <c r="BC140" s="12"/>
      <c r="BD140" s="12"/>
      <c r="BE140" s="12"/>
      <c r="BF140" s="12"/>
      <c r="BG140" s="12"/>
      <c r="BH140" s="12"/>
      <c r="BI140" s="12"/>
      <c r="BJ140" s="12"/>
      <c r="BK140" s="12"/>
      <c r="BL140" s="12"/>
      <c r="BM140" s="12"/>
      <c r="BN140" s="12"/>
      <c r="BO140" s="12"/>
      <c r="BP140" s="12"/>
      <c r="BQ140" s="12"/>
      <c r="BR140" s="12"/>
      <c r="BS140" s="12"/>
      <c r="BT140" s="12"/>
      <c r="BU140" s="12"/>
      <c r="BV140" s="12"/>
      <c r="BW140" s="12"/>
      <c r="BX140" s="12"/>
      <c r="BY140" s="12"/>
      <c r="BZ140" s="12"/>
      <c r="CA140" s="12"/>
      <c r="CB140" s="12"/>
      <c r="CC140" s="12"/>
      <c r="CD140" s="12"/>
      <c r="CE140" s="12"/>
      <c r="CF140" s="12"/>
    </row>
    <row r="141" spans="1:84" x14ac:dyDescent="0.3">
      <c r="A141" s="12"/>
      <c r="B141" s="12"/>
      <c r="C141" s="12"/>
      <c r="D141" s="12"/>
      <c r="E141" s="12"/>
      <c r="F141" s="12"/>
      <c r="G141" s="12"/>
      <c r="H141" s="12"/>
      <c r="I141" s="12"/>
      <c r="J141" s="12"/>
      <c r="K141" s="12"/>
      <c r="L141" s="12"/>
      <c r="M141" s="12"/>
      <c r="N141" s="12"/>
      <c r="O141" s="12"/>
      <c r="P141" s="12"/>
      <c r="Q141" s="12"/>
      <c r="R141" s="12"/>
      <c r="S141" s="12"/>
      <c r="T141" s="12"/>
      <c r="U141" s="12"/>
      <c r="V141" s="12"/>
      <c r="W141" s="12"/>
      <c r="X141" s="12"/>
      <c r="Y141" s="12"/>
      <c r="Z141" s="12"/>
      <c r="AA141" s="12"/>
      <c r="AB141" s="12"/>
      <c r="AC141" s="12"/>
      <c r="AD141" s="12"/>
      <c r="AE141" s="12"/>
      <c r="AF141" s="12"/>
      <c r="AG141" s="12"/>
      <c r="AH141" s="12"/>
      <c r="AI141" s="12"/>
      <c r="AJ141" s="12"/>
      <c r="AK141" s="12"/>
      <c r="AL141" s="12"/>
      <c r="AM141" s="12"/>
      <c r="AN141" s="12"/>
      <c r="AO141" s="12"/>
      <c r="AP141" s="12"/>
      <c r="AQ141" s="12"/>
      <c r="AR141" s="12"/>
      <c r="AS141" s="12"/>
      <c r="AT141" s="12"/>
      <c r="AU141" s="12"/>
      <c r="AV141" s="12"/>
      <c r="AW141" s="12"/>
      <c r="AX141" s="12"/>
      <c r="AY141" s="12"/>
      <c r="AZ141" s="12"/>
      <c r="BA141" s="12"/>
      <c r="BB141" s="12"/>
      <c r="BC141" s="12"/>
      <c r="BD141" s="12"/>
      <c r="BE141" s="12"/>
      <c r="BF141" s="12"/>
      <c r="BG141" s="12"/>
      <c r="BH141" s="12"/>
      <c r="BI141" s="12"/>
      <c r="BJ141" s="12"/>
      <c r="BK141" s="12"/>
      <c r="BL141" s="12"/>
      <c r="BM141" s="12"/>
      <c r="BN141" s="12"/>
      <c r="BO141" s="12"/>
      <c r="BP141" s="12"/>
      <c r="BQ141" s="12"/>
      <c r="BR141" s="12"/>
      <c r="BS141" s="12"/>
      <c r="BT141" s="12"/>
      <c r="BU141" s="12"/>
      <c r="BV141" s="12"/>
      <c r="BW141" s="12"/>
      <c r="BX141" s="12"/>
      <c r="BY141" s="12"/>
      <c r="BZ141" s="12"/>
      <c r="CA141" s="12"/>
      <c r="CB141" s="12"/>
      <c r="CC141" s="12"/>
      <c r="CD141" s="12"/>
      <c r="CE141" s="12"/>
      <c r="CF141" s="12"/>
    </row>
    <row r="142" spans="1:84" x14ac:dyDescent="0.3">
      <c r="A142" s="12"/>
      <c r="B142" s="12"/>
      <c r="C142" s="12"/>
      <c r="D142" s="12"/>
      <c r="E142" s="12"/>
      <c r="F142" s="12"/>
      <c r="G142" s="12"/>
      <c r="H142" s="12"/>
      <c r="I142" s="12"/>
      <c r="J142" s="12"/>
      <c r="K142" s="12"/>
      <c r="L142" s="12"/>
      <c r="M142" s="12"/>
      <c r="N142" s="12"/>
      <c r="O142" s="12"/>
      <c r="P142" s="12"/>
      <c r="Q142" s="12"/>
      <c r="R142" s="12"/>
      <c r="S142" s="12"/>
      <c r="T142" s="12"/>
      <c r="U142" s="12"/>
      <c r="V142" s="12"/>
      <c r="W142" s="12"/>
      <c r="X142" s="12"/>
      <c r="Y142" s="12"/>
      <c r="Z142" s="12"/>
      <c r="AA142" s="12"/>
      <c r="AB142" s="12"/>
      <c r="AC142" s="12"/>
      <c r="AD142" s="12"/>
      <c r="AE142" s="12"/>
      <c r="AF142" s="12"/>
      <c r="AG142" s="12"/>
      <c r="AH142" s="12"/>
      <c r="AI142" s="12"/>
      <c r="AJ142" s="12"/>
      <c r="AK142" s="12"/>
      <c r="AL142" s="12"/>
      <c r="AM142" s="12"/>
      <c r="AN142" s="12"/>
      <c r="AO142" s="12"/>
      <c r="AP142" s="12"/>
      <c r="AQ142" s="12"/>
      <c r="AR142" s="12"/>
      <c r="AS142" s="12"/>
      <c r="AT142" s="12"/>
      <c r="AU142" s="12"/>
      <c r="AV142" s="12"/>
      <c r="AW142" s="12"/>
      <c r="AX142" s="12"/>
      <c r="AY142" s="12"/>
      <c r="AZ142" s="12"/>
      <c r="BA142" s="12"/>
      <c r="BB142" s="12"/>
      <c r="BC142" s="12"/>
      <c r="BD142" s="12"/>
      <c r="BE142" s="12"/>
      <c r="BF142" s="12"/>
      <c r="BG142" s="12"/>
      <c r="BH142" s="12"/>
      <c r="BI142" s="12"/>
      <c r="BJ142" s="12"/>
      <c r="BK142" s="12"/>
      <c r="BL142" s="12"/>
      <c r="BM142" s="12"/>
      <c r="BN142" s="12"/>
      <c r="BO142" s="12"/>
      <c r="BP142" s="12"/>
      <c r="BQ142" s="12"/>
      <c r="BR142" s="12"/>
      <c r="BS142" s="12"/>
      <c r="BT142" s="12"/>
      <c r="BU142" s="12"/>
      <c r="BV142" s="12"/>
      <c r="BW142" s="12"/>
      <c r="BX142" s="12"/>
      <c r="BY142" s="12"/>
      <c r="BZ142" s="12"/>
      <c r="CA142" s="12"/>
      <c r="CB142" s="12"/>
      <c r="CC142" s="12"/>
      <c r="CD142" s="12"/>
      <c r="CE142" s="12"/>
      <c r="CF142" s="12"/>
    </row>
    <row r="143" spans="1:84" x14ac:dyDescent="0.3">
      <c r="A143" s="12"/>
      <c r="B143" s="12"/>
      <c r="C143" s="12"/>
      <c r="D143" s="12"/>
      <c r="E143" s="12"/>
      <c r="F143" s="12"/>
      <c r="G143" s="12"/>
      <c r="H143" s="12"/>
      <c r="I143" s="12"/>
      <c r="J143" s="12"/>
      <c r="K143" s="12"/>
      <c r="L143" s="12"/>
      <c r="M143" s="12"/>
      <c r="N143" s="12"/>
      <c r="O143" s="12"/>
      <c r="P143" s="12"/>
      <c r="Q143" s="12"/>
      <c r="R143" s="12"/>
      <c r="S143" s="12"/>
      <c r="T143" s="12"/>
      <c r="U143" s="12"/>
      <c r="V143" s="12"/>
      <c r="W143" s="12"/>
      <c r="X143" s="12"/>
      <c r="Y143" s="12"/>
      <c r="Z143" s="12"/>
      <c r="AA143" s="12"/>
      <c r="AB143" s="12"/>
      <c r="AC143" s="12"/>
      <c r="AD143" s="12"/>
      <c r="AE143" s="12"/>
      <c r="AF143" s="12"/>
      <c r="AG143" s="12"/>
      <c r="AH143" s="12"/>
      <c r="AI143" s="12"/>
      <c r="AJ143" s="12"/>
      <c r="AK143" s="12"/>
      <c r="AL143" s="12"/>
      <c r="AM143" s="12"/>
      <c r="AN143" s="12"/>
      <c r="AO143" s="12"/>
      <c r="AP143" s="12"/>
      <c r="AQ143" s="12"/>
      <c r="AR143" s="12"/>
      <c r="AS143" s="12"/>
      <c r="AT143" s="12"/>
      <c r="AU143" s="12"/>
      <c r="AV143" s="12"/>
      <c r="AW143" s="12"/>
      <c r="AX143" s="12"/>
      <c r="AY143" s="12"/>
      <c r="AZ143" s="12"/>
      <c r="BA143" s="12"/>
      <c r="BB143" s="12"/>
      <c r="BC143" s="12"/>
      <c r="BD143" s="12"/>
      <c r="BE143" s="12"/>
      <c r="BF143" s="12"/>
      <c r="BG143" s="12"/>
      <c r="BH143" s="12"/>
      <c r="BI143" s="12"/>
      <c r="BJ143" s="12"/>
      <c r="BK143" s="12"/>
      <c r="BL143" s="12"/>
      <c r="BM143" s="12"/>
      <c r="BN143" s="12"/>
      <c r="BO143" s="12"/>
      <c r="BP143" s="12"/>
      <c r="BQ143" s="12"/>
      <c r="BR143" s="12"/>
      <c r="BS143" s="12"/>
      <c r="BT143" s="12"/>
      <c r="BU143" s="12"/>
      <c r="BV143" s="12"/>
      <c r="BW143" s="12"/>
      <c r="BX143" s="12"/>
      <c r="BY143" s="12"/>
      <c r="BZ143" s="12"/>
      <c r="CA143" s="12"/>
      <c r="CB143" s="12"/>
      <c r="CC143" s="12"/>
      <c r="CD143" s="12"/>
      <c r="CE143" s="12"/>
      <c r="CF143" s="12"/>
    </row>
    <row r="144" spans="1:84" x14ac:dyDescent="0.3">
      <c r="A144" s="12"/>
      <c r="B144" s="12"/>
      <c r="C144" s="12"/>
      <c r="D144" s="12"/>
      <c r="E144" s="12"/>
      <c r="F144" s="12"/>
      <c r="G144" s="12"/>
      <c r="H144" s="12"/>
      <c r="I144" s="12"/>
      <c r="J144" s="12"/>
      <c r="K144" s="12"/>
      <c r="L144" s="12"/>
      <c r="M144" s="12"/>
      <c r="N144" s="12"/>
      <c r="O144" s="12"/>
      <c r="P144" s="12"/>
      <c r="Q144" s="12"/>
      <c r="R144" s="12"/>
      <c r="S144" s="12"/>
      <c r="T144" s="12"/>
      <c r="U144" s="12"/>
      <c r="V144" s="12"/>
      <c r="W144" s="12"/>
      <c r="X144" s="12"/>
      <c r="Y144" s="12"/>
      <c r="Z144" s="12"/>
      <c r="AA144" s="12"/>
      <c r="AB144" s="12"/>
      <c r="AC144" s="12"/>
      <c r="AD144" s="12"/>
      <c r="AE144" s="12"/>
      <c r="AF144" s="12"/>
      <c r="AG144" s="12"/>
      <c r="AH144" s="12"/>
      <c r="AI144" s="12"/>
      <c r="AJ144" s="12"/>
      <c r="AK144" s="12"/>
      <c r="AL144" s="12"/>
      <c r="AM144" s="12"/>
      <c r="AN144" s="12"/>
      <c r="AO144" s="12"/>
      <c r="AP144" s="12"/>
      <c r="AQ144" s="12"/>
      <c r="AR144" s="12"/>
      <c r="AS144" s="12"/>
      <c r="AT144" s="12"/>
      <c r="AU144" s="12"/>
      <c r="AV144" s="12"/>
      <c r="AW144" s="12"/>
      <c r="AX144" s="12"/>
      <c r="AY144" s="12"/>
      <c r="AZ144" s="12"/>
      <c r="BA144" s="12"/>
      <c r="BB144" s="12"/>
      <c r="BC144" s="12"/>
      <c r="BD144" s="12"/>
      <c r="BE144" s="12"/>
      <c r="BF144" s="12"/>
      <c r="BG144" s="12"/>
      <c r="BH144" s="12"/>
      <c r="BI144" s="12"/>
      <c r="BJ144" s="12"/>
      <c r="BK144" s="12"/>
      <c r="BL144" s="12"/>
      <c r="BM144" s="12"/>
      <c r="BN144" s="12"/>
      <c r="BO144" s="12"/>
      <c r="BP144" s="12"/>
      <c r="BQ144" s="12"/>
      <c r="BR144" s="12"/>
      <c r="BS144" s="12"/>
      <c r="BT144" s="12"/>
      <c r="BU144" s="12"/>
      <c r="BV144" s="12"/>
      <c r="BW144" s="12"/>
      <c r="BX144" s="12"/>
      <c r="BY144" s="12"/>
      <c r="BZ144" s="12"/>
      <c r="CA144" s="12"/>
      <c r="CB144" s="12"/>
      <c r="CC144" s="12"/>
      <c r="CD144" s="12"/>
      <c r="CE144" s="12"/>
      <c r="CF144" s="12"/>
    </row>
    <row r="145" spans="1:84" x14ac:dyDescent="0.3">
      <c r="A145" s="12"/>
      <c r="B145" s="12"/>
      <c r="C145" s="12"/>
      <c r="D145" s="12"/>
      <c r="E145" s="12"/>
      <c r="F145" s="12"/>
      <c r="G145" s="12"/>
      <c r="H145" s="12"/>
      <c r="I145" s="12"/>
      <c r="J145" s="12"/>
      <c r="K145" s="12"/>
      <c r="L145" s="12"/>
      <c r="M145" s="12"/>
      <c r="N145" s="12"/>
      <c r="O145" s="12"/>
      <c r="P145" s="12"/>
      <c r="Q145" s="12"/>
      <c r="R145" s="12"/>
      <c r="S145" s="12"/>
      <c r="T145" s="12"/>
      <c r="U145" s="12"/>
      <c r="V145" s="12"/>
      <c r="W145" s="12"/>
      <c r="X145" s="12"/>
      <c r="Y145" s="12"/>
      <c r="Z145" s="12"/>
      <c r="AA145" s="12"/>
      <c r="AB145" s="12"/>
      <c r="AC145" s="12"/>
      <c r="AD145" s="12"/>
      <c r="AE145" s="12"/>
      <c r="AF145" s="12"/>
      <c r="AG145" s="12"/>
      <c r="AH145" s="12"/>
      <c r="AI145" s="12"/>
      <c r="AJ145" s="12"/>
      <c r="AK145" s="12"/>
      <c r="AL145" s="12"/>
      <c r="AM145" s="12"/>
      <c r="AN145" s="12"/>
      <c r="AO145" s="12"/>
      <c r="AP145" s="12"/>
      <c r="AQ145" s="12"/>
      <c r="AR145" s="12"/>
      <c r="AS145" s="12"/>
      <c r="AT145" s="12"/>
      <c r="AU145" s="12"/>
      <c r="AV145" s="12"/>
      <c r="AW145" s="12"/>
      <c r="AX145" s="12"/>
      <c r="AY145" s="12"/>
      <c r="AZ145" s="12"/>
      <c r="BA145" s="12"/>
      <c r="BB145" s="12"/>
      <c r="BC145" s="12"/>
      <c r="BD145" s="12"/>
      <c r="BE145" s="12"/>
      <c r="BF145" s="12"/>
      <c r="BG145" s="12"/>
      <c r="BH145" s="12"/>
      <c r="BI145" s="12"/>
      <c r="BJ145" s="12"/>
      <c r="BK145" s="12"/>
      <c r="BL145" s="12"/>
      <c r="BM145" s="12"/>
      <c r="BN145" s="12"/>
      <c r="BO145" s="12"/>
      <c r="BP145" s="12"/>
      <c r="BQ145" s="12"/>
      <c r="BR145" s="12"/>
      <c r="BS145" s="12"/>
      <c r="BT145" s="12"/>
      <c r="BU145" s="12"/>
      <c r="BV145" s="12"/>
      <c r="BW145" s="12"/>
      <c r="BX145" s="12"/>
      <c r="BY145" s="12"/>
      <c r="BZ145" s="12"/>
      <c r="CA145" s="12"/>
      <c r="CB145" s="12"/>
      <c r="CC145" s="12"/>
      <c r="CD145" s="12"/>
      <c r="CE145" s="12"/>
      <c r="CF145" s="12"/>
    </row>
    <row r="146" spans="1:84" x14ac:dyDescent="0.3">
      <c r="A146" s="12"/>
      <c r="B146" s="12"/>
      <c r="C146" s="12"/>
      <c r="D146" s="12"/>
      <c r="E146" s="12"/>
      <c r="F146" s="12"/>
      <c r="G146" s="12"/>
      <c r="H146" s="12"/>
      <c r="I146" s="12"/>
      <c r="J146" s="12"/>
      <c r="K146" s="12"/>
      <c r="L146" s="12"/>
      <c r="M146" s="12"/>
      <c r="N146" s="12"/>
      <c r="O146" s="12"/>
      <c r="P146" s="12"/>
      <c r="Q146" s="12"/>
      <c r="R146" s="12"/>
      <c r="S146" s="12"/>
      <c r="T146" s="12"/>
      <c r="U146" s="12"/>
      <c r="V146" s="12"/>
      <c r="W146" s="12"/>
      <c r="X146" s="12"/>
      <c r="Y146" s="12"/>
      <c r="Z146" s="12"/>
      <c r="AA146" s="12"/>
      <c r="AB146" s="12"/>
      <c r="AC146" s="12"/>
      <c r="AD146" s="12"/>
      <c r="AE146" s="12"/>
      <c r="AF146" s="12"/>
      <c r="AG146" s="12"/>
      <c r="AH146" s="12"/>
      <c r="AI146" s="12"/>
      <c r="AJ146" s="12"/>
      <c r="AK146" s="12"/>
      <c r="AL146" s="12"/>
      <c r="AM146" s="12"/>
      <c r="AN146" s="12"/>
      <c r="AO146" s="12"/>
      <c r="AP146" s="12"/>
      <c r="AQ146" s="12"/>
      <c r="AR146" s="12"/>
      <c r="AS146" s="12"/>
      <c r="AT146" s="12"/>
      <c r="AU146" s="12"/>
      <c r="AV146" s="12"/>
      <c r="AW146" s="12"/>
      <c r="AX146" s="12"/>
      <c r="AY146" s="12"/>
      <c r="AZ146" s="12"/>
      <c r="BA146" s="12"/>
      <c r="BB146" s="12"/>
      <c r="BC146" s="12"/>
      <c r="BD146" s="12"/>
      <c r="BE146" s="12"/>
      <c r="BF146" s="12"/>
      <c r="BG146" s="12"/>
      <c r="BH146" s="12"/>
      <c r="BI146" s="12"/>
      <c r="BJ146" s="12"/>
      <c r="BK146" s="12"/>
      <c r="BL146" s="12"/>
      <c r="BM146" s="12"/>
      <c r="BN146" s="12"/>
      <c r="BO146" s="12"/>
      <c r="BP146" s="12"/>
      <c r="BQ146" s="12"/>
      <c r="BR146" s="12"/>
      <c r="BS146" s="12"/>
      <c r="BT146" s="12"/>
      <c r="BU146" s="12"/>
      <c r="BV146" s="12"/>
      <c r="BW146" s="12"/>
      <c r="BX146" s="12"/>
      <c r="BY146" s="12"/>
      <c r="BZ146" s="12"/>
      <c r="CA146" s="12"/>
      <c r="CB146" s="12"/>
      <c r="CC146" s="12"/>
      <c r="CD146" s="12"/>
      <c r="CE146" s="12"/>
      <c r="CF146" s="12"/>
    </row>
    <row r="147" spans="1:84" x14ac:dyDescent="0.3">
      <c r="A147" s="12"/>
      <c r="B147" s="12"/>
      <c r="C147" s="12"/>
      <c r="D147" s="12"/>
      <c r="E147" s="12"/>
      <c r="F147" s="12"/>
      <c r="G147" s="12"/>
      <c r="H147" s="12"/>
      <c r="I147" s="12"/>
      <c r="J147" s="12"/>
      <c r="K147" s="12"/>
      <c r="L147" s="12"/>
      <c r="M147" s="12"/>
      <c r="N147" s="12"/>
      <c r="O147" s="12"/>
      <c r="P147" s="12"/>
      <c r="Q147" s="12"/>
      <c r="R147" s="12"/>
      <c r="S147" s="12"/>
      <c r="T147" s="12"/>
      <c r="U147" s="12"/>
      <c r="V147" s="12"/>
      <c r="W147" s="12"/>
      <c r="X147" s="12"/>
      <c r="Y147" s="12"/>
      <c r="Z147" s="12"/>
      <c r="AA147" s="12"/>
      <c r="AB147" s="12"/>
      <c r="AC147" s="12"/>
      <c r="AD147" s="12"/>
      <c r="AE147" s="12"/>
      <c r="AF147" s="12"/>
      <c r="AG147" s="12"/>
      <c r="AH147" s="12"/>
      <c r="AI147" s="12"/>
      <c r="AJ147" s="12"/>
      <c r="AK147" s="12"/>
      <c r="AL147" s="12"/>
      <c r="AM147" s="12"/>
      <c r="AN147" s="12"/>
      <c r="AO147" s="12"/>
      <c r="AP147" s="12"/>
      <c r="AQ147" s="12"/>
      <c r="AR147" s="12"/>
      <c r="AS147" s="12"/>
      <c r="AT147" s="12"/>
      <c r="AU147" s="12"/>
      <c r="AV147" s="12"/>
      <c r="AW147" s="12"/>
      <c r="AX147" s="12"/>
      <c r="AY147" s="12"/>
      <c r="AZ147" s="12"/>
      <c r="BA147" s="12"/>
      <c r="BB147" s="12"/>
      <c r="BC147" s="12"/>
      <c r="BD147" s="12"/>
      <c r="BE147" s="12"/>
      <c r="BF147" s="12"/>
      <c r="BG147" s="12"/>
      <c r="BH147" s="12"/>
      <c r="BI147" s="12"/>
      <c r="BJ147" s="12"/>
      <c r="BK147" s="12"/>
      <c r="BL147" s="12"/>
      <c r="BM147" s="12"/>
      <c r="BN147" s="12"/>
      <c r="BO147" s="12"/>
      <c r="BP147" s="12"/>
      <c r="BQ147" s="12"/>
      <c r="BR147" s="12"/>
      <c r="BS147" s="12"/>
      <c r="BT147" s="12"/>
      <c r="BU147" s="12"/>
      <c r="BV147" s="12"/>
      <c r="BW147" s="12"/>
      <c r="BX147" s="12"/>
      <c r="BY147" s="12"/>
      <c r="BZ147" s="12"/>
      <c r="CA147" s="12"/>
      <c r="CB147" s="12"/>
      <c r="CC147" s="12"/>
      <c r="CD147" s="12"/>
      <c r="CE147" s="12"/>
      <c r="CF147" s="12"/>
    </row>
    <row r="148" spans="1:84" x14ac:dyDescent="0.3">
      <c r="A148" s="12"/>
      <c r="B148" s="12"/>
      <c r="C148" s="12"/>
      <c r="D148" s="12"/>
      <c r="E148" s="12"/>
      <c r="F148" s="12"/>
      <c r="G148" s="12"/>
      <c r="H148" s="12"/>
      <c r="I148" s="12"/>
      <c r="J148" s="12"/>
      <c r="K148" s="12"/>
      <c r="L148" s="12"/>
      <c r="M148" s="12"/>
      <c r="N148" s="12"/>
      <c r="O148" s="12"/>
      <c r="P148" s="12"/>
      <c r="Q148" s="12"/>
      <c r="R148" s="12"/>
      <c r="S148" s="12"/>
      <c r="T148" s="12"/>
      <c r="U148" s="12"/>
      <c r="V148" s="12"/>
      <c r="W148" s="12"/>
      <c r="X148" s="12"/>
      <c r="Y148" s="12"/>
      <c r="Z148" s="12"/>
      <c r="AA148" s="12"/>
      <c r="AB148" s="12"/>
      <c r="AC148" s="12"/>
      <c r="AD148" s="12"/>
      <c r="AE148" s="12"/>
      <c r="AF148" s="12"/>
      <c r="AG148" s="12"/>
      <c r="AH148" s="12"/>
      <c r="AI148" s="12"/>
      <c r="AJ148" s="12"/>
      <c r="AK148" s="12"/>
      <c r="AL148" s="12"/>
      <c r="AM148" s="12"/>
      <c r="AN148" s="12"/>
      <c r="AO148" s="12"/>
      <c r="AP148" s="12"/>
      <c r="AQ148" s="12"/>
      <c r="AR148" s="12"/>
      <c r="AS148" s="12"/>
      <c r="AT148" s="12"/>
      <c r="AU148" s="12"/>
      <c r="AV148" s="12"/>
      <c r="AW148" s="12"/>
      <c r="AX148" s="12"/>
      <c r="AY148" s="12"/>
      <c r="AZ148" s="12"/>
      <c r="BA148" s="12"/>
      <c r="BB148" s="12"/>
      <c r="BC148" s="12"/>
      <c r="BD148" s="12"/>
      <c r="BE148" s="12"/>
      <c r="BF148" s="12"/>
      <c r="BG148" s="12"/>
      <c r="BH148" s="12"/>
      <c r="BI148" s="12"/>
      <c r="BJ148" s="12"/>
      <c r="BK148" s="12"/>
      <c r="BL148" s="12"/>
      <c r="BM148" s="12"/>
      <c r="BN148" s="12"/>
      <c r="BO148" s="12"/>
      <c r="BP148" s="12"/>
      <c r="BQ148" s="12"/>
      <c r="BR148" s="12"/>
      <c r="BS148" s="12"/>
      <c r="BT148" s="12"/>
      <c r="BU148" s="12"/>
      <c r="BV148" s="12"/>
      <c r="BW148" s="12"/>
      <c r="BX148" s="12"/>
      <c r="BY148" s="12"/>
      <c r="BZ148" s="12"/>
      <c r="CA148" s="12"/>
      <c r="CB148" s="12"/>
      <c r="CC148" s="12"/>
      <c r="CD148" s="12"/>
      <c r="CE148" s="12"/>
      <c r="CF148" s="12"/>
    </row>
    <row r="149" spans="1:84" x14ac:dyDescent="0.3">
      <c r="A149" s="12"/>
      <c r="B149" s="12"/>
      <c r="C149" s="12"/>
      <c r="D149" s="12"/>
      <c r="E149" s="12"/>
      <c r="F149" s="12"/>
      <c r="G149" s="12"/>
      <c r="H149" s="12"/>
      <c r="I149" s="12"/>
      <c r="J149" s="12"/>
      <c r="K149" s="12"/>
      <c r="L149" s="12"/>
      <c r="M149" s="12"/>
      <c r="N149" s="12"/>
      <c r="O149" s="12"/>
      <c r="P149" s="12"/>
      <c r="Q149" s="12"/>
      <c r="R149" s="12"/>
      <c r="S149" s="12"/>
      <c r="T149" s="12"/>
      <c r="U149" s="12"/>
      <c r="V149" s="12"/>
      <c r="W149" s="12"/>
      <c r="X149" s="12"/>
      <c r="Y149" s="12"/>
      <c r="Z149" s="12"/>
      <c r="AA149" s="12"/>
      <c r="AB149" s="12"/>
      <c r="AC149" s="12"/>
      <c r="AD149" s="12"/>
      <c r="AE149" s="12"/>
      <c r="AF149" s="12"/>
      <c r="AG149" s="12"/>
      <c r="AH149" s="12"/>
      <c r="AI149" s="12"/>
      <c r="AJ149" s="12"/>
      <c r="AK149" s="12"/>
      <c r="AL149" s="12"/>
      <c r="AM149" s="12"/>
      <c r="AN149" s="12"/>
      <c r="AO149" s="12"/>
      <c r="AP149" s="12"/>
      <c r="AQ149" s="12"/>
      <c r="AR149" s="12"/>
      <c r="AS149" s="12"/>
      <c r="AT149" s="12"/>
      <c r="AU149" s="12"/>
      <c r="AV149" s="12"/>
      <c r="AW149" s="12"/>
      <c r="AX149" s="12"/>
      <c r="AY149" s="12"/>
      <c r="AZ149" s="12"/>
      <c r="BA149" s="12"/>
      <c r="BB149" s="12"/>
      <c r="BC149" s="12"/>
      <c r="BD149" s="12"/>
      <c r="BE149" s="12"/>
      <c r="BF149" s="12"/>
      <c r="BG149" s="12"/>
      <c r="BH149" s="12"/>
      <c r="BI149" s="12"/>
      <c r="BJ149" s="12"/>
      <c r="BK149" s="12"/>
      <c r="BL149" s="12"/>
      <c r="BM149" s="12"/>
      <c r="BN149" s="12"/>
      <c r="BO149" s="12"/>
      <c r="BP149" s="12"/>
      <c r="BQ149" s="12"/>
      <c r="BR149" s="12"/>
      <c r="BS149" s="12"/>
      <c r="BT149" s="12"/>
      <c r="BU149" s="12"/>
      <c r="BV149" s="12"/>
      <c r="BW149" s="12"/>
      <c r="BX149" s="12"/>
      <c r="BY149" s="12"/>
      <c r="BZ149" s="12"/>
      <c r="CA149" s="12"/>
      <c r="CB149" s="12"/>
      <c r="CC149" s="12"/>
      <c r="CD149" s="12"/>
      <c r="CE149" s="12"/>
      <c r="CF149" s="12"/>
    </row>
    <row r="150" spans="1:84" x14ac:dyDescent="0.3">
      <c r="A150" s="12"/>
      <c r="B150" s="12"/>
      <c r="C150" s="12"/>
      <c r="D150" s="12"/>
      <c r="E150" s="12"/>
      <c r="F150" s="12"/>
      <c r="G150" s="12"/>
      <c r="H150" s="12"/>
      <c r="I150" s="12"/>
      <c r="J150" s="12"/>
      <c r="K150" s="12"/>
      <c r="L150" s="12"/>
      <c r="M150" s="12"/>
      <c r="N150" s="12"/>
      <c r="O150" s="12"/>
      <c r="P150" s="12"/>
      <c r="Q150" s="12"/>
      <c r="R150" s="12"/>
      <c r="S150" s="12"/>
      <c r="T150" s="12"/>
      <c r="U150" s="12"/>
      <c r="V150" s="12"/>
      <c r="W150" s="12"/>
      <c r="X150" s="12"/>
      <c r="Y150" s="12"/>
      <c r="Z150" s="12"/>
      <c r="AA150" s="12"/>
      <c r="AB150" s="12"/>
      <c r="AC150" s="12"/>
      <c r="AD150" s="12"/>
      <c r="AE150" s="12"/>
      <c r="AF150" s="12"/>
      <c r="AG150" s="12"/>
      <c r="AH150" s="12"/>
      <c r="AI150" s="12"/>
      <c r="AJ150" s="12"/>
      <c r="AK150" s="12"/>
      <c r="AL150" s="12"/>
      <c r="AM150" s="12"/>
      <c r="AN150" s="12"/>
      <c r="AO150" s="12"/>
      <c r="AP150" s="12"/>
      <c r="AQ150" s="12"/>
      <c r="AR150" s="12"/>
      <c r="AS150" s="12"/>
      <c r="AT150" s="12"/>
      <c r="AU150" s="12"/>
      <c r="AV150" s="12"/>
      <c r="AW150" s="12"/>
      <c r="AX150" s="12"/>
      <c r="AY150" s="12"/>
      <c r="AZ150" s="12"/>
      <c r="BA150" s="12"/>
      <c r="BB150" s="12"/>
      <c r="BC150" s="12"/>
      <c r="BD150" s="12"/>
      <c r="BE150" s="12"/>
      <c r="BF150" s="12"/>
      <c r="BG150" s="12"/>
      <c r="BH150" s="12"/>
      <c r="BI150" s="12"/>
      <c r="BJ150" s="12"/>
      <c r="BK150" s="12"/>
      <c r="BL150" s="12"/>
      <c r="BM150" s="12"/>
      <c r="BN150" s="12"/>
      <c r="BO150" s="12"/>
      <c r="BP150" s="12"/>
      <c r="BQ150" s="12"/>
      <c r="BR150" s="12"/>
      <c r="BS150" s="12"/>
      <c r="BT150" s="12"/>
      <c r="BU150" s="12"/>
      <c r="BV150" s="12"/>
      <c r="BW150" s="12"/>
      <c r="BX150" s="12"/>
      <c r="BY150" s="12"/>
      <c r="BZ150" s="12"/>
      <c r="CA150" s="12"/>
      <c r="CB150" s="12"/>
      <c r="CC150" s="12"/>
      <c r="CD150" s="12"/>
      <c r="CE150" s="12"/>
      <c r="CF150" s="12"/>
    </row>
    <row r="151" spans="1:84" x14ac:dyDescent="0.3">
      <c r="A151" s="12"/>
      <c r="B151" s="12"/>
      <c r="C151" s="12"/>
      <c r="D151" s="12"/>
      <c r="E151" s="12"/>
      <c r="F151" s="12"/>
      <c r="G151" s="12"/>
      <c r="H151" s="12"/>
      <c r="I151" s="12"/>
      <c r="J151" s="12"/>
      <c r="K151" s="12"/>
      <c r="L151" s="12"/>
      <c r="M151" s="12"/>
      <c r="N151" s="12"/>
      <c r="O151" s="12"/>
      <c r="P151" s="12"/>
      <c r="Q151" s="12"/>
      <c r="R151" s="12"/>
      <c r="S151" s="12"/>
      <c r="T151" s="12"/>
      <c r="U151" s="12"/>
      <c r="V151" s="12"/>
      <c r="W151" s="12"/>
      <c r="X151" s="12"/>
      <c r="Y151" s="12"/>
      <c r="Z151" s="12"/>
      <c r="AA151" s="12"/>
      <c r="AB151" s="12"/>
      <c r="AC151" s="12"/>
      <c r="AD151" s="12"/>
      <c r="AE151" s="12"/>
      <c r="AF151" s="12"/>
      <c r="AG151" s="12"/>
      <c r="AH151" s="12"/>
      <c r="AI151" s="12"/>
      <c r="AJ151" s="12"/>
      <c r="AK151" s="12"/>
      <c r="AL151" s="12"/>
      <c r="AM151" s="12"/>
      <c r="AN151" s="12"/>
      <c r="AO151" s="12"/>
      <c r="AP151" s="12"/>
      <c r="AQ151" s="12"/>
      <c r="AR151" s="12"/>
      <c r="AS151" s="12"/>
      <c r="AT151" s="12"/>
      <c r="AU151" s="12"/>
      <c r="AV151" s="12"/>
      <c r="AW151" s="12"/>
      <c r="AX151" s="12"/>
      <c r="AY151" s="12"/>
      <c r="AZ151" s="12"/>
      <c r="BA151" s="12"/>
      <c r="BB151" s="12"/>
      <c r="BC151" s="12"/>
      <c r="BD151" s="12"/>
      <c r="BE151" s="12"/>
      <c r="BF151" s="12"/>
      <c r="BG151" s="12"/>
      <c r="BH151" s="12"/>
      <c r="BI151" s="12"/>
      <c r="BJ151" s="12"/>
      <c r="BK151" s="12"/>
      <c r="BL151" s="12"/>
      <c r="BM151" s="12"/>
      <c r="BN151" s="12"/>
      <c r="BO151" s="12"/>
      <c r="BP151" s="12"/>
      <c r="BQ151" s="12"/>
      <c r="BR151" s="12"/>
      <c r="BS151" s="12"/>
      <c r="BT151" s="12"/>
      <c r="BU151" s="12"/>
      <c r="BV151" s="12"/>
      <c r="BW151" s="12"/>
      <c r="BX151" s="12"/>
      <c r="BY151" s="12"/>
      <c r="BZ151" s="12"/>
      <c r="CA151" s="12"/>
      <c r="CB151" s="12"/>
      <c r="CC151" s="12"/>
      <c r="CD151" s="12"/>
      <c r="CE151" s="12"/>
      <c r="CF151" s="12"/>
    </row>
    <row r="152" spans="1:84" x14ac:dyDescent="0.3">
      <c r="A152" s="12"/>
      <c r="B152" s="12"/>
      <c r="C152" s="12"/>
      <c r="D152" s="12"/>
      <c r="E152" s="12"/>
      <c r="F152" s="12"/>
      <c r="G152" s="12"/>
      <c r="H152" s="12"/>
      <c r="I152" s="12"/>
      <c r="J152" s="12"/>
      <c r="K152" s="12"/>
      <c r="L152" s="12"/>
      <c r="M152" s="12"/>
      <c r="N152" s="12"/>
      <c r="O152" s="12"/>
      <c r="P152" s="12"/>
      <c r="Q152" s="12"/>
      <c r="R152" s="12"/>
      <c r="S152" s="12"/>
      <c r="T152" s="12"/>
      <c r="U152" s="12"/>
      <c r="V152" s="12"/>
      <c r="W152" s="12"/>
      <c r="X152" s="12"/>
      <c r="Y152" s="12"/>
      <c r="Z152" s="12"/>
      <c r="AA152" s="12"/>
      <c r="AB152" s="12"/>
      <c r="AC152" s="12"/>
      <c r="AD152" s="12"/>
      <c r="AE152" s="12"/>
      <c r="AF152" s="12"/>
      <c r="AG152" s="12"/>
      <c r="AH152" s="12"/>
      <c r="AI152" s="12"/>
      <c r="AJ152" s="12"/>
      <c r="AK152" s="12"/>
      <c r="AL152" s="12"/>
      <c r="AM152" s="12"/>
      <c r="AN152" s="12"/>
      <c r="AO152" s="12"/>
      <c r="AP152" s="12"/>
      <c r="AQ152" s="12"/>
      <c r="AR152" s="12"/>
      <c r="AS152" s="12"/>
      <c r="AT152" s="12"/>
      <c r="AU152" s="12"/>
      <c r="AV152" s="12"/>
      <c r="AW152" s="12"/>
      <c r="AX152" s="12"/>
      <c r="AY152" s="12"/>
      <c r="AZ152" s="12"/>
      <c r="BA152" s="12"/>
      <c r="BB152" s="12"/>
      <c r="BC152" s="12"/>
      <c r="BD152" s="12"/>
      <c r="BE152" s="12"/>
      <c r="BF152" s="12"/>
      <c r="BG152" s="12"/>
      <c r="BH152" s="12"/>
      <c r="BI152" s="12"/>
      <c r="BJ152" s="12"/>
      <c r="BK152" s="12"/>
      <c r="BL152" s="12"/>
      <c r="BM152" s="12"/>
      <c r="BN152" s="12"/>
      <c r="BO152" s="12"/>
      <c r="BP152" s="12"/>
      <c r="BQ152" s="12"/>
      <c r="BR152" s="12"/>
      <c r="BS152" s="12"/>
      <c r="BT152" s="12"/>
      <c r="BU152" s="12"/>
      <c r="BV152" s="12"/>
      <c r="BW152" s="12"/>
      <c r="BX152" s="12"/>
      <c r="BY152" s="12"/>
      <c r="BZ152" s="12"/>
      <c r="CA152" s="12"/>
      <c r="CB152" s="12"/>
      <c r="CC152" s="12"/>
      <c r="CD152" s="12"/>
      <c r="CE152" s="12"/>
      <c r="CF152" s="12"/>
    </row>
    <row r="153" spans="1:84" x14ac:dyDescent="0.3">
      <c r="A153" s="12"/>
      <c r="B153" s="12"/>
      <c r="C153" s="12"/>
      <c r="D153" s="12"/>
      <c r="E153" s="12"/>
      <c r="F153" s="12"/>
      <c r="G153" s="12"/>
      <c r="H153" s="12"/>
      <c r="I153" s="12"/>
      <c r="J153" s="12"/>
      <c r="K153" s="12"/>
      <c r="L153" s="12"/>
      <c r="M153" s="12"/>
      <c r="N153" s="12"/>
      <c r="O153" s="12"/>
      <c r="P153" s="12"/>
      <c r="Q153" s="12"/>
      <c r="R153" s="12"/>
      <c r="S153" s="12"/>
      <c r="T153" s="12"/>
      <c r="U153" s="12"/>
      <c r="V153" s="12"/>
      <c r="W153" s="12"/>
      <c r="X153" s="12"/>
      <c r="Y153" s="12"/>
      <c r="Z153" s="12"/>
      <c r="AA153" s="12"/>
      <c r="AB153" s="12"/>
      <c r="AC153" s="12"/>
      <c r="AD153" s="12"/>
      <c r="AE153" s="12"/>
      <c r="AF153" s="12"/>
      <c r="AG153" s="12"/>
      <c r="AH153" s="12"/>
      <c r="AI153" s="12"/>
      <c r="AJ153" s="12"/>
      <c r="AK153" s="12"/>
      <c r="AL153" s="12"/>
      <c r="AM153" s="12"/>
      <c r="AN153" s="12"/>
      <c r="AO153" s="12"/>
      <c r="AP153" s="12"/>
      <c r="AQ153" s="12"/>
      <c r="AR153" s="12"/>
      <c r="AS153" s="12"/>
      <c r="AT153" s="12"/>
      <c r="AU153" s="12"/>
      <c r="AV153" s="12"/>
      <c r="AW153" s="12"/>
      <c r="AX153" s="12"/>
      <c r="AY153" s="12"/>
      <c r="AZ153" s="12"/>
      <c r="BA153" s="12"/>
      <c r="BB153" s="12"/>
      <c r="BC153" s="12"/>
      <c r="BD153" s="12"/>
      <c r="BE153" s="12"/>
      <c r="BF153" s="12"/>
      <c r="BG153" s="12"/>
      <c r="BH153" s="12"/>
      <c r="BI153" s="12"/>
      <c r="BJ153" s="12"/>
      <c r="BK153" s="12"/>
      <c r="BL153" s="12"/>
      <c r="BM153" s="12"/>
      <c r="BN153" s="12"/>
      <c r="BO153" s="12"/>
      <c r="BP153" s="12"/>
      <c r="BQ153" s="12"/>
      <c r="BR153" s="12"/>
      <c r="BS153" s="12"/>
      <c r="BT153" s="12"/>
      <c r="BU153" s="12"/>
      <c r="BV153" s="12"/>
      <c r="BW153" s="12"/>
      <c r="BX153" s="12"/>
      <c r="BY153" s="12"/>
      <c r="BZ153" s="12"/>
      <c r="CA153" s="12"/>
      <c r="CB153" s="12"/>
      <c r="CC153" s="12"/>
      <c r="CD153" s="12"/>
      <c r="CE153" s="12"/>
      <c r="CF153" s="12"/>
    </row>
    <row r="154" spans="1:84" x14ac:dyDescent="0.3">
      <c r="A154" s="12"/>
      <c r="B154" s="12"/>
      <c r="C154" s="12"/>
      <c r="D154" s="12"/>
      <c r="E154" s="12"/>
      <c r="F154" s="12"/>
      <c r="G154" s="12"/>
      <c r="H154" s="12"/>
      <c r="I154" s="12"/>
      <c r="J154" s="12"/>
      <c r="K154" s="12"/>
      <c r="L154" s="12"/>
      <c r="M154" s="12"/>
      <c r="N154" s="12"/>
      <c r="O154" s="12"/>
      <c r="P154" s="12"/>
      <c r="Q154" s="12"/>
      <c r="R154" s="12"/>
      <c r="S154" s="12"/>
      <c r="T154" s="12"/>
      <c r="U154" s="12"/>
      <c r="V154" s="12"/>
      <c r="W154" s="12"/>
      <c r="X154" s="12"/>
      <c r="Y154" s="12"/>
      <c r="Z154" s="12"/>
      <c r="AA154" s="12"/>
      <c r="AB154" s="12"/>
      <c r="AC154" s="12"/>
      <c r="AD154" s="12"/>
      <c r="AE154" s="12"/>
      <c r="AF154" s="12"/>
      <c r="AG154" s="12"/>
      <c r="AH154" s="12"/>
      <c r="AI154" s="12"/>
      <c r="AJ154" s="12"/>
      <c r="AK154" s="12"/>
      <c r="AL154" s="12"/>
      <c r="AM154" s="12"/>
      <c r="AN154" s="12"/>
      <c r="AO154" s="12"/>
      <c r="AP154" s="12"/>
      <c r="AQ154" s="12"/>
      <c r="AR154" s="12"/>
      <c r="AS154" s="12"/>
      <c r="AT154" s="12"/>
      <c r="AU154" s="12"/>
      <c r="AV154" s="12"/>
      <c r="AW154" s="12"/>
      <c r="AX154" s="12"/>
      <c r="AY154" s="12"/>
      <c r="AZ154" s="12"/>
      <c r="BA154" s="12"/>
      <c r="BB154" s="12"/>
      <c r="BC154" s="12"/>
      <c r="BD154" s="12"/>
      <c r="BE154" s="12"/>
      <c r="BF154" s="12"/>
      <c r="BG154" s="12"/>
      <c r="BH154" s="12"/>
      <c r="BI154" s="12"/>
      <c r="BJ154" s="12"/>
      <c r="BK154" s="12"/>
      <c r="BL154" s="12"/>
      <c r="BM154" s="12"/>
      <c r="BN154" s="12"/>
      <c r="BO154" s="12"/>
      <c r="BP154" s="12"/>
      <c r="BQ154" s="12"/>
      <c r="BR154" s="12"/>
      <c r="BS154" s="12"/>
      <c r="BT154" s="12"/>
      <c r="BU154" s="12"/>
      <c r="BV154" s="12"/>
      <c r="BW154" s="12"/>
      <c r="BX154" s="12"/>
      <c r="BY154" s="12"/>
      <c r="BZ154" s="12"/>
      <c r="CA154" s="12"/>
      <c r="CB154" s="12"/>
      <c r="CC154" s="12"/>
      <c r="CD154" s="12"/>
      <c r="CE154" s="12"/>
      <c r="CF154" s="12"/>
    </row>
    <row r="155" spans="1:84" x14ac:dyDescent="0.3">
      <c r="A155" s="12"/>
      <c r="B155" s="12"/>
      <c r="C155" s="12"/>
      <c r="D155" s="12"/>
      <c r="E155" s="12"/>
      <c r="F155" s="12"/>
      <c r="G155" s="12"/>
      <c r="H155" s="12"/>
      <c r="I155" s="12"/>
      <c r="J155" s="12"/>
      <c r="K155" s="12"/>
      <c r="L155" s="12"/>
      <c r="M155" s="12"/>
      <c r="N155" s="12"/>
      <c r="O155" s="12"/>
      <c r="P155" s="12"/>
      <c r="Q155" s="12"/>
      <c r="R155" s="12"/>
      <c r="S155" s="12"/>
      <c r="T155" s="12"/>
      <c r="U155" s="12"/>
      <c r="V155" s="12"/>
      <c r="W155" s="12"/>
      <c r="X155" s="12"/>
      <c r="Y155" s="12"/>
      <c r="Z155" s="12"/>
      <c r="AA155" s="12"/>
      <c r="AB155" s="12"/>
      <c r="AC155" s="12"/>
      <c r="AD155" s="12"/>
      <c r="AE155" s="12"/>
      <c r="AF155" s="12"/>
      <c r="AG155" s="12"/>
      <c r="AH155" s="12"/>
      <c r="AI155" s="12"/>
      <c r="AJ155" s="12"/>
      <c r="AK155" s="12"/>
      <c r="AL155" s="12"/>
      <c r="AM155" s="12"/>
      <c r="AN155" s="12"/>
      <c r="AO155" s="12"/>
      <c r="AP155" s="12"/>
      <c r="AQ155" s="12"/>
      <c r="AR155" s="12"/>
      <c r="AS155" s="12"/>
      <c r="AT155" s="12"/>
      <c r="AU155" s="12"/>
      <c r="AV155" s="12"/>
      <c r="AW155" s="12"/>
      <c r="AX155" s="12"/>
      <c r="AY155" s="12"/>
      <c r="AZ155" s="12"/>
      <c r="BA155" s="12"/>
      <c r="BB155" s="12"/>
      <c r="BC155" s="12"/>
      <c r="BD155" s="12"/>
      <c r="BE155" s="12"/>
      <c r="BF155" s="12"/>
      <c r="BG155" s="12"/>
      <c r="BH155" s="12"/>
      <c r="BI155" s="12"/>
      <c r="BJ155" s="12"/>
      <c r="BK155" s="12"/>
      <c r="BL155" s="12"/>
      <c r="BM155" s="12"/>
      <c r="BN155" s="12"/>
      <c r="BO155" s="12"/>
      <c r="BP155" s="12"/>
      <c r="BQ155" s="12"/>
      <c r="BR155" s="12"/>
      <c r="BS155" s="12"/>
      <c r="BT155" s="12"/>
      <c r="BU155" s="12"/>
      <c r="BV155" s="12"/>
      <c r="BW155" s="12"/>
      <c r="BX155" s="12"/>
      <c r="BY155" s="12"/>
      <c r="BZ155" s="12"/>
      <c r="CA155" s="12"/>
      <c r="CB155" s="12"/>
      <c r="CC155" s="12"/>
      <c r="CD155" s="12"/>
      <c r="CE155" s="12"/>
      <c r="CF155" s="12"/>
    </row>
    <row r="156" spans="1:84" x14ac:dyDescent="0.3">
      <c r="A156" s="12"/>
      <c r="B156" s="12"/>
      <c r="C156" s="12"/>
      <c r="D156" s="12"/>
      <c r="E156" s="12"/>
      <c r="F156" s="12"/>
      <c r="G156" s="12"/>
      <c r="H156" s="12"/>
      <c r="I156" s="12"/>
      <c r="J156" s="12"/>
      <c r="K156" s="12"/>
      <c r="L156" s="12"/>
      <c r="M156" s="12"/>
      <c r="N156" s="12"/>
      <c r="O156" s="12"/>
      <c r="P156" s="12"/>
      <c r="Q156" s="12"/>
      <c r="R156" s="12"/>
      <c r="S156" s="12"/>
      <c r="T156" s="12"/>
      <c r="U156" s="12"/>
      <c r="V156" s="12"/>
      <c r="W156" s="12"/>
      <c r="X156" s="12"/>
      <c r="Y156" s="12"/>
      <c r="Z156" s="12"/>
      <c r="AA156" s="12"/>
      <c r="AB156" s="12"/>
      <c r="AC156" s="12"/>
      <c r="AD156" s="12"/>
      <c r="AE156" s="12"/>
      <c r="AF156" s="12"/>
      <c r="AG156" s="12"/>
      <c r="AH156" s="12"/>
      <c r="AI156" s="12"/>
      <c r="AJ156" s="12"/>
      <c r="AK156" s="12"/>
      <c r="AL156" s="12"/>
      <c r="AM156" s="12"/>
      <c r="AN156" s="12"/>
      <c r="AO156" s="12"/>
      <c r="AP156" s="12"/>
      <c r="AQ156" s="12"/>
      <c r="AR156" s="12"/>
      <c r="AS156" s="12"/>
      <c r="AT156" s="12"/>
      <c r="AU156" s="12"/>
      <c r="AV156" s="12"/>
      <c r="AW156" s="12"/>
      <c r="AX156" s="12"/>
      <c r="AY156" s="12"/>
      <c r="AZ156" s="12"/>
      <c r="BA156" s="12"/>
      <c r="BB156" s="12"/>
      <c r="BC156" s="12"/>
      <c r="BD156" s="12"/>
      <c r="BE156" s="12"/>
      <c r="BF156" s="12"/>
      <c r="BG156" s="12"/>
      <c r="BH156" s="12"/>
      <c r="BI156" s="12"/>
      <c r="BJ156" s="12"/>
      <c r="BK156" s="12"/>
      <c r="BL156" s="12"/>
      <c r="BM156" s="12"/>
      <c r="BN156" s="12"/>
      <c r="BO156" s="12"/>
      <c r="BP156" s="12"/>
      <c r="BQ156" s="12"/>
      <c r="BR156" s="12"/>
      <c r="BS156" s="12"/>
      <c r="BT156" s="12"/>
      <c r="BU156" s="12"/>
      <c r="BV156" s="12"/>
      <c r="BW156" s="12"/>
      <c r="BX156" s="12"/>
      <c r="BY156" s="12"/>
      <c r="BZ156" s="12"/>
      <c r="CA156" s="12"/>
      <c r="CB156" s="12"/>
      <c r="CC156" s="12"/>
      <c r="CD156" s="12"/>
      <c r="CE156" s="12"/>
      <c r="CF156" s="12"/>
    </row>
    <row r="157" spans="1:84" x14ac:dyDescent="0.3">
      <c r="A157" s="12"/>
      <c r="B157" s="12"/>
      <c r="C157" s="12"/>
      <c r="D157" s="12"/>
      <c r="E157" s="12"/>
      <c r="F157" s="12"/>
      <c r="G157" s="12"/>
      <c r="H157" s="12"/>
      <c r="I157" s="12"/>
      <c r="J157" s="12"/>
      <c r="K157" s="12"/>
      <c r="L157" s="12"/>
      <c r="M157" s="12"/>
      <c r="N157" s="12"/>
      <c r="O157" s="12"/>
      <c r="P157" s="12"/>
      <c r="Q157" s="12"/>
      <c r="R157" s="12"/>
      <c r="S157" s="12"/>
      <c r="T157" s="12"/>
      <c r="U157" s="12"/>
      <c r="V157" s="12"/>
      <c r="W157" s="12"/>
      <c r="X157" s="12"/>
      <c r="Y157" s="12"/>
      <c r="Z157" s="12"/>
      <c r="AA157" s="12"/>
      <c r="AB157" s="12"/>
      <c r="AC157" s="12"/>
      <c r="AD157" s="12"/>
      <c r="AE157" s="12"/>
      <c r="AF157" s="12"/>
      <c r="AG157" s="12"/>
      <c r="AH157" s="12"/>
      <c r="AI157" s="12"/>
      <c r="AJ157" s="12"/>
      <c r="AK157" s="12"/>
      <c r="AL157" s="12"/>
      <c r="AM157" s="12"/>
      <c r="AN157" s="12"/>
      <c r="AO157" s="12"/>
      <c r="AP157" s="12"/>
      <c r="AQ157" s="12"/>
      <c r="AR157" s="12"/>
      <c r="AS157" s="12"/>
      <c r="AT157" s="12"/>
      <c r="AU157" s="12"/>
      <c r="AV157" s="12"/>
      <c r="AW157" s="12"/>
      <c r="AX157" s="12"/>
      <c r="AY157" s="12"/>
      <c r="AZ157" s="12"/>
      <c r="BA157" s="12"/>
      <c r="BB157" s="12"/>
      <c r="BC157" s="12"/>
      <c r="BD157" s="12"/>
      <c r="BE157" s="12"/>
      <c r="BF157" s="12"/>
      <c r="BG157" s="12"/>
      <c r="BH157" s="12"/>
      <c r="BI157" s="12"/>
      <c r="BJ157" s="12"/>
      <c r="BK157" s="12"/>
      <c r="BL157" s="12"/>
      <c r="BM157" s="12"/>
      <c r="BN157" s="12"/>
      <c r="BO157" s="12"/>
      <c r="BP157" s="12"/>
      <c r="BQ157" s="12"/>
      <c r="BR157" s="12"/>
      <c r="BS157" s="12"/>
      <c r="BT157" s="12"/>
      <c r="BU157" s="12"/>
      <c r="BV157" s="12"/>
      <c r="BW157" s="12"/>
      <c r="BX157" s="12"/>
      <c r="BY157" s="12"/>
      <c r="BZ157" s="12"/>
      <c r="CA157" s="12"/>
      <c r="CB157" s="12"/>
      <c r="CC157" s="12"/>
      <c r="CD157" s="12"/>
      <c r="CE157" s="12"/>
      <c r="CF157" s="12"/>
    </row>
    <row r="158" spans="1:84" x14ac:dyDescent="0.3">
      <c r="A158" s="12"/>
      <c r="B158" s="12"/>
      <c r="C158" s="12"/>
      <c r="D158" s="12"/>
      <c r="E158" s="12"/>
      <c r="F158" s="12"/>
      <c r="G158" s="12"/>
      <c r="H158" s="12"/>
      <c r="I158" s="12"/>
      <c r="J158" s="12"/>
      <c r="K158" s="12"/>
      <c r="L158" s="12"/>
      <c r="M158" s="12"/>
      <c r="N158" s="12"/>
      <c r="O158" s="12"/>
      <c r="P158" s="12"/>
      <c r="Q158" s="12"/>
      <c r="R158" s="12"/>
      <c r="S158" s="12"/>
      <c r="T158" s="12"/>
      <c r="U158" s="12"/>
      <c r="V158" s="12"/>
      <c r="W158" s="12"/>
      <c r="X158" s="12"/>
      <c r="Y158" s="12"/>
      <c r="Z158" s="12"/>
      <c r="AA158" s="12"/>
      <c r="AB158" s="12"/>
      <c r="AC158" s="12"/>
      <c r="AD158" s="12"/>
      <c r="AE158" s="12"/>
      <c r="AF158" s="12"/>
      <c r="AG158" s="12"/>
      <c r="AH158" s="12"/>
      <c r="AI158" s="12"/>
      <c r="AJ158" s="12"/>
      <c r="AK158" s="12"/>
      <c r="AL158" s="12"/>
      <c r="AM158" s="12"/>
      <c r="AN158" s="12"/>
      <c r="AO158" s="12"/>
      <c r="AP158" s="12"/>
      <c r="AQ158" s="12"/>
      <c r="AR158" s="12"/>
      <c r="AS158" s="12"/>
      <c r="AT158" s="12"/>
      <c r="AU158" s="12"/>
      <c r="AV158" s="12"/>
      <c r="AW158" s="12"/>
      <c r="AX158" s="12"/>
      <c r="AY158" s="12"/>
      <c r="AZ158" s="12"/>
      <c r="BA158" s="12"/>
      <c r="BB158" s="12"/>
      <c r="BC158" s="12"/>
      <c r="BD158" s="12"/>
      <c r="BE158" s="12"/>
      <c r="BF158" s="12"/>
      <c r="BG158" s="12"/>
      <c r="BH158" s="12"/>
      <c r="BI158" s="12"/>
      <c r="BJ158" s="12"/>
      <c r="BK158" s="12"/>
      <c r="BL158" s="12"/>
      <c r="BM158" s="12"/>
      <c r="BN158" s="12"/>
      <c r="BO158" s="12"/>
      <c r="BP158" s="12"/>
      <c r="BQ158" s="12"/>
      <c r="BR158" s="12"/>
      <c r="BS158" s="12"/>
      <c r="BT158" s="12"/>
      <c r="BU158" s="12"/>
      <c r="BV158" s="12"/>
      <c r="BW158" s="12"/>
      <c r="BX158" s="12"/>
      <c r="BY158" s="12"/>
      <c r="BZ158" s="12"/>
      <c r="CA158" s="12"/>
      <c r="CB158" s="12"/>
      <c r="CC158" s="12"/>
      <c r="CD158" s="12"/>
      <c r="CE158" s="12"/>
      <c r="CF158" s="12"/>
    </row>
    <row r="159" spans="1:84" x14ac:dyDescent="0.3">
      <c r="A159" s="12"/>
      <c r="B159" s="12"/>
      <c r="C159" s="12"/>
      <c r="D159" s="12"/>
      <c r="E159" s="12"/>
      <c r="F159" s="12"/>
      <c r="G159" s="12"/>
      <c r="H159" s="12"/>
      <c r="I159" s="12"/>
      <c r="J159" s="12"/>
      <c r="K159" s="12"/>
      <c r="L159" s="12"/>
      <c r="M159" s="12"/>
      <c r="N159" s="12"/>
      <c r="O159" s="12"/>
      <c r="P159" s="12"/>
      <c r="Q159" s="12"/>
      <c r="R159" s="12"/>
      <c r="S159" s="12"/>
      <c r="T159" s="12"/>
      <c r="U159" s="12"/>
      <c r="V159" s="12"/>
      <c r="W159" s="12"/>
      <c r="X159" s="12"/>
      <c r="Y159" s="12"/>
      <c r="Z159" s="12"/>
      <c r="AA159" s="12"/>
      <c r="AB159" s="12"/>
      <c r="AC159" s="12"/>
      <c r="AD159" s="12"/>
      <c r="AE159" s="12"/>
      <c r="AF159" s="12"/>
      <c r="AG159" s="12"/>
      <c r="AH159" s="12"/>
      <c r="AI159" s="12"/>
      <c r="AJ159" s="12"/>
      <c r="AK159" s="12"/>
      <c r="AL159" s="12"/>
      <c r="AM159" s="12"/>
      <c r="AN159" s="12"/>
      <c r="AO159" s="12"/>
      <c r="AP159" s="12"/>
      <c r="AQ159" s="12"/>
      <c r="AR159" s="12"/>
      <c r="AS159" s="12"/>
      <c r="AT159" s="12"/>
      <c r="AU159" s="12"/>
      <c r="AV159" s="12"/>
      <c r="AW159" s="12"/>
      <c r="AX159" s="12"/>
      <c r="AY159" s="12"/>
      <c r="AZ159" s="12"/>
      <c r="BA159" s="12"/>
      <c r="BB159" s="12"/>
      <c r="BC159" s="12"/>
      <c r="BD159" s="12"/>
      <c r="BE159" s="12"/>
      <c r="BF159" s="12"/>
      <c r="BG159" s="12"/>
      <c r="BH159" s="12"/>
      <c r="BI159" s="12"/>
      <c r="BJ159" s="12"/>
      <c r="BK159" s="12"/>
      <c r="BL159" s="12"/>
      <c r="BM159" s="12"/>
      <c r="BN159" s="12"/>
      <c r="BO159" s="12"/>
      <c r="BP159" s="12"/>
      <c r="BQ159" s="12"/>
      <c r="BR159" s="12"/>
      <c r="BS159" s="12"/>
      <c r="BT159" s="12"/>
      <c r="BU159" s="12"/>
      <c r="BV159" s="12"/>
      <c r="BW159" s="12"/>
      <c r="BX159" s="12"/>
      <c r="BY159" s="12"/>
      <c r="BZ159" s="12"/>
      <c r="CA159" s="12"/>
      <c r="CB159" s="12"/>
      <c r="CC159" s="12"/>
      <c r="CD159" s="12"/>
      <c r="CE159" s="12"/>
      <c r="CF159" s="12"/>
    </row>
    <row r="160" spans="1:84" x14ac:dyDescent="0.3">
      <c r="A160" s="12"/>
      <c r="B160" s="12"/>
      <c r="C160" s="12"/>
      <c r="D160" s="12"/>
      <c r="E160" s="12"/>
      <c r="F160" s="12"/>
      <c r="G160" s="12"/>
      <c r="H160" s="12"/>
      <c r="I160" s="12"/>
      <c r="J160" s="12"/>
      <c r="K160" s="12"/>
      <c r="L160" s="12"/>
      <c r="M160" s="12"/>
      <c r="N160" s="12"/>
      <c r="O160" s="12"/>
      <c r="P160" s="12"/>
      <c r="Q160" s="12"/>
      <c r="R160" s="12"/>
      <c r="S160" s="12"/>
      <c r="T160" s="12"/>
      <c r="U160" s="12"/>
      <c r="V160" s="12"/>
      <c r="W160" s="12"/>
      <c r="X160" s="12"/>
      <c r="Y160" s="12"/>
      <c r="Z160" s="12"/>
      <c r="AA160" s="12"/>
      <c r="AB160" s="12"/>
      <c r="AC160" s="12"/>
      <c r="AD160" s="12"/>
      <c r="AE160" s="12"/>
      <c r="AF160" s="12"/>
      <c r="AG160" s="12"/>
      <c r="AH160" s="12"/>
      <c r="AI160" s="12"/>
      <c r="AJ160" s="12"/>
      <c r="AK160" s="12"/>
      <c r="AL160" s="12"/>
      <c r="AM160" s="12"/>
      <c r="AN160" s="12"/>
      <c r="AO160" s="12"/>
      <c r="AP160" s="12"/>
      <c r="AQ160" s="12"/>
      <c r="AR160" s="12"/>
      <c r="AS160" s="12"/>
      <c r="AT160" s="12"/>
      <c r="AU160" s="12"/>
      <c r="AV160" s="12"/>
      <c r="AW160" s="12"/>
      <c r="AX160" s="12"/>
      <c r="AY160" s="12"/>
      <c r="AZ160" s="12"/>
      <c r="BA160" s="12"/>
      <c r="BB160" s="12"/>
      <c r="BC160" s="12"/>
      <c r="BD160" s="12"/>
      <c r="BE160" s="12"/>
      <c r="BF160" s="12"/>
      <c r="BG160" s="12"/>
      <c r="BH160" s="12"/>
      <c r="BI160" s="12"/>
      <c r="BJ160" s="12"/>
      <c r="BK160" s="12"/>
      <c r="BL160" s="12"/>
      <c r="BM160" s="12"/>
      <c r="BN160" s="12"/>
      <c r="BO160" s="12"/>
      <c r="BP160" s="12"/>
      <c r="BQ160" s="12"/>
      <c r="BR160" s="12"/>
      <c r="BS160" s="12"/>
      <c r="BT160" s="12"/>
      <c r="BU160" s="12"/>
      <c r="BV160" s="12"/>
      <c r="BW160" s="12"/>
      <c r="BX160" s="12"/>
      <c r="BY160" s="12"/>
      <c r="BZ160" s="12"/>
      <c r="CA160" s="12"/>
      <c r="CB160" s="12"/>
      <c r="CC160" s="12"/>
      <c r="CD160" s="12"/>
      <c r="CE160" s="12"/>
      <c r="CF160" s="12"/>
    </row>
    <row r="161" spans="1:84" x14ac:dyDescent="0.3">
      <c r="A161" s="12"/>
      <c r="B161" s="12"/>
      <c r="C161" s="12"/>
      <c r="D161" s="12"/>
      <c r="E161" s="12"/>
      <c r="F161" s="12"/>
      <c r="G161" s="12"/>
      <c r="H161" s="12"/>
      <c r="I161" s="12"/>
      <c r="J161" s="12"/>
      <c r="K161" s="12"/>
      <c r="L161" s="12"/>
      <c r="M161" s="12"/>
      <c r="N161" s="12"/>
      <c r="O161" s="12"/>
      <c r="P161" s="12"/>
      <c r="Q161" s="12"/>
      <c r="R161" s="12"/>
      <c r="S161" s="12"/>
      <c r="T161" s="12"/>
      <c r="U161" s="12"/>
      <c r="V161" s="12"/>
      <c r="W161" s="12"/>
      <c r="X161" s="12"/>
      <c r="Y161" s="12"/>
      <c r="Z161" s="12"/>
      <c r="AA161" s="12"/>
      <c r="AB161" s="12"/>
      <c r="AC161" s="12"/>
      <c r="AD161" s="12"/>
      <c r="AE161" s="12"/>
      <c r="AF161" s="12"/>
      <c r="AG161" s="12"/>
      <c r="AH161" s="12"/>
      <c r="AI161" s="12"/>
      <c r="AJ161" s="12"/>
      <c r="AK161" s="12"/>
      <c r="AL161" s="12"/>
      <c r="AM161" s="12"/>
      <c r="AN161" s="12"/>
      <c r="AO161" s="12"/>
      <c r="AP161" s="12"/>
      <c r="AQ161" s="12"/>
      <c r="AR161" s="12"/>
      <c r="AS161" s="12"/>
      <c r="AT161" s="12"/>
      <c r="AU161" s="12"/>
      <c r="AV161" s="12"/>
      <c r="AW161" s="12"/>
      <c r="AX161" s="12"/>
      <c r="AY161" s="12"/>
      <c r="AZ161" s="12"/>
      <c r="BA161" s="12"/>
      <c r="BB161" s="12"/>
      <c r="BC161" s="12"/>
      <c r="BD161" s="12"/>
      <c r="BE161" s="12"/>
      <c r="BF161" s="12"/>
      <c r="BG161" s="12"/>
      <c r="BH161" s="12"/>
      <c r="BI161" s="12"/>
      <c r="BJ161" s="12"/>
      <c r="BK161" s="12"/>
      <c r="BL161" s="12"/>
      <c r="BM161" s="12"/>
      <c r="BN161" s="12"/>
      <c r="BO161" s="12"/>
      <c r="BP161" s="12"/>
      <c r="BQ161" s="12"/>
      <c r="BR161" s="12"/>
      <c r="BS161" s="12"/>
      <c r="BT161" s="12"/>
      <c r="BU161" s="12"/>
      <c r="BV161" s="12"/>
      <c r="BW161" s="12"/>
      <c r="BX161" s="12"/>
      <c r="BY161" s="12"/>
      <c r="BZ161" s="12"/>
      <c r="CA161" s="12"/>
      <c r="CB161" s="12"/>
      <c r="CC161" s="12"/>
      <c r="CD161" s="12"/>
      <c r="CE161" s="12"/>
      <c r="CF161" s="12"/>
    </row>
    <row r="162" spans="1:84" x14ac:dyDescent="0.3">
      <c r="A162" s="12"/>
      <c r="B162" s="12"/>
      <c r="C162" s="12"/>
      <c r="D162" s="12"/>
      <c r="E162" s="12"/>
      <c r="F162" s="12"/>
      <c r="G162" s="12"/>
      <c r="H162" s="12"/>
      <c r="I162" s="12"/>
      <c r="J162" s="12"/>
      <c r="K162" s="12"/>
      <c r="L162" s="12"/>
      <c r="M162" s="12"/>
      <c r="N162" s="12"/>
      <c r="O162" s="12"/>
      <c r="P162" s="12"/>
      <c r="Q162" s="12"/>
      <c r="R162" s="12"/>
      <c r="S162" s="12"/>
      <c r="T162" s="12"/>
      <c r="U162" s="12"/>
      <c r="V162" s="12"/>
      <c r="W162" s="12"/>
      <c r="X162" s="12"/>
      <c r="Y162" s="12"/>
      <c r="Z162" s="12"/>
      <c r="AA162" s="12"/>
      <c r="AB162" s="12"/>
      <c r="AC162" s="12"/>
      <c r="AD162" s="12"/>
      <c r="AE162" s="12"/>
      <c r="AF162" s="12"/>
      <c r="AG162" s="12"/>
      <c r="AH162" s="12"/>
      <c r="AI162" s="12"/>
      <c r="AJ162" s="12"/>
      <c r="AK162" s="12"/>
      <c r="AL162" s="12"/>
      <c r="AM162" s="12"/>
      <c r="AN162" s="12"/>
      <c r="AO162" s="12"/>
      <c r="AP162" s="12"/>
      <c r="AQ162" s="12"/>
      <c r="AR162" s="12"/>
      <c r="AS162" s="12"/>
      <c r="AT162" s="12"/>
      <c r="AU162" s="12"/>
      <c r="AV162" s="12"/>
      <c r="AW162" s="12"/>
      <c r="AX162" s="12"/>
      <c r="AY162" s="12"/>
      <c r="AZ162" s="12"/>
      <c r="BA162" s="12"/>
      <c r="BB162" s="12"/>
      <c r="BC162" s="12"/>
      <c r="BD162" s="12"/>
      <c r="BE162" s="12"/>
      <c r="BF162" s="12"/>
      <c r="BG162" s="12"/>
      <c r="BH162" s="12"/>
      <c r="BI162" s="12"/>
      <c r="BJ162" s="12"/>
      <c r="BK162" s="12"/>
      <c r="BL162" s="12"/>
      <c r="BM162" s="12"/>
      <c r="BN162" s="12"/>
      <c r="BO162" s="12"/>
      <c r="BP162" s="12"/>
      <c r="BQ162" s="12"/>
      <c r="BR162" s="12"/>
      <c r="BS162" s="12"/>
      <c r="BT162" s="12"/>
      <c r="BU162" s="12"/>
      <c r="BV162" s="12"/>
      <c r="BW162" s="12"/>
      <c r="BX162" s="12"/>
      <c r="BY162" s="12"/>
      <c r="BZ162" s="12"/>
      <c r="CA162" s="12"/>
      <c r="CB162" s="12"/>
      <c r="CC162" s="12"/>
      <c r="CD162" s="12"/>
      <c r="CE162" s="12"/>
      <c r="CF162" s="12"/>
    </row>
    <row r="163" spans="1:84" x14ac:dyDescent="0.3">
      <c r="A163" s="12"/>
      <c r="B163" s="12"/>
      <c r="C163" s="12"/>
      <c r="D163" s="12"/>
      <c r="E163" s="12"/>
      <c r="F163" s="12"/>
      <c r="G163" s="12"/>
      <c r="H163" s="12"/>
      <c r="I163" s="12"/>
      <c r="J163" s="12"/>
      <c r="K163" s="12"/>
      <c r="L163" s="12"/>
      <c r="M163" s="12"/>
      <c r="N163" s="12"/>
      <c r="O163" s="12"/>
      <c r="P163" s="12"/>
      <c r="Q163" s="12"/>
      <c r="R163" s="12"/>
      <c r="S163" s="12"/>
      <c r="T163" s="12"/>
      <c r="U163" s="12"/>
      <c r="V163" s="12"/>
      <c r="W163" s="12"/>
      <c r="X163" s="12"/>
      <c r="Y163" s="12"/>
      <c r="Z163" s="12"/>
      <c r="AA163" s="12"/>
      <c r="AB163" s="12"/>
      <c r="AC163" s="12"/>
      <c r="AD163" s="12"/>
      <c r="AE163" s="12"/>
      <c r="AF163" s="12"/>
      <c r="AG163" s="12"/>
      <c r="AH163" s="12"/>
      <c r="AI163" s="12"/>
      <c r="AJ163" s="12"/>
      <c r="AK163" s="12"/>
      <c r="AL163" s="12"/>
      <c r="AM163" s="12"/>
      <c r="AN163" s="12"/>
      <c r="AO163" s="12"/>
      <c r="AP163" s="12"/>
      <c r="AQ163" s="12"/>
      <c r="AR163" s="12"/>
      <c r="AS163" s="12"/>
      <c r="AT163" s="12"/>
      <c r="AU163" s="12"/>
      <c r="AV163" s="12"/>
      <c r="AW163" s="12"/>
      <c r="AX163" s="12"/>
      <c r="AY163" s="12"/>
      <c r="AZ163" s="12"/>
      <c r="BA163" s="12"/>
      <c r="BB163" s="12"/>
      <c r="BC163" s="12"/>
      <c r="BD163" s="12"/>
      <c r="BE163" s="12"/>
      <c r="BF163" s="12"/>
      <c r="BG163" s="12"/>
      <c r="BH163" s="12"/>
      <c r="BI163" s="12"/>
      <c r="BJ163" s="12"/>
      <c r="BK163" s="12"/>
      <c r="BL163" s="12"/>
      <c r="BM163" s="12"/>
      <c r="BN163" s="12"/>
      <c r="BO163" s="12"/>
      <c r="BP163" s="12"/>
      <c r="BQ163" s="12"/>
      <c r="BR163" s="12"/>
      <c r="BS163" s="12"/>
      <c r="BT163" s="12"/>
      <c r="BU163" s="12"/>
      <c r="BV163" s="12"/>
      <c r="BW163" s="12"/>
      <c r="BX163" s="12"/>
      <c r="BY163" s="12"/>
      <c r="BZ163" s="12"/>
      <c r="CA163" s="12"/>
      <c r="CB163" s="12"/>
      <c r="CC163" s="12"/>
      <c r="CD163" s="12"/>
      <c r="CE163" s="12"/>
      <c r="CF163" s="12"/>
    </row>
    <row r="164" spans="1:84" x14ac:dyDescent="0.3">
      <c r="A164" s="12"/>
      <c r="B164" s="12"/>
      <c r="C164" s="12"/>
      <c r="D164" s="12"/>
      <c r="E164" s="12"/>
      <c r="F164" s="12"/>
      <c r="G164" s="12"/>
      <c r="H164" s="12"/>
      <c r="I164" s="12"/>
      <c r="J164" s="12"/>
      <c r="K164" s="12"/>
      <c r="L164" s="12"/>
      <c r="M164" s="12"/>
      <c r="N164" s="12"/>
      <c r="O164" s="12"/>
      <c r="P164" s="12"/>
      <c r="Q164" s="12"/>
      <c r="R164" s="12"/>
      <c r="S164" s="12"/>
      <c r="T164" s="12"/>
      <c r="U164" s="12"/>
      <c r="V164" s="12"/>
      <c r="W164" s="12"/>
      <c r="X164" s="12"/>
      <c r="Y164" s="12"/>
      <c r="Z164" s="12"/>
      <c r="AA164" s="12"/>
      <c r="AB164" s="12"/>
      <c r="AC164" s="12"/>
      <c r="AD164" s="12"/>
      <c r="AE164" s="12"/>
      <c r="AF164" s="12"/>
      <c r="AG164" s="12"/>
      <c r="AH164" s="12"/>
      <c r="AI164" s="12"/>
      <c r="AJ164" s="12"/>
      <c r="AK164" s="12"/>
      <c r="AL164" s="12"/>
      <c r="AM164" s="12"/>
      <c r="AN164" s="12"/>
      <c r="AO164" s="12"/>
      <c r="AP164" s="12"/>
      <c r="AQ164" s="12"/>
      <c r="AR164" s="12"/>
      <c r="AS164" s="12"/>
      <c r="AT164" s="12"/>
      <c r="AU164" s="12"/>
      <c r="AV164" s="12"/>
      <c r="AW164" s="12"/>
      <c r="AX164" s="12"/>
      <c r="AY164" s="12"/>
      <c r="AZ164" s="12"/>
      <c r="BA164" s="12"/>
      <c r="BB164" s="12"/>
      <c r="BC164" s="12"/>
      <c r="BD164" s="12"/>
      <c r="BE164" s="12"/>
      <c r="BF164" s="12"/>
      <c r="BG164" s="12"/>
      <c r="BH164" s="12"/>
      <c r="BI164" s="12"/>
      <c r="BJ164" s="12"/>
      <c r="BK164" s="12"/>
      <c r="BL164" s="12"/>
      <c r="BM164" s="12"/>
      <c r="BN164" s="12"/>
      <c r="BO164" s="12"/>
      <c r="BP164" s="12"/>
      <c r="BQ164" s="12"/>
      <c r="BR164" s="12"/>
      <c r="BS164" s="12"/>
      <c r="BT164" s="12"/>
      <c r="BU164" s="12"/>
      <c r="BV164" s="12"/>
      <c r="BW164" s="12"/>
      <c r="BX164" s="12"/>
      <c r="BY164" s="12"/>
      <c r="BZ164" s="12"/>
      <c r="CA164" s="12"/>
      <c r="CB164" s="12"/>
      <c r="CC164" s="12"/>
      <c r="CD164" s="12"/>
      <c r="CE164" s="12"/>
      <c r="CF164" s="12"/>
    </row>
    <row r="165" spans="1:84" x14ac:dyDescent="0.3">
      <c r="A165" s="12"/>
      <c r="B165" s="12"/>
      <c r="C165" s="12"/>
      <c r="D165" s="12"/>
      <c r="E165" s="12"/>
      <c r="F165" s="12"/>
      <c r="G165" s="12"/>
      <c r="H165" s="12"/>
      <c r="I165" s="12"/>
      <c r="J165" s="12"/>
      <c r="K165" s="12"/>
      <c r="L165" s="12"/>
      <c r="M165" s="12"/>
      <c r="N165" s="12"/>
      <c r="O165" s="12"/>
      <c r="P165" s="12"/>
      <c r="Q165" s="12"/>
      <c r="R165" s="12"/>
      <c r="S165" s="12"/>
      <c r="T165" s="12"/>
      <c r="U165" s="12"/>
      <c r="V165" s="12"/>
      <c r="W165" s="12"/>
      <c r="X165" s="12"/>
      <c r="Y165" s="12"/>
      <c r="Z165" s="12"/>
      <c r="AA165" s="12"/>
      <c r="AB165" s="12"/>
      <c r="AC165" s="12"/>
      <c r="AD165" s="12"/>
      <c r="AE165" s="12"/>
      <c r="AF165" s="12"/>
      <c r="AG165" s="12"/>
      <c r="AH165" s="12"/>
      <c r="AI165" s="12"/>
      <c r="AJ165" s="12"/>
      <c r="AK165" s="12"/>
      <c r="AL165" s="12"/>
      <c r="AM165" s="12"/>
      <c r="AN165" s="12"/>
      <c r="AO165" s="12"/>
      <c r="AP165" s="12"/>
      <c r="AQ165" s="12"/>
      <c r="AR165" s="12"/>
      <c r="AS165" s="12"/>
      <c r="AT165" s="12"/>
      <c r="AU165" s="12"/>
      <c r="AV165" s="12"/>
      <c r="AW165" s="12"/>
      <c r="AX165" s="12"/>
      <c r="AY165" s="12"/>
      <c r="AZ165" s="12"/>
      <c r="BA165" s="12"/>
      <c r="BB165" s="12"/>
      <c r="BC165" s="12"/>
      <c r="BD165" s="12"/>
      <c r="BE165" s="12"/>
      <c r="BF165" s="12"/>
      <c r="BG165" s="12"/>
      <c r="BH165" s="12"/>
      <c r="BI165" s="12"/>
      <c r="BJ165" s="12"/>
      <c r="BK165" s="12"/>
      <c r="BL165" s="12"/>
      <c r="BM165" s="12"/>
      <c r="BN165" s="12"/>
      <c r="BO165" s="12"/>
      <c r="BP165" s="12"/>
      <c r="BQ165" s="12"/>
      <c r="BR165" s="12"/>
      <c r="BS165" s="12"/>
      <c r="BT165" s="12"/>
      <c r="BU165" s="12"/>
      <c r="BV165" s="12"/>
      <c r="BW165" s="12"/>
      <c r="BX165" s="12"/>
      <c r="BY165" s="12"/>
      <c r="BZ165" s="12"/>
      <c r="CA165" s="12"/>
      <c r="CB165" s="12"/>
      <c r="CC165" s="12"/>
      <c r="CD165" s="12"/>
      <c r="CE165" s="12"/>
      <c r="CF165" s="12"/>
    </row>
    <row r="166" spans="1:84" x14ac:dyDescent="0.3">
      <c r="A166" s="12"/>
      <c r="B166" s="12"/>
      <c r="C166" s="12"/>
      <c r="D166" s="12"/>
      <c r="E166" s="12"/>
      <c r="F166" s="12"/>
      <c r="G166" s="12"/>
      <c r="H166" s="12"/>
      <c r="I166" s="12"/>
      <c r="J166" s="12"/>
      <c r="K166" s="12"/>
      <c r="L166" s="12"/>
      <c r="M166" s="12"/>
      <c r="N166" s="12"/>
      <c r="O166" s="12"/>
      <c r="P166" s="12"/>
      <c r="Q166" s="12"/>
      <c r="R166" s="12"/>
      <c r="S166" s="12"/>
      <c r="T166" s="12"/>
      <c r="U166" s="12"/>
      <c r="V166" s="12"/>
      <c r="W166" s="12"/>
      <c r="X166" s="12"/>
      <c r="Y166" s="12"/>
      <c r="Z166" s="12"/>
      <c r="AA166" s="12"/>
      <c r="AB166" s="12"/>
      <c r="AC166" s="12"/>
      <c r="AD166" s="12"/>
      <c r="AE166" s="12"/>
      <c r="AF166" s="12"/>
      <c r="AG166" s="12"/>
      <c r="AH166" s="12"/>
      <c r="AI166" s="12"/>
      <c r="AJ166" s="12"/>
      <c r="AK166" s="12"/>
      <c r="AL166" s="12"/>
      <c r="AM166" s="12"/>
      <c r="AN166" s="12"/>
      <c r="AO166" s="12"/>
      <c r="AP166" s="12"/>
      <c r="AQ166" s="12"/>
      <c r="AR166" s="12"/>
      <c r="AS166" s="12"/>
      <c r="AT166" s="12"/>
      <c r="AU166" s="12"/>
      <c r="AV166" s="12"/>
      <c r="AW166" s="12"/>
      <c r="AX166" s="12"/>
      <c r="AY166" s="12"/>
      <c r="AZ166" s="12"/>
      <c r="BA166" s="12"/>
      <c r="BB166" s="12"/>
      <c r="BC166" s="12"/>
      <c r="BD166" s="12"/>
      <c r="BE166" s="12"/>
      <c r="BF166" s="12"/>
      <c r="BG166" s="12"/>
      <c r="BH166" s="12"/>
      <c r="BI166" s="12"/>
      <c r="BJ166" s="12"/>
      <c r="BK166" s="12"/>
      <c r="BL166" s="12"/>
      <c r="BM166" s="12"/>
      <c r="BN166" s="12"/>
      <c r="BO166" s="12"/>
      <c r="BP166" s="12"/>
      <c r="BQ166" s="12"/>
      <c r="BR166" s="12"/>
      <c r="BS166" s="12"/>
      <c r="BT166" s="12"/>
      <c r="BU166" s="12"/>
      <c r="BV166" s="12"/>
      <c r="BW166" s="12"/>
      <c r="BX166" s="12"/>
      <c r="BY166" s="12"/>
      <c r="BZ166" s="12"/>
      <c r="CA166" s="12"/>
      <c r="CB166" s="12"/>
      <c r="CC166" s="12"/>
      <c r="CD166" s="12"/>
      <c r="CE166" s="12"/>
      <c r="CF166" s="12"/>
    </row>
    <row r="167" spans="1:84" x14ac:dyDescent="0.3">
      <c r="A167" s="12"/>
      <c r="B167" s="12"/>
      <c r="C167" s="12"/>
      <c r="D167" s="12"/>
      <c r="E167" s="12"/>
      <c r="F167" s="12"/>
      <c r="G167" s="12"/>
      <c r="H167" s="12"/>
      <c r="I167" s="12"/>
      <c r="J167" s="12"/>
      <c r="K167" s="12"/>
      <c r="L167" s="12"/>
      <c r="M167" s="12"/>
      <c r="N167" s="12"/>
      <c r="O167" s="12"/>
      <c r="P167" s="12"/>
      <c r="Q167" s="12"/>
      <c r="R167" s="12"/>
      <c r="S167" s="12"/>
      <c r="T167" s="12"/>
      <c r="U167" s="12"/>
      <c r="V167" s="12"/>
      <c r="W167" s="12"/>
      <c r="X167" s="12"/>
      <c r="Y167" s="12"/>
      <c r="Z167" s="12"/>
      <c r="AA167" s="12"/>
      <c r="AB167" s="12"/>
      <c r="AC167" s="12"/>
      <c r="AD167" s="12"/>
      <c r="AE167" s="12"/>
      <c r="AF167" s="12"/>
      <c r="AG167" s="12"/>
      <c r="AH167" s="12"/>
      <c r="AI167" s="12"/>
      <c r="AJ167" s="12"/>
      <c r="AK167" s="12"/>
      <c r="AL167" s="12"/>
      <c r="AM167" s="12"/>
      <c r="AN167" s="12"/>
      <c r="AO167" s="12"/>
      <c r="AP167" s="12"/>
      <c r="AQ167" s="12"/>
      <c r="AR167" s="12"/>
      <c r="AS167" s="12"/>
      <c r="AT167" s="12"/>
      <c r="AU167" s="12"/>
      <c r="AV167" s="12"/>
      <c r="AW167" s="12"/>
      <c r="AX167" s="12"/>
      <c r="AY167" s="12"/>
      <c r="AZ167" s="12"/>
      <c r="BA167" s="12"/>
      <c r="BB167" s="12"/>
      <c r="BC167" s="12"/>
      <c r="BD167" s="12"/>
      <c r="BE167" s="12"/>
      <c r="BF167" s="12"/>
      <c r="BG167" s="12"/>
      <c r="BH167" s="12"/>
      <c r="BI167" s="12"/>
      <c r="BJ167" s="12"/>
      <c r="BK167" s="12"/>
      <c r="BL167" s="12"/>
      <c r="BM167" s="12"/>
      <c r="BN167" s="12"/>
      <c r="BO167" s="12"/>
      <c r="BP167" s="12"/>
      <c r="BQ167" s="12"/>
      <c r="BR167" s="12"/>
      <c r="BS167" s="12"/>
      <c r="BT167" s="12"/>
      <c r="BU167" s="12"/>
      <c r="BV167" s="12"/>
      <c r="BW167" s="12"/>
      <c r="BX167" s="12"/>
      <c r="BY167" s="12"/>
      <c r="BZ167" s="12"/>
      <c r="CA167" s="12"/>
      <c r="CB167" s="12"/>
      <c r="CC167" s="12"/>
      <c r="CD167" s="12"/>
      <c r="CE167" s="12"/>
      <c r="CF167" s="12"/>
    </row>
    <row r="168" spans="1:84" x14ac:dyDescent="0.3">
      <c r="A168" s="12"/>
      <c r="B168" s="12"/>
      <c r="C168" s="12"/>
      <c r="D168" s="12"/>
      <c r="E168" s="12"/>
      <c r="F168" s="12"/>
      <c r="G168" s="12"/>
      <c r="H168" s="12"/>
      <c r="I168" s="12"/>
      <c r="J168" s="12"/>
      <c r="K168" s="12"/>
      <c r="L168" s="12"/>
      <c r="M168" s="12"/>
      <c r="N168" s="12"/>
      <c r="O168" s="12"/>
      <c r="P168" s="12"/>
      <c r="Q168" s="12"/>
      <c r="R168" s="12"/>
      <c r="S168" s="12"/>
      <c r="T168" s="12"/>
      <c r="U168" s="12"/>
      <c r="V168" s="12"/>
      <c r="W168" s="12"/>
      <c r="X168" s="12"/>
      <c r="Y168" s="12"/>
      <c r="Z168" s="12"/>
      <c r="AA168" s="12"/>
      <c r="AB168" s="12"/>
      <c r="AC168" s="12"/>
      <c r="AD168" s="12"/>
      <c r="AE168" s="12"/>
      <c r="AF168" s="12"/>
      <c r="AG168" s="12"/>
      <c r="AH168" s="12"/>
      <c r="AI168" s="12"/>
      <c r="AJ168" s="12"/>
      <c r="AK168" s="12"/>
      <c r="AL168" s="12"/>
      <c r="AM168" s="12"/>
      <c r="AN168" s="12"/>
      <c r="AO168" s="12"/>
      <c r="AP168" s="12"/>
      <c r="AQ168" s="12"/>
      <c r="AR168" s="12"/>
      <c r="AS168" s="12"/>
      <c r="AT168" s="12"/>
      <c r="AU168" s="12"/>
      <c r="AV168" s="12"/>
      <c r="AW168" s="12"/>
      <c r="AX168" s="12"/>
      <c r="AY168" s="12"/>
      <c r="AZ168" s="12"/>
      <c r="BA168" s="12"/>
      <c r="BB168" s="12"/>
      <c r="BC168" s="12"/>
      <c r="BD168" s="12"/>
      <c r="BE168" s="12"/>
      <c r="BF168" s="12"/>
      <c r="BG168" s="12"/>
      <c r="BH168" s="12"/>
      <c r="BI168" s="12"/>
      <c r="BJ168" s="12"/>
      <c r="BK168" s="12"/>
      <c r="BL168" s="12"/>
      <c r="BM168" s="12"/>
      <c r="BN168" s="12"/>
      <c r="BO168" s="12"/>
      <c r="BP168" s="12"/>
      <c r="BQ168" s="12"/>
      <c r="BR168" s="12"/>
      <c r="BS168" s="12"/>
      <c r="BT168" s="12"/>
      <c r="BU168" s="12"/>
      <c r="BV168" s="12"/>
      <c r="BW168" s="12"/>
      <c r="BX168" s="12"/>
      <c r="BY168" s="12"/>
      <c r="BZ168" s="12"/>
      <c r="CA168" s="12"/>
      <c r="CB168" s="12"/>
      <c r="CC168" s="12"/>
      <c r="CD168" s="12"/>
      <c r="CE168" s="12"/>
      <c r="CF168" s="12"/>
    </row>
    <row r="169" spans="1:84" x14ac:dyDescent="0.3">
      <c r="A169" s="12"/>
      <c r="B169" s="12"/>
      <c r="C169" s="12"/>
      <c r="D169" s="12"/>
      <c r="E169" s="12"/>
      <c r="F169" s="12"/>
      <c r="G169" s="12"/>
      <c r="H169" s="12"/>
      <c r="I169" s="12"/>
      <c r="J169" s="12"/>
      <c r="K169" s="12"/>
      <c r="L169" s="12"/>
      <c r="M169" s="12"/>
      <c r="N169" s="12"/>
      <c r="O169" s="12"/>
      <c r="P169" s="12"/>
      <c r="Q169" s="12"/>
      <c r="R169" s="12"/>
      <c r="S169" s="12"/>
      <c r="T169" s="12"/>
      <c r="U169" s="12"/>
      <c r="V169" s="12"/>
      <c r="W169" s="12"/>
      <c r="X169" s="12"/>
      <c r="Y169" s="12"/>
      <c r="Z169" s="12"/>
      <c r="AA169" s="12"/>
      <c r="AB169" s="12"/>
      <c r="AC169" s="12"/>
      <c r="AD169" s="12"/>
      <c r="AE169" s="12"/>
      <c r="AF169" s="12"/>
      <c r="AG169" s="12"/>
      <c r="AH169" s="12"/>
      <c r="AI169" s="12"/>
      <c r="AJ169" s="12"/>
      <c r="AK169" s="12"/>
      <c r="AL169" s="12"/>
      <c r="AM169" s="12"/>
      <c r="AN169" s="12"/>
      <c r="AO169" s="12"/>
      <c r="AP169" s="12"/>
      <c r="AQ169" s="12"/>
      <c r="AR169" s="12"/>
      <c r="AS169" s="12"/>
      <c r="AT169" s="12"/>
      <c r="AU169" s="12"/>
      <c r="AV169" s="12"/>
      <c r="AW169" s="12"/>
      <c r="AX169" s="12"/>
      <c r="AY169" s="12"/>
      <c r="AZ169" s="12"/>
      <c r="BA169" s="12"/>
      <c r="BB169" s="12"/>
      <c r="BC169" s="12"/>
      <c r="BD169" s="12"/>
      <c r="BE169" s="12"/>
      <c r="BF169" s="12"/>
      <c r="BG169" s="12"/>
      <c r="BH169" s="12"/>
      <c r="BI169" s="12"/>
      <c r="BJ169" s="12"/>
      <c r="BK169" s="12"/>
      <c r="BL169" s="12"/>
      <c r="BM169" s="12"/>
      <c r="BN169" s="12"/>
      <c r="BO169" s="12"/>
      <c r="BP169" s="12"/>
      <c r="BQ169" s="12"/>
      <c r="BR169" s="12"/>
      <c r="BS169" s="12"/>
      <c r="BT169" s="12"/>
      <c r="BU169" s="12"/>
      <c r="BV169" s="12"/>
      <c r="BW169" s="12"/>
      <c r="BX169" s="12"/>
      <c r="BY169" s="12"/>
      <c r="BZ169" s="12"/>
      <c r="CA169" s="12"/>
      <c r="CB169" s="12"/>
      <c r="CC169" s="12"/>
      <c r="CD169" s="12"/>
      <c r="CE169" s="12"/>
      <c r="CF169" s="12"/>
    </row>
    <row r="170" spans="1:84" x14ac:dyDescent="0.3">
      <c r="A170" s="12"/>
      <c r="B170" s="12"/>
      <c r="C170" s="12"/>
      <c r="D170" s="12"/>
      <c r="E170" s="12"/>
      <c r="F170" s="12"/>
      <c r="G170" s="12"/>
      <c r="H170" s="12"/>
      <c r="I170" s="12"/>
      <c r="J170" s="12"/>
      <c r="K170" s="12"/>
      <c r="L170" s="12"/>
      <c r="M170" s="12"/>
      <c r="N170" s="12"/>
      <c r="O170" s="12"/>
      <c r="P170" s="12"/>
      <c r="Q170" s="12"/>
      <c r="R170" s="12"/>
      <c r="S170" s="12"/>
      <c r="T170" s="12"/>
      <c r="U170" s="12"/>
      <c r="V170" s="12"/>
      <c r="W170" s="12"/>
      <c r="X170" s="12"/>
      <c r="Y170" s="12"/>
      <c r="Z170" s="12"/>
      <c r="AA170" s="12"/>
      <c r="AB170" s="12"/>
      <c r="AC170" s="12"/>
      <c r="AD170" s="12"/>
      <c r="AE170" s="12"/>
      <c r="AF170" s="12"/>
      <c r="AG170" s="12"/>
      <c r="AH170" s="12"/>
      <c r="AI170" s="12"/>
      <c r="AJ170" s="12"/>
      <c r="AK170" s="12"/>
      <c r="AL170" s="12"/>
      <c r="AM170" s="12"/>
      <c r="AN170" s="12"/>
      <c r="AO170" s="12"/>
      <c r="AP170" s="12"/>
      <c r="AQ170" s="12"/>
      <c r="AR170" s="12"/>
      <c r="AS170" s="12"/>
      <c r="AT170" s="12"/>
      <c r="AU170" s="12"/>
      <c r="AV170" s="12"/>
      <c r="AW170" s="12"/>
      <c r="AX170" s="12"/>
      <c r="AY170" s="12"/>
      <c r="AZ170" s="12"/>
      <c r="BA170" s="12"/>
      <c r="BB170" s="12"/>
      <c r="BC170" s="12"/>
      <c r="BD170" s="12"/>
      <c r="BE170" s="12"/>
      <c r="BF170" s="12"/>
      <c r="BG170" s="12"/>
      <c r="BH170" s="12"/>
      <c r="BI170" s="12"/>
      <c r="BJ170" s="12"/>
      <c r="BK170" s="12"/>
      <c r="BL170" s="12"/>
      <c r="BM170" s="12"/>
      <c r="BN170" s="12"/>
      <c r="BO170" s="12"/>
      <c r="BP170" s="12"/>
      <c r="BQ170" s="12"/>
      <c r="BR170" s="12"/>
      <c r="BS170" s="12"/>
      <c r="BT170" s="12"/>
      <c r="BU170" s="12"/>
      <c r="BV170" s="12"/>
      <c r="BW170" s="12"/>
      <c r="BX170" s="12"/>
      <c r="BY170" s="12"/>
      <c r="BZ170" s="12"/>
      <c r="CA170" s="12"/>
      <c r="CB170" s="12"/>
      <c r="CC170" s="12"/>
      <c r="CD170" s="12"/>
      <c r="CE170" s="12"/>
      <c r="CF170" s="12"/>
    </row>
    <row r="171" spans="1:84" x14ac:dyDescent="0.3">
      <c r="A171" s="12"/>
      <c r="B171" s="12"/>
      <c r="C171" s="12"/>
      <c r="D171" s="12"/>
      <c r="E171" s="12"/>
      <c r="F171" s="12"/>
      <c r="G171" s="12"/>
      <c r="H171" s="12"/>
      <c r="I171" s="12"/>
      <c r="J171" s="12"/>
      <c r="K171" s="12"/>
      <c r="L171" s="12"/>
      <c r="M171" s="12"/>
      <c r="N171" s="12"/>
      <c r="O171" s="12"/>
      <c r="P171" s="12"/>
      <c r="Q171" s="12"/>
      <c r="R171" s="12"/>
      <c r="S171" s="12"/>
      <c r="T171" s="12"/>
      <c r="U171" s="12"/>
      <c r="V171" s="12"/>
      <c r="W171" s="12"/>
      <c r="X171" s="12"/>
      <c r="Y171" s="12"/>
      <c r="Z171" s="12"/>
      <c r="AA171" s="12"/>
      <c r="AB171" s="12"/>
      <c r="AC171" s="12"/>
      <c r="AD171" s="12"/>
      <c r="AE171" s="12"/>
      <c r="AF171" s="12"/>
      <c r="AG171" s="12"/>
      <c r="AH171" s="12"/>
      <c r="AI171" s="12"/>
      <c r="AJ171" s="12"/>
      <c r="AK171" s="12"/>
      <c r="AL171" s="12"/>
      <c r="AM171" s="12"/>
      <c r="AN171" s="12"/>
      <c r="AO171" s="12"/>
      <c r="AP171" s="12"/>
      <c r="AQ171" s="12"/>
      <c r="AR171" s="12"/>
      <c r="AS171" s="12"/>
      <c r="AT171" s="12"/>
      <c r="AU171" s="12"/>
      <c r="AV171" s="12"/>
      <c r="AW171" s="12"/>
      <c r="AX171" s="12"/>
      <c r="AY171" s="12"/>
      <c r="AZ171" s="12"/>
      <c r="BA171" s="12"/>
      <c r="BB171" s="12"/>
      <c r="BC171" s="12"/>
      <c r="BD171" s="12"/>
      <c r="BE171" s="12"/>
      <c r="BF171" s="12"/>
      <c r="BG171" s="12"/>
      <c r="BH171" s="12"/>
      <c r="BI171" s="12"/>
      <c r="BJ171" s="12"/>
      <c r="BK171" s="12"/>
      <c r="BL171" s="12"/>
      <c r="BM171" s="12"/>
      <c r="BN171" s="12"/>
      <c r="BO171" s="12"/>
      <c r="BP171" s="12"/>
      <c r="BQ171" s="12"/>
      <c r="BR171" s="12"/>
      <c r="BS171" s="12"/>
      <c r="BT171" s="12"/>
      <c r="BU171" s="12"/>
      <c r="BV171" s="12"/>
      <c r="BW171" s="12"/>
      <c r="BX171" s="12"/>
      <c r="BY171" s="12"/>
      <c r="BZ171" s="12"/>
      <c r="CA171" s="12"/>
      <c r="CB171" s="12"/>
      <c r="CC171" s="12"/>
      <c r="CD171" s="12"/>
      <c r="CE171" s="12"/>
      <c r="CF171" s="12"/>
    </row>
    <row r="172" spans="1:84" x14ac:dyDescent="0.3">
      <c r="A172" s="12"/>
      <c r="B172" s="12"/>
      <c r="C172" s="12"/>
      <c r="D172" s="12"/>
      <c r="E172" s="12"/>
      <c r="F172" s="12"/>
      <c r="G172" s="12"/>
      <c r="H172" s="12"/>
      <c r="I172" s="12"/>
      <c r="J172" s="12"/>
      <c r="K172" s="12"/>
      <c r="L172" s="12"/>
      <c r="M172" s="12"/>
      <c r="N172" s="12"/>
      <c r="O172" s="12"/>
      <c r="P172" s="12"/>
      <c r="Q172" s="12"/>
      <c r="R172" s="12"/>
      <c r="S172" s="12"/>
      <c r="T172" s="12"/>
      <c r="U172" s="12"/>
      <c r="V172" s="12"/>
      <c r="W172" s="12"/>
      <c r="X172" s="12"/>
      <c r="Y172" s="12"/>
      <c r="Z172" s="12"/>
      <c r="AA172" s="12"/>
      <c r="AB172" s="12"/>
      <c r="AC172" s="12"/>
      <c r="AD172" s="12"/>
      <c r="AE172" s="12"/>
      <c r="AF172" s="12"/>
      <c r="AG172" s="12"/>
      <c r="AH172" s="12"/>
      <c r="AI172" s="12"/>
      <c r="AJ172" s="12"/>
      <c r="AK172" s="12"/>
      <c r="AL172" s="12"/>
      <c r="AM172" s="12"/>
      <c r="AN172" s="12"/>
      <c r="AO172" s="12"/>
      <c r="AP172" s="12"/>
      <c r="AQ172" s="12"/>
      <c r="AR172" s="12"/>
      <c r="AS172" s="12"/>
      <c r="AT172" s="12"/>
      <c r="AU172" s="12"/>
      <c r="AV172" s="12"/>
      <c r="AW172" s="12"/>
      <c r="AX172" s="12"/>
      <c r="AY172" s="12"/>
      <c r="AZ172" s="12"/>
      <c r="BA172" s="12"/>
      <c r="BB172" s="12"/>
      <c r="BC172" s="12"/>
      <c r="BD172" s="12"/>
      <c r="BE172" s="12"/>
      <c r="BF172" s="12"/>
      <c r="BG172" s="12"/>
      <c r="BH172" s="12"/>
      <c r="BI172" s="12"/>
      <c r="BJ172" s="12"/>
      <c r="BK172" s="12"/>
      <c r="BL172" s="12"/>
      <c r="BM172" s="12"/>
      <c r="BN172" s="12"/>
      <c r="BO172" s="12"/>
      <c r="BP172" s="12"/>
      <c r="BQ172" s="12"/>
      <c r="BR172" s="12"/>
      <c r="BS172" s="12"/>
      <c r="BT172" s="12"/>
      <c r="BU172" s="12"/>
      <c r="BV172" s="12"/>
      <c r="BW172" s="12"/>
      <c r="BX172" s="12"/>
      <c r="BY172" s="12"/>
      <c r="BZ172" s="12"/>
      <c r="CA172" s="12"/>
      <c r="CB172" s="12"/>
      <c r="CC172" s="12"/>
      <c r="CD172" s="12"/>
      <c r="CE172" s="12"/>
      <c r="CF172" s="12"/>
    </row>
    <row r="173" spans="1:84" x14ac:dyDescent="0.3">
      <c r="A173" s="12"/>
      <c r="B173" s="12"/>
      <c r="C173" s="12"/>
      <c r="D173" s="12"/>
      <c r="E173" s="12"/>
      <c r="F173" s="12"/>
      <c r="G173" s="12"/>
      <c r="H173" s="12"/>
      <c r="I173" s="12"/>
      <c r="J173" s="12"/>
      <c r="K173" s="12"/>
      <c r="L173" s="12"/>
      <c r="M173" s="12"/>
      <c r="N173" s="12"/>
      <c r="O173" s="12"/>
      <c r="P173" s="12"/>
      <c r="Q173" s="12"/>
      <c r="R173" s="12"/>
      <c r="S173" s="12"/>
      <c r="T173" s="12"/>
      <c r="U173" s="12"/>
      <c r="V173" s="12"/>
      <c r="W173" s="12"/>
      <c r="X173" s="12"/>
      <c r="Y173" s="12"/>
      <c r="Z173" s="12"/>
      <c r="AA173" s="12"/>
      <c r="AB173" s="12"/>
      <c r="AC173" s="12"/>
      <c r="AD173" s="12"/>
      <c r="AE173" s="12"/>
      <c r="AF173" s="12"/>
      <c r="AG173" s="12"/>
      <c r="AH173" s="12"/>
      <c r="AI173" s="12"/>
      <c r="AJ173" s="12"/>
      <c r="AK173" s="12"/>
      <c r="AL173" s="12"/>
      <c r="AM173" s="12"/>
      <c r="AN173" s="12"/>
      <c r="AO173" s="12"/>
      <c r="AP173" s="12"/>
      <c r="AQ173" s="12"/>
      <c r="AR173" s="12"/>
      <c r="AS173" s="12"/>
      <c r="AT173" s="12"/>
      <c r="AU173" s="12"/>
      <c r="AV173" s="12"/>
      <c r="AW173" s="12"/>
      <c r="AX173" s="12"/>
      <c r="AY173" s="12"/>
      <c r="AZ173" s="12"/>
      <c r="BA173" s="12"/>
      <c r="BB173" s="12"/>
      <c r="BC173" s="12"/>
      <c r="BD173" s="12"/>
      <c r="BE173" s="12"/>
      <c r="BF173" s="12"/>
      <c r="BG173" s="12"/>
      <c r="BH173" s="12"/>
      <c r="BI173" s="12"/>
      <c r="BJ173" s="12"/>
      <c r="BK173" s="12"/>
      <c r="BL173" s="12"/>
      <c r="BM173" s="12"/>
      <c r="BN173" s="12"/>
      <c r="BO173" s="12"/>
      <c r="BP173" s="12"/>
      <c r="BQ173" s="12"/>
      <c r="BR173" s="12"/>
      <c r="BS173" s="12"/>
      <c r="BT173" s="12"/>
      <c r="BU173" s="12"/>
      <c r="BV173" s="12"/>
      <c r="BW173" s="12"/>
      <c r="BX173" s="12"/>
      <c r="BY173" s="12"/>
      <c r="BZ173" s="12"/>
      <c r="CA173" s="12"/>
      <c r="CB173" s="12"/>
      <c r="CC173" s="12"/>
      <c r="CD173" s="12"/>
      <c r="CE173" s="12"/>
      <c r="CF173" s="12"/>
    </row>
    <row r="174" spans="1:84" x14ac:dyDescent="0.3">
      <c r="A174" s="12"/>
      <c r="B174" s="12"/>
      <c r="C174" s="12"/>
      <c r="D174" s="12"/>
      <c r="E174" s="12"/>
      <c r="F174" s="12"/>
      <c r="G174" s="12"/>
      <c r="H174" s="12"/>
      <c r="I174" s="12"/>
      <c r="J174" s="12"/>
      <c r="K174" s="12"/>
      <c r="L174" s="12"/>
      <c r="M174" s="12"/>
      <c r="N174" s="12"/>
      <c r="O174" s="12"/>
      <c r="P174" s="12"/>
      <c r="Q174" s="12"/>
      <c r="R174" s="12"/>
      <c r="S174" s="12"/>
      <c r="T174" s="12"/>
      <c r="U174" s="12"/>
      <c r="V174" s="12"/>
      <c r="W174" s="12"/>
      <c r="X174" s="12"/>
      <c r="Y174" s="12"/>
      <c r="Z174" s="12"/>
      <c r="AA174" s="12"/>
      <c r="AB174" s="12"/>
      <c r="AC174" s="12"/>
      <c r="AD174" s="12"/>
      <c r="AE174" s="12"/>
      <c r="AF174" s="12"/>
      <c r="AG174" s="12"/>
      <c r="AH174" s="12"/>
      <c r="AI174" s="12"/>
      <c r="AJ174" s="12"/>
      <c r="AK174" s="12"/>
      <c r="AL174" s="12"/>
      <c r="AM174" s="12"/>
      <c r="AN174" s="12"/>
      <c r="AO174" s="12"/>
      <c r="AP174" s="12"/>
      <c r="AQ174" s="12"/>
      <c r="AR174" s="12"/>
      <c r="AS174" s="12"/>
      <c r="AT174" s="12"/>
      <c r="AU174" s="12"/>
      <c r="AV174" s="12"/>
      <c r="AW174" s="12"/>
      <c r="AX174" s="12"/>
      <c r="AY174" s="12"/>
      <c r="AZ174" s="12"/>
      <c r="BA174" s="12"/>
      <c r="BB174" s="12"/>
      <c r="BC174" s="12"/>
      <c r="BD174" s="12"/>
      <c r="BE174" s="12"/>
      <c r="BF174" s="12"/>
      <c r="BG174" s="12"/>
      <c r="BH174" s="12"/>
      <c r="BI174" s="12"/>
      <c r="BJ174" s="12"/>
      <c r="BK174" s="12"/>
      <c r="BL174" s="12"/>
      <c r="BM174" s="12"/>
      <c r="BN174" s="12"/>
      <c r="BO174" s="12"/>
      <c r="BP174" s="12"/>
      <c r="BQ174" s="12"/>
      <c r="BR174" s="12"/>
      <c r="BS174" s="12"/>
      <c r="BT174" s="12"/>
      <c r="BU174" s="12"/>
      <c r="BV174" s="12"/>
      <c r="BW174" s="12"/>
      <c r="BX174" s="12"/>
      <c r="BY174" s="12"/>
      <c r="BZ174" s="12"/>
      <c r="CA174" s="12"/>
      <c r="CB174" s="12"/>
      <c r="CC174" s="12"/>
      <c r="CD174" s="12"/>
      <c r="CE174" s="12"/>
      <c r="CF174" s="12"/>
    </row>
    <row r="175" spans="1:84" x14ac:dyDescent="0.3">
      <c r="A175" s="12"/>
      <c r="B175" s="12"/>
      <c r="C175" s="12"/>
      <c r="D175" s="12"/>
      <c r="E175" s="12"/>
      <c r="F175" s="12"/>
      <c r="G175" s="12"/>
      <c r="H175" s="12"/>
      <c r="I175" s="12"/>
      <c r="J175" s="12"/>
      <c r="K175" s="12"/>
      <c r="L175" s="12"/>
      <c r="M175" s="12"/>
      <c r="N175" s="12"/>
      <c r="O175" s="12"/>
      <c r="P175" s="12"/>
      <c r="Q175" s="12"/>
      <c r="R175" s="12"/>
      <c r="S175" s="12"/>
      <c r="T175" s="12"/>
      <c r="U175" s="12"/>
      <c r="V175" s="12"/>
      <c r="W175" s="12"/>
      <c r="X175" s="12"/>
      <c r="Y175" s="12"/>
      <c r="Z175" s="12"/>
      <c r="AA175" s="12"/>
      <c r="AB175" s="12"/>
      <c r="AC175" s="12"/>
      <c r="AD175" s="12"/>
      <c r="AE175" s="12"/>
      <c r="AF175" s="12"/>
      <c r="AG175" s="12"/>
      <c r="AH175" s="12"/>
      <c r="AI175" s="12"/>
      <c r="AJ175" s="12"/>
      <c r="AK175" s="12"/>
      <c r="AL175" s="12"/>
      <c r="AM175" s="12"/>
      <c r="AN175" s="12"/>
      <c r="AO175" s="12"/>
      <c r="AP175" s="12"/>
      <c r="AQ175" s="12"/>
      <c r="AR175" s="12"/>
      <c r="AS175" s="12"/>
      <c r="AT175" s="12"/>
      <c r="AU175" s="12"/>
      <c r="AV175" s="12"/>
      <c r="AW175" s="12"/>
      <c r="AX175" s="12"/>
      <c r="AY175" s="12"/>
      <c r="AZ175" s="12"/>
      <c r="BA175" s="12"/>
      <c r="BB175" s="12"/>
      <c r="BC175" s="12"/>
      <c r="BD175" s="12"/>
      <c r="BE175" s="12"/>
      <c r="BF175" s="12"/>
      <c r="BG175" s="12"/>
      <c r="BH175" s="12"/>
      <c r="BI175" s="12"/>
      <c r="BJ175" s="12"/>
      <c r="BK175" s="12"/>
      <c r="BL175" s="12"/>
      <c r="BM175" s="12"/>
      <c r="BN175" s="12"/>
      <c r="BO175" s="12"/>
      <c r="BP175" s="12"/>
      <c r="BQ175" s="12"/>
      <c r="BR175" s="12"/>
      <c r="BS175" s="12"/>
      <c r="BT175" s="12"/>
      <c r="BU175" s="12"/>
      <c r="BV175" s="12"/>
      <c r="BW175" s="12"/>
      <c r="BX175" s="12"/>
      <c r="BY175" s="12"/>
      <c r="BZ175" s="12"/>
      <c r="CA175" s="12"/>
      <c r="CB175" s="12"/>
      <c r="CC175" s="12"/>
      <c r="CD175" s="12"/>
      <c r="CE175" s="12"/>
      <c r="CF175" s="12"/>
    </row>
    <row r="176" spans="1:84" x14ac:dyDescent="0.3">
      <c r="A176" s="12"/>
      <c r="B176" s="12"/>
      <c r="C176" s="12"/>
      <c r="D176" s="12"/>
      <c r="E176" s="12"/>
      <c r="F176" s="12"/>
      <c r="G176" s="12"/>
      <c r="H176" s="12"/>
      <c r="I176" s="12"/>
      <c r="J176" s="12"/>
      <c r="K176" s="12"/>
      <c r="L176" s="12"/>
      <c r="M176" s="12"/>
      <c r="N176" s="12"/>
      <c r="O176" s="12"/>
      <c r="P176" s="12"/>
      <c r="Q176" s="12"/>
      <c r="R176" s="12"/>
      <c r="S176" s="12"/>
      <c r="T176" s="12"/>
      <c r="U176" s="12"/>
      <c r="V176" s="12"/>
      <c r="W176" s="12"/>
      <c r="X176" s="12"/>
      <c r="Y176" s="12"/>
      <c r="Z176" s="12"/>
      <c r="AA176" s="12"/>
      <c r="AB176" s="12"/>
      <c r="AC176" s="12"/>
      <c r="AD176" s="12"/>
      <c r="AE176" s="12"/>
      <c r="AF176" s="12"/>
      <c r="AG176" s="12"/>
      <c r="AH176" s="12"/>
      <c r="AI176" s="12"/>
      <c r="AJ176" s="12"/>
      <c r="AK176" s="12"/>
      <c r="AL176" s="12"/>
      <c r="AM176" s="12"/>
      <c r="AN176" s="12"/>
      <c r="AO176" s="12"/>
      <c r="AP176" s="12"/>
      <c r="AQ176" s="12"/>
      <c r="AR176" s="12"/>
      <c r="AS176" s="12"/>
      <c r="AT176" s="12"/>
      <c r="AU176" s="12"/>
      <c r="AV176" s="12"/>
      <c r="AW176" s="12"/>
      <c r="AX176" s="12"/>
      <c r="AY176" s="12"/>
      <c r="AZ176" s="12"/>
      <c r="BA176" s="12"/>
      <c r="BB176" s="12"/>
      <c r="BC176" s="12"/>
      <c r="BD176" s="12"/>
      <c r="BE176" s="12"/>
      <c r="BF176" s="12"/>
      <c r="BG176" s="12"/>
      <c r="BH176" s="12"/>
      <c r="BI176" s="12"/>
      <c r="BJ176" s="12"/>
      <c r="BK176" s="12"/>
      <c r="BL176" s="12"/>
      <c r="BM176" s="12"/>
      <c r="BN176" s="12"/>
      <c r="BO176" s="12"/>
      <c r="BP176" s="12"/>
      <c r="BQ176" s="12"/>
      <c r="BR176" s="12"/>
      <c r="BS176" s="12"/>
      <c r="BT176" s="12"/>
      <c r="BU176" s="12"/>
      <c r="BV176" s="12"/>
      <c r="BW176" s="12"/>
      <c r="BX176" s="12"/>
      <c r="BY176" s="12"/>
      <c r="BZ176" s="12"/>
      <c r="CA176" s="12"/>
      <c r="CB176" s="12"/>
      <c r="CC176" s="12"/>
      <c r="CD176" s="12"/>
      <c r="CE176" s="12"/>
      <c r="CF176" s="12"/>
    </row>
    <row r="177" spans="1:84" x14ac:dyDescent="0.3">
      <c r="A177" s="12"/>
      <c r="B177" s="12"/>
      <c r="C177" s="12"/>
      <c r="D177" s="12"/>
      <c r="E177" s="12"/>
      <c r="F177" s="12"/>
      <c r="G177" s="12"/>
      <c r="H177" s="12"/>
      <c r="I177" s="12"/>
      <c r="J177" s="12"/>
      <c r="K177" s="12"/>
      <c r="L177" s="12"/>
      <c r="M177" s="12"/>
      <c r="N177" s="12"/>
      <c r="O177" s="12"/>
      <c r="P177" s="12"/>
      <c r="Q177" s="12"/>
      <c r="R177" s="12"/>
      <c r="S177" s="12"/>
      <c r="T177" s="12"/>
      <c r="U177" s="12"/>
      <c r="V177" s="12"/>
      <c r="W177" s="12"/>
      <c r="X177" s="12"/>
      <c r="Y177" s="12"/>
      <c r="Z177" s="12"/>
      <c r="AA177" s="12"/>
      <c r="AB177" s="12"/>
      <c r="AC177" s="12"/>
      <c r="AD177" s="12"/>
      <c r="AE177" s="12"/>
      <c r="AF177" s="12"/>
      <c r="AG177" s="12"/>
      <c r="AH177" s="12"/>
      <c r="AI177" s="12"/>
      <c r="AJ177" s="12"/>
      <c r="AK177" s="12"/>
      <c r="AL177" s="12"/>
      <c r="AM177" s="12"/>
      <c r="AN177" s="12"/>
      <c r="AO177" s="12"/>
      <c r="AP177" s="12"/>
      <c r="AQ177" s="12"/>
      <c r="AR177" s="12"/>
      <c r="AS177" s="12"/>
      <c r="AT177" s="12"/>
      <c r="AU177" s="12"/>
      <c r="AV177" s="12"/>
      <c r="AW177" s="12"/>
      <c r="AX177" s="12"/>
      <c r="AY177" s="12"/>
      <c r="AZ177" s="12"/>
      <c r="BA177" s="12"/>
      <c r="BB177" s="12"/>
      <c r="BC177" s="12"/>
      <c r="BD177" s="12"/>
      <c r="BE177" s="12"/>
      <c r="BF177" s="12"/>
      <c r="BG177" s="12"/>
      <c r="BH177" s="12"/>
      <c r="BI177" s="12"/>
      <c r="BJ177" s="12"/>
      <c r="BK177" s="12"/>
      <c r="BL177" s="12"/>
      <c r="BM177" s="12"/>
      <c r="BN177" s="12"/>
      <c r="BO177" s="12"/>
      <c r="BP177" s="12"/>
      <c r="BQ177" s="12"/>
      <c r="BR177" s="12"/>
      <c r="BS177" s="12"/>
      <c r="BT177" s="12"/>
      <c r="BU177" s="12"/>
      <c r="BV177" s="12"/>
      <c r="BW177" s="12"/>
      <c r="BX177" s="12"/>
      <c r="BY177" s="12"/>
      <c r="BZ177" s="12"/>
      <c r="CA177" s="12"/>
      <c r="CB177" s="12"/>
      <c r="CC177" s="12"/>
      <c r="CD177" s="12"/>
      <c r="CE177" s="12"/>
      <c r="CF177" s="12"/>
    </row>
  </sheetData>
  <mergeCells count="2">
    <mergeCell ref="F3:M3"/>
    <mergeCell ref="G4:L4"/>
  </mergeCells>
  <pageMargins left="0.7" right="0.7" top="0.75" bottom="0.75" header="0.3" footer="0.3"/>
  <drawing r:id="rId1"/>
  <extLst>
    <ext xmlns:x14="http://schemas.microsoft.com/office/spreadsheetml/2009/9/main" uri="{A8765BA9-456A-4dab-B4F3-ACF838C121DE}">
      <x14:slicerList>
        <x14:slicer r:id="rId2"/>
      </x14:slicerList>
    </ext>
  </extLst>
</worksheet>
</file>

<file path=customXml/_rels/item1.xml.rels><?xml version="1.0" encoding="UTF-8" standalone="yes"?>
<Relationships xmlns="http://schemas.openxmlformats.org/package/2006/relationships"><Relationship Id="rId1" Type="http://schemas.openxmlformats.org/officeDocument/2006/relationships/customXmlProps" Target="itemProps1.xml"/></Relationships>
</file>

<file path=customXml/item1.xml>��
</file>

<file path=customXml/itemProps1.xml><?xml version="1.0" encoding="utf-8"?>
<ds:datastoreItem xmlns:ds="http://schemas.openxmlformats.org/officeDocument/2006/customXml" ds:itemID="{8490469F-0626-4332-95A1-39EA68DA141C}">
  <ds:schemaRefs>
    <ds:schemaRef ds:uri="http://schemas.microsoft.com/DataMashup"/>
  </ds:schemaRefs>
</ds:datastoreItem>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5</vt:i4>
      </vt:variant>
    </vt:vector>
  </HeadingPairs>
  <TitlesOfParts>
    <vt:vector size="5" baseType="lpstr">
      <vt:lpstr>Raw Data</vt:lpstr>
      <vt:lpstr>clean-pokemon-dataset</vt:lpstr>
      <vt:lpstr>Pivot Analysis</vt:lpstr>
      <vt:lpstr>PivotKPI</vt:lpstr>
      <vt:lpstr>Dashboard</vt:lpstr>
    </vt:vector>
  </TitlesOfParts>
  <Company/>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pc</dc:creator>
  <cp:lastModifiedBy>pc</cp:lastModifiedBy>
  <dcterms:created xsi:type="dcterms:W3CDTF">2026-10-21T09:09:50Z</dcterms:created>
  <dcterms:modified xsi:type="dcterms:W3CDTF">2026-10-22T08:36:15Z</dcterms:modified>
</cp:coreProperties>
</file>